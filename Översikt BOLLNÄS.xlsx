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45349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45349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27617-2020</t>
        </is>
      </c>
      <c r="B4" s="1" t="n">
        <v>43993</v>
      </c>
      <c r="C4" s="1" t="n">
        <v>45349</v>
      </c>
      <c r="D4" t="inlineStr">
        <is>
          <t>GÄVLEBORGS LÄN</t>
        </is>
      </c>
      <c r="E4" t="inlineStr">
        <is>
          <t>BOLLNÄS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2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Bredgentiana
Fältgentiana
Scharlakansvaxskivling
Blodvaxskivling
Ängsvaxskivling</t>
        </is>
      </c>
      <c r="S4">
        <f>HYPERLINK("https://klasma.github.io/Logging_2183/artfynd/A 27617-2020 artfynd.xlsx", "A 27617-2020")</f>
        <v/>
      </c>
      <c r="T4">
        <f>HYPERLINK("https://klasma.github.io/Logging_2183/kartor/A 27617-2020 karta.png", "A 27617-2020")</f>
        <v/>
      </c>
      <c r="V4">
        <f>HYPERLINK("https://klasma.github.io/Logging_2183/klagomål/A 27617-2020 FSC-klagomål.docx", "A 27617-2020")</f>
        <v/>
      </c>
      <c r="W4">
        <f>HYPERLINK("https://klasma.github.io/Logging_2183/klagomålsmail/A 27617-2020 FSC-klagomål mail.docx", "A 27617-2020")</f>
        <v/>
      </c>
      <c r="X4">
        <f>HYPERLINK("https://klasma.github.io/Logging_2183/tillsyn/A 27617-2020 tillsynsbegäran.docx", "A 27617-2020")</f>
        <v/>
      </c>
      <c r="Y4">
        <f>HYPERLINK("https://klasma.github.io/Logging_2183/tillsynsmail/A 27617-2020 tillsynsbegäran mail.docx", "A 27617-2020")</f>
        <v/>
      </c>
    </row>
    <row r="5" ht="15" customHeight="1">
      <c r="A5" t="inlineStr">
        <is>
          <t>A 34590-2021</t>
        </is>
      </c>
      <c r="B5" s="1" t="n">
        <v>44382</v>
      </c>
      <c r="C5" s="1" t="n">
        <v>45349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Tibast
Brudsporre
Fläcknycklar</t>
        </is>
      </c>
      <c r="S5">
        <f>HYPERLINK("https://klasma.github.io/Logging_2183/artfynd/A 34590-2021 artfynd.xlsx", "A 34590-2021")</f>
        <v/>
      </c>
      <c r="T5">
        <f>HYPERLINK("https://klasma.github.io/Logging_2183/kartor/A 34590-2021 karta.png", "A 34590-2021")</f>
        <v/>
      </c>
      <c r="V5">
        <f>HYPERLINK("https://klasma.github.io/Logging_2183/klagomål/A 34590-2021 FSC-klagomål.docx", "A 34590-2021")</f>
        <v/>
      </c>
      <c r="W5">
        <f>HYPERLINK("https://klasma.github.io/Logging_2183/klagomålsmail/A 34590-2021 FSC-klagomål mail.docx", "A 34590-2021")</f>
        <v/>
      </c>
      <c r="X5">
        <f>HYPERLINK("https://klasma.github.io/Logging_2183/tillsyn/A 34590-2021 tillsynsbegäran.docx", "A 34590-2021")</f>
        <v/>
      </c>
      <c r="Y5">
        <f>HYPERLINK("https://klasma.github.io/Logging_2183/tillsynsmail/A 34590-2021 tillsynsbegäran mail.docx", "A 34590-2021")</f>
        <v/>
      </c>
    </row>
    <row r="6" ht="15" customHeight="1">
      <c r="A6" t="inlineStr">
        <is>
          <t>A 25129-2022</t>
        </is>
      </c>
      <c r="B6" s="1" t="n">
        <v>44729</v>
      </c>
      <c r="C6" s="1" t="n">
        <v>45349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27.4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Kortskaftad ärgspik
Nästlav</t>
        </is>
      </c>
      <c r="S6">
        <f>HYPERLINK("https://klasma.github.io/Logging_2183/artfynd/A 25129-2022 artfynd.xlsx", "A 25129-2022")</f>
        <v/>
      </c>
      <c r="T6">
        <f>HYPERLINK("https://klasma.github.io/Logging_2183/kartor/A 25129-2022 karta.png", "A 25129-2022")</f>
        <v/>
      </c>
      <c r="V6">
        <f>HYPERLINK("https://klasma.github.io/Logging_2183/klagomål/A 25129-2022 FSC-klagomål.docx", "A 25129-2022")</f>
        <v/>
      </c>
      <c r="W6">
        <f>HYPERLINK("https://klasma.github.io/Logging_2183/klagomålsmail/A 25129-2022 FSC-klagomål mail.docx", "A 25129-2022")</f>
        <v/>
      </c>
      <c r="X6">
        <f>HYPERLINK("https://klasma.github.io/Logging_2183/tillsyn/A 25129-2022 tillsynsbegäran.docx", "A 25129-2022")</f>
        <v/>
      </c>
      <c r="Y6">
        <f>HYPERLINK("https://klasma.github.io/Logging_2183/tillsynsmail/A 25129-2022 tillsynsbegäran mail.docx", "A 25129-2022")</f>
        <v/>
      </c>
    </row>
    <row r="7" ht="15" customHeight="1">
      <c r="A7" t="inlineStr">
        <is>
          <t>A 61384-2019</t>
        </is>
      </c>
      <c r="B7" s="1" t="n">
        <v>43783</v>
      </c>
      <c r="C7" s="1" t="n">
        <v>45349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4.1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Korallrot</t>
        </is>
      </c>
      <c r="S7">
        <f>HYPERLINK("https://klasma.github.io/Logging_2183/artfynd/A 61384-2019 artfynd.xlsx", "A 61384-2019")</f>
        <v/>
      </c>
      <c r="T7">
        <f>HYPERLINK("https://klasma.github.io/Logging_2183/kartor/A 61384-2019 karta.png", "A 61384-2019")</f>
        <v/>
      </c>
      <c r="U7">
        <f>HYPERLINK("https://klasma.github.io/Logging_2183/knärot/A 61384-2019 karta knärot.png", "A 61384-2019")</f>
        <v/>
      </c>
      <c r="V7">
        <f>HYPERLINK("https://klasma.github.io/Logging_2183/klagomål/A 61384-2019 FSC-klagomål.docx", "A 61384-2019")</f>
        <v/>
      </c>
      <c r="W7">
        <f>HYPERLINK("https://klasma.github.io/Logging_2183/klagomålsmail/A 61384-2019 FSC-klagomål mail.docx", "A 61384-2019")</f>
        <v/>
      </c>
      <c r="X7">
        <f>HYPERLINK("https://klasma.github.io/Logging_2183/tillsyn/A 61384-2019 tillsynsbegäran.docx", "A 61384-2019")</f>
        <v/>
      </c>
      <c r="Y7">
        <f>HYPERLINK("https://klasma.github.io/Logging_2183/tillsynsmail/A 61384-2019 tillsynsbegäran mail.docx", "A 61384-2019")</f>
        <v/>
      </c>
    </row>
    <row r="8" ht="15" customHeight="1">
      <c r="A8" t="inlineStr">
        <is>
          <t>A 61372-2019</t>
        </is>
      </c>
      <c r="B8" s="1" t="n">
        <v>43783</v>
      </c>
      <c r="C8" s="1" t="n">
        <v>45349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Garnlav</t>
        </is>
      </c>
      <c r="S8">
        <f>HYPERLINK("https://klasma.github.io/Logging_2183/artfynd/A 61372-2019 artfynd.xlsx", "A 61372-2019")</f>
        <v/>
      </c>
      <c r="T8">
        <f>HYPERLINK("https://klasma.github.io/Logging_2183/kartor/A 61372-2019 karta.png", "A 61372-2019")</f>
        <v/>
      </c>
      <c r="U8">
        <f>HYPERLINK("https://klasma.github.io/Logging_2183/knärot/A 61372-2019 karta knärot.png", "A 61372-2019")</f>
        <v/>
      </c>
      <c r="V8">
        <f>HYPERLINK("https://klasma.github.io/Logging_2183/klagomål/A 61372-2019 FSC-klagomål.docx", "A 61372-2019")</f>
        <v/>
      </c>
      <c r="W8">
        <f>HYPERLINK("https://klasma.github.io/Logging_2183/klagomålsmail/A 61372-2019 FSC-klagomål mail.docx", "A 61372-2019")</f>
        <v/>
      </c>
      <c r="X8">
        <f>HYPERLINK("https://klasma.github.io/Logging_2183/tillsyn/A 61372-2019 tillsynsbegäran.docx", "A 61372-2019")</f>
        <v/>
      </c>
      <c r="Y8">
        <f>HYPERLINK("https://klasma.github.io/Logging_2183/tillsynsmail/A 61372-2019 tillsynsbegäran mail.docx", "A 61372-2019")</f>
        <v/>
      </c>
    </row>
    <row r="9" ht="15" customHeight="1">
      <c r="A9" t="inlineStr">
        <is>
          <t>A 61380-2019</t>
        </is>
      </c>
      <c r="B9" s="1" t="n">
        <v>43783</v>
      </c>
      <c r="C9" s="1" t="n">
        <v>45349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Tibast</t>
        </is>
      </c>
      <c r="S9">
        <f>HYPERLINK("https://klasma.github.io/Logging_2183/artfynd/A 61380-2019 artfynd.xlsx", "A 61380-2019")</f>
        <v/>
      </c>
      <c r="T9">
        <f>HYPERLINK("https://klasma.github.io/Logging_2183/kartor/A 61380-2019 karta.png", "A 61380-2019")</f>
        <v/>
      </c>
      <c r="U9">
        <f>HYPERLINK("https://klasma.github.io/Logging_2183/knärot/A 61380-2019 karta knärot.png", "A 61380-2019")</f>
        <v/>
      </c>
      <c r="V9">
        <f>HYPERLINK("https://klasma.github.io/Logging_2183/klagomål/A 61380-2019 FSC-klagomål.docx", "A 61380-2019")</f>
        <v/>
      </c>
      <c r="W9">
        <f>HYPERLINK("https://klasma.github.io/Logging_2183/klagomålsmail/A 61380-2019 FSC-klagomål mail.docx", "A 61380-2019")</f>
        <v/>
      </c>
      <c r="X9">
        <f>HYPERLINK("https://klasma.github.io/Logging_2183/tillsyn/A 61380-2019 tillsynsbegäran.docx", "A 61380-2019")</f>
        <v/>
      </c>
      <c r="Y9">
        <f>HYPERLINK("https://klasma.github.io/Logging_2183/tillsynsmail/A 61380-2019 tillsynsbegäran mail.docx", "A 61380-2019")</f>
        <v/>
      </c>
    </row>
    <row r="10" ht="15" customHeight="1">
      <c r="A10" t="inlineStr">
        <is>
          <t>A 28704-2020</t>
        </is>
      </c>
      <c r="B10" s="1" t="n">
        <v>43999</v>
      </c>
      <c r="C10" s="1" t="n">
        <v>45349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2.2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Tallticka</t>
        </is>
      </c>
      <c r="S10">
        <f>HYPERLINK("https://klasma.github.io/Logging_2183/artfynd/A 28704-2020 artfynd.xlsx", "A 28704-2020")</f>
        <v/>
      </c>
      <c r="T10">
        <f>HYPERLINK("https://klasma.github.io/Logging_2183/kartor/A 28704-2020 karta.png", "A 28704-2020")</f>
        <v/>
      </c>
      <c r="V10">
        <f>HYPERLINK("https://klasma.github.io/Logging_2183/klagomål/A 28704-2020 FSC-klagomål.docx", "A 28704-2020")</f>
        <v/>
      </c>
      <c r="W10">
        <f>HYPERLINK("https://klasma.github.io/Logging_2183/klagomålsmail/A 28704-2020 FSC-klagomål mail.docx", "A 28704-2020")</f>
        <v/>
      </c>
      <c r="X10">
        <f>HYPERLINK("https://klasma.github.io/Logging_2183/tillsyn/A 28704-2020 tillsynsbegäran.docx", "A 28704-2020")</f>
        <v/>
      </c>
      <c r="Y10">
        <f>HYPERLINK("https://klasma.github.io/Logging_2183/tillsynsmail/A 28704-2020 tillsynsbegäran mail.docx", "A 28704-2020")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45349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45349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45349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26522-2023</t>
        </is>
      </c>
      <c r="B14" s="1" t="n">
        <v>45092</v>
      </c>
      <c r="C14" s="1" t="n">
        <v>45349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8.6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Smålom
Huggorm</t>
        </is>
      </c>
      <c r="S14">
        <f>HYPERLINK("https://klasma.github.io/Logging_2183/artfynd/A 26522-2023 artfynd.xlsx", "A 26522-2023")</f>
        <v/>
      </c>
      <c r="T14">
        <f>HYPERLINK("https://klasma.github.io/Logging_2183/kartor/A 26522-2023 karta.png", "A 26522-2023")</f>
        <v/>
      </c>
      <c r="V14">
        <f>HYPERLINK("https://klasma.github.io/Logging_2183/klagomål/A 26522-2023 FSC-klagomål.docx", "A 26522-2023")</f>
        <v/>
      </c>
      <c r="W14">
        <f>HYPERLINK("https://klasma.github.io/Logging_2183/klagomålsmail/A 26522-2023 FSC-klagomål mail.docx", "A 26522-2023")</f>
        <v/>
      </c>
      <c r="X14">
        <f>HYPERLINK("https://klasma.github.io/Logging_2183/tillsyn/A 26522-2023 tillsynsbegäran.docx", "A 26522-2023")</f>
        <v/>
      </c>
      <c r="Y14">
        <f>HYPERLINK("https://klasma.github.io/Logging_2183/tillsynsmail/A 26522-2023 tillsynsbegäran mail.docx", "A 26522-2023")</f>
        <v/>
      </c>
      <c r="Z14">
        <f>HYPERLINK("https://klasma.github.io/Logging_2183/fåglar/A 26522-2023 prioriterade fågelarter.docx", "A 26522-2023")</f>
        <v/>
      </c>
    </row>
    <row r="15" ht="15" customHeight="1">
      <c r="A15" t="inlineStr">
        <is>
          <t>A 24535-2019</t>
        </is>
      </c>
      <c r="B15" s="1" t="n">
        <v>43600</v>
      </c>
      <c r="C15" s="1" t="n">
        <v>45349</v>
      </c>
      <c r="D15" t="inlineStr">
        <is>
          <t>GÄVLEBORGS LÄN</t>
        </is>
      </c>
      <c r="E15" t="inlineStr">
        <is>
          <t>BOLLNÄS</t>
        </is>
      </c>
      <c r="G15" t="n">
        <v>6.3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HYPERLINK("https://klasma.github.io/Logging_2183/artfynd/A 24535-2019 artfynd.xlsx", "A 24535-2019")</f>
        <v/>
      </c>
      <c r="T15">
        <f>HYPERLINK("https://klasma.github.io/Logging_2183/kartor/A 24535-2019 karta.png", "A 24535-2019")</f>
        <v/>
      </c>
      <c r="V15">
        <f>HYPERLINK("https://klasma.github.io/Logging_2183/klagomål/A 24535-2019 FSC-klagomål.docx", "A 24535-2019")</f>
        <v/>
      </c>
      <c r="W15">
        <f>HYPERLINK("https://klasma.github.io/Logging_2183/klagomålsmail/A 24535-2019 FSC-klagomål mail.docx", "A 24535-2019")</f>
        <v/>
      </c>
      <c r="X15">
        <f>HYPERLINK("https://klasma.github.io/Logging_2183/tillsyn/A 24535-2019 tillsynsbegäran.docx", "A 24535-2019")</f>
        <v/>
      </c>
      <c r="Y15">
        <f>HYPERLINK("https://klasma.github.io/Logging_2183/tillsynsmail/A 24535-2019 tillsynsbegäran mail.docx", "A 24535-2019")</f>
        <v/>
      </c>
    </row>
    <row r="16" ht="15" customHeight="1">
      <c r="A16" t="inlineStr">
        <is>
          <t>A 27515-2019</t>
        </is>
      </c>
      <c r="B16" s="1" t="n">
        <v>43619</v>
      </c>
      <c r="C16" s="1" t="n">
        <v>45349</v>
      </c>
      <c r="D16" t="inlineStr">
        <is>
          <t>GÄVLEBORGS LÄN</t>
        </is>
      </c>
      <c r="E16" t="inlineStr">
        <is>
          <t>BOLLNÄS</t>
        </is>
      </c>
      <c r="G16" t="n">
        <v>10.8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27515-2019 artfynd.xlsx", "A 27515-2019")</f>
        <v/>
      </c>
      <c r="T16">
        <f>HYPERLINK("https://klasma.github.io/Logging_2183/kartor/A 27515-2019 karta.png", "A 27515-2019")</f>
        <v/>
      </c>
      <c r="U16">
        <f>HYPERLINK("https://klasma.github.io/Logging_2183/knärot/A 27515-2019 karta knärot.png", "A 27515-2019")</f>
        <v/>
      </c>
      <c r="V16">
        <f>HYPERLINK("https://klasma.github.io/Logging_2183/klagomål/A 27515-2019 FSC-klagomål.docx", "A 27515-2019")</f>
        <v/>
      </c>
      <c r="W16">
        <f>HYPERLINK("https://klasma.github.io/Logging_2183/klagomålsmail/A 27515-2019 FSC-klagomål mail.docx", "A 27515-2019")</f>
        <v/>
      </c>
      <c r="X16">
        <f>HYPERLINK("https://klasma.github.io/Logging_2183/tillsyn/A 27515-2019 tillsynsbegäran.docx", "A 27515-2019")</f>
        <v/>
      </c>
      <c r="Y16">
        <f>HYPERLINK("https://klasma.github.io/Logging_2183/tillsynsmail/A 27515-2019 tillsynsbegäran mail.docx", "A 27515-2019")</f>
        <v/>
      </c>
    </row>
    <row r="17" ht="15" customHeight="1">
      <c r="A17" t="inlineStr">
        <is>
          <t>A 63545-2019</t>
        </is>
      </c>
      <c r="B17" s="1" t="n">
        <v>43794</v>
      </c>
      <c r="C17" s="1" t="n">
        <v>45349</v>
      </c>
      <c r="D17" t="inlineStr">
        <is>
          <t>GÄVLEBORGS LÄN</t>
        </is>
      </c>
      <c r="E17" t="inlineStr">
        <is>
          <t>BOLLNÄS</t>
        </is>
      </c>
      <c r="G17" t="n">
        <v>9.300000000000001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HYPERLINK("https://klasma.github.io/Logging_2183/artfynd/A 63545-2019 artfynd.xlsx", "A 63545-2019")</f>
        <v/>
      </c>
      <c r="T17">
        <f>HYPERLINK("https://klasma.github.io/Logging_2183/kartor/A 63545-2019 karta.png", "A 63545-2019")</f>
        <v/>
      </c>
      <c r="V17">
        <f>HYPERLINK("https://klasma.github.io/Logging_2183/klagomål/A 63545-2019 FSC-klagomål.docx", "A 63545-2019")</f>
        <v/>
      </c>
      <c r="W17">
        <f>HYPERLINK("https://klasma.github.io/Logging_2183/klagomålsmail/A 63545-2019 FSC-klagomål mail.docx", "A 63545-2019")</f>
        <v/>
      </c>
      <c r="X17">
        <f>HYPERLINK("https://klasma.github.io/Logging_2183/tillsyn/A 63545-2019 tillsynsbegäran.docx", "A 63545-2019")</f>
        <v/>
      </c>
      <c r="Y17">
        <f>HYPERLINK("https://klasma.github.io/Logging_2183/tillsynsmail/A 63545-2019 tillsynsbegäran mail.docx", "A 63545-2019")</f>
        <v/>
      </c>
    </row>
    <row r="18" ht="15" customHeight="1">
      <c r="A18" t="inlineStr">
        <is>
          <t>A 5923-2020</t>
        </is>
      </c>
      <c r="B18" s="1" t="n">
        <v>43864</v>
      </c>
      <c r="C18" s="1" t="n">
        <v>45349</v>
      </c>
      <c r="D18" t="inlineStr">
        <is>
          <t>GÄVLEBORGS LÄN</t>
        </is>
      </c>
      <c r="E18" t="inlineStr">
        <is>
          <t>BOLLNÄS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HYPERLINK("https://klasma.github.io/Logging_2183/artfynd/A 5923-2020 artfynd.xlsx", "A 5923-2020")</f>
        <v/>
      </c>
      <c r="T18">
        <f>HYPERLINK("https://klasma.github.io/Logging_2183/kartor/A 5923-2020 karta.png", "A 5923-2020")</f>
        <v/>
      </c>
      <c r="V18">
        <f>HYPERLINK("https://klasma.github.io/Logging_2183/klagomål/A 5923-2020 FSC-klagomål.docx", "A 5923-2020")</f>
        <v/>
      </c>
      <c r="W18">
        <f>HYPERLINK("https://klasma.github.io/Logging_2183/klagomålsmail/A 5923-2020 FSC-klagomål mail.docx", "A 5923-2020")</f>
        <v/>
      </c>
      <c r="X18">
        <f>HYPERLINK("https://klasma.github.io/Logging_2183/tillsyn/A 5923-2020 tillsynsbegäran.docx", "A 5923-2020")</f>
        <v/>
      </c>
      <c r="Y18">
        <f>HYPERLINK("https://klasma.github.io/Logging_2183/tillsynsmail/A 5923-2020 tillsynsbegäran mail.docx", "A 5923-2020")</f>
        <v/>
      </c>
      <c r="Z18">
        <f>HYPERLINK("https://klasma.github.io/Logging_2183/fåglar/A 5923-2020 prioriterade fågelarter.docx", "A 5923-2020")</f>
        <v/>
      </c>
    </row>
    <row r="19" ht="15" customHeight="1">
      <c r="A19" t="inlineStr">
        <is>
          <t>A 43381-2020</t>
        </is>
      </c>
      <c r="B19" s="1" t="n">
        <v>44081</v>
      </c>
      <c r="C19" s="1" t="n">
        <v>45349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HYPERLINK("https://klasma.github.io/Logging_2183/artfynd/A 43381-2020 artfynd.xlsx", "A 43381-2020")</f>
        <v/>
      </c>
      <c r="T19">
        <f>HYPERLINK("https://klasma.github.io/Logging_2183/kartor/A 43381-2020 karta.png", "A 43381-2020")</f>
        <v/>
      </c>
      <c r="V19">
        <f>HYPERLINK("https://klasma.github.io/Logging_2183/klagomål/A 43381-2020 FSC-klagomål.docx", "A 43381-2020")</f>
        <v/>
      </c>
      <c r="W19">
        <f>HYPERLINK("https://klasma.github.io/Logging_2183/klagomålsmail/A 43381-2020 FSC-klagomål mail.docx", "A 43381-2020")</f>
        <v/>
      </c>
      <c r="X19">
        <f>HYPERLINK("https://klasma.github.io/Logging_2183/tillsyn/A 43381-2020 tillsynsbegäran.docx", "A 43381-2020")</f>
        <v/>
      </c>
      <c r="Y19">
        <f>HYPERLINK("https://klasma.github.io/Logging_2183/tillsynsmail/A 43381-2020 tillsynsbegäran mail.docx", "A 43381-2020")</f>
        <v/>
      </c>
    </row>
    <row r="20" ht="15" customHeight="1">
      <c r="A20" t="inlineStr">
        <is>
          <t>A 65446-2021</t>
        </is>
      </c>
      <c r="B20" s="1" t="n">
        <v>44515</v>
      </c>
      <c r="C20" s="1" t="n">
        <v>45349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14.4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HYPERLINK("https://klasma.github.io/Logging_2183/artfynd/A 65446-2021 artfynd.xlsx", "A 65446-2021")</f>
        <v/>
      </c>
      <c r="T20">
        <f>HYPERLINK("https://klasma.github.io/Logging_2183/kartor/A 65446-2021 karta.png", "A 65446-2021")</f>
        <v/>
      </c>
      <c r="V20">
        <f>HYPERLINK("https://klasma.github.io/Logging_2183/klagomål/A 65446-2021 FSC-klagomål.docx", "A 65446-2021")</f>
        <v/>
      </c>
      <c r="W20">
        <f>HYPERLINK("https://klasma.github.io/Logging_2183/klagomålsmail/A 65446-2021 FSC-klagomål mail.docx", "A 65446-2021")</f>
        <v/>
      </c>
      <c r="X20">
        <f>HYPERLINK("https://klasma.github.io/Logging_2183/tillsyn/A 65446-2021 tillsynsbegäran.docx", "A 65446-2021")</f>
        <v/>
      </c>
      <c r="Y20">
        <f>HYPERLINK("https://klasma.github.io/Logging_2183/tillsynsmail/A 65446-2021 tillsynsbegäran mail.docx", "A 65446-2021")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45349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45349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25802-2023</t>
        </is>
      </c>
      <c r="B23" s="1" t="n">
        <v>45090</v>
      </c>
      <c r="C23" s="1" t="n">
        <v>45349</v>
      </c>
      <c r="D23" t="inlineStr">
        <is>
          <t>GÄVLEBORGS LÄN</t>
        </is>
      </c>
      <c r="E23" t="inlineStr">
        <is>
          <t>BOLLNÄS</t>
        </is>
      </c>
      <c r="G23" t="n">
        <v>12.1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25802-2023 artfynd.xlsx", "A 25802-2023")</f>
        <v/>
      </c>
      <c r="T23">
        <f>HYPERLINK("https://klasma.github.io/Logging_2183/kartor/A 25802-2023 karta.png", "A 25802-2023")</f>
        <v/>
      </c>
      <c r="V23">
        <f>HYPERLINK("https://klasma.github.io/Logging_2183/klagomål/A 25802-2023 FSC-klagomål.docx", "A 25802-2023")</f>
        <v/>
      </c>
      <c r="W23">
        <f>HYPERLINK("https://klasma.github.io/Logging_2183/klagomålsmail/A 25802-2023 FSC-klagomål mail.docx", "A 25802-2023")</f>
        <v/>
      </c>
      <c r="X23">
        <f>HYPERLINK("https://klasma.github.io/Logging_2183/tillsyn/A 25802-2023 tillsynsbegäran.docx", "A 25802-2023")</f>
        <v/>
      </c>
      <c r="Y23">
        <f>HYPERLINK("https://klasma.github.io/Logging_2183/tillsynsmail/A 25802-2023 tillsynsbegäran mail.docx", "A 25802-2023")</f>
        <v/>
      </c>
    </row>
    <row r="24" ht="15" customHeight="1">
      <c r="A24" t="inlineStr">
        <is>
          <t>A 26929-2023</t>
        </is>
      </c>
      <c r="B24" s="1" t="n">
        <v>45093</v>
      </c>
      <c r="C24" s="1" t="n">
        <v>45349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26929-2023 artfynd.xlsx", "A 26929-2023")</f>
        <v/>
      </c>
      <c r="T24">
        <f>HYPERLINK("https://klasma.github.io/Logging_2183/kartor/A 26929-2023 karta.png", "A 26929-2023")</f>
        <v/>
      </c>
      <c r="U24">
        <f>HYPERLINK("https://klasma.github.io/Logging_2183/knärot/A 26929-2023 karta knärot.png", "A 26929-2023")</f>
        <v/>
      </c>
      <c r="V24">
        <f>HYPERLINK("https://klasma.github.io/Logging_2183/klagomål/A 26929-2023 FSC-klagomål.docx", "A 26929-2023")</f>
        <v/>
      </c>
      <c r="W24">
        <f>HYPERLINK("https://klasma.github.io/Logging_2183/klagomålsmail/A 26929-2023 FSC-klagomål mail.docx", "A 26929-2023")</f>
        <v/>
      </c>
      <c r="X24">
        <f>HYPERLINK("https://klasma.github.io/Logging_2183/tillsyn/A 26929-2023 tillsynsbegäran.docx", "A 26929-2023")</f>
        <v/>
      </c>
      <c r="Y24">
        <f>HYPERLINK("https://klasma.github.io/Logging_2183/tillsynsmail/A 26929-2023 tillsynsbegäran mail.docx", "A 26929-2023")</f>
        <v/>
      </c>
    </row>
    <row r="25" ht="15" customHeight="1">
      <c r="A25" t="inlineStr">
        <is>
          <t>A 48983-2023</t>
        </is>
      </c>
      <c r="B25" s="1" t="n">
        <v>45209</v>
      </c>
      <c r="C25" s="1" t="n">
        <v>45349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HYPERLINK("https://klasma.github.io/Logging_2183/artfynd/A 48983-2023 artfynd.xlsx", "A 48983-2023")</f>
        <v/>
      </c>
      <c r="T25">
        <f>HYPERLINK("https://klasma.github.io/Logging_2183/kartor/A 48983-2023 karta.png", "A 48983-2023")</f>
        <v/>
      </c>
      <c r="V25">
        <f>HYPERLINK("https://klasma.github.io/Logging_2183/klagomål/A 48983-2023 FSC-klagomål.docx", "A 48983-2023")</f>
        <v/>
      </c>
      <c r="W25">
        <f>HYPERLINK("https://klasma.github.io/Logging_2183/klagomålsmail/A 48983-2023 FSC-klagomål mail.docx", "A 48983-2023")</f>
        <v/>
      </c>
      <c r="X25">
        <f>HYPERLINK("https://klasma.github.io/Logging_2183/tillsyn/A 48983-2023 tillsynsbegäran.docx", "A 48983-2023")</f>
        <v/>
      </c>
      <c r="Y25">
        <f>HYPERLINK("https://klasma.github.io/Logging_2183/tillsynsmail/A 48983-2023 tillsynsbegäran mail.docx", "A 48983-2023")</f>
        <v/>
      </c>
      <c r="Z25">
        <f>HYPERLINK("https://klasma.github.io/Logging_2183/fåglar/A 48983-2023 prioriterade fågelarter.docx", "A 48983-2023")</f>
        <v/>
      </c>
    </row>
    <row r="26" ht="15" customHeight="1">
      <c r="A26" t="inlineStr">
        <is>
          <t>A 57279-2023</t>
        </is>
      </c>
      <c r="B26" s="1" t="n">
        <v>45239</v>
      </c>
      <c r="C26" s="1" t="n">
        <v>45349</v>
      </c>
      <c r="D26" t="inlineStr">
        <is>
          <t>GÄVLEBORGS LÄN</t>
        </is>
      </c>
      <c r="E26" t="inlineStr">
        <is>
          <t>BOLLNÄS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HYPERLINK("https://klasma.github.io/Logging_2183/artfynd/A 57279-2023 artfynd.xlsx", "A 57279-2023")</f>
        <v/>
      </c>
      <c r="T26">
        <f>HYPERLINK("https://klasma.github.io/Logging_2183/kartor/A 57279-2023 karta.png", "A 57279-2023")</f>
        <v/>
      </c>
      <c r="V26">
        <f>HYPERLINK("https://klasma.github.io/Logging_2183/klagomål/A 57279-2023 FSC-klagomål.docx", "A 57279-2023")</f>
        <v/>
      </c>
      <c r="W26">
        <f>HYPERLINK("https://klasma.github.io/Logging_2183/klagomålsmail/A 57279-2023 FSC-klagomål mail.docx", "A 57279-2023")</f>
        <v/>
      </c>
      <c r="X26">
        <f>HYPERLINK("https://klasma.github.io/Logging_2183/tillsyn/A 57279-2023 tillsynsbegäran.docx", "A 57279-2023")</f>
        <v/>
      </c>
      <c r="Y26">
        <f>HYPERLINK("https://klasma.github.io/Logging_2183/tillsynsmail/A 57279-2023 tillsynsbegäran mail.docx", "A 57279-2023")</f>
        <v/>
      </c>
    </row>
    <row r="27" ht="15" customHeight="1">
      <c r="A27" t="inlineStr">
        <is>
          <t>A 44175-2018</t>
        </is>
      </c>
      <c r="B27" s="1" t="n">
        <v>43360</v>
      </c>
      <c r="C27" s="1" t="n">
        <v>45349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49007-2018</t>
        </is>
      </c>
      <c r="B28" s="1" t="n">
        <v>43375</v>
      </c>
      <c r="C28" s="1" t="n">
        <v>45349</v>
      </c>
      <c r="D28" t="inlineStr">
        <is>
          <t>GÄVLEBORGS LÄN</t>
        </is>
      </c>
      <c r="E28" t="inlineStr">
        <is>
          <t>BOLLNÄS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50992-2018</t>
        </is>
      </c>
      <c r="B29" s="1" t="n">
        <v>43382</v>
      </c>
      <c r="C29" s="1" t="n">
        <v>45349</v>
      </c>
      <c r="D29" t="inlineStr">
        <is>
          <t>GÄVLEBORGS LÄN</t>
        </is>
      </c>
      <c r="E29" t="inlineStr">
        <is>
          <t>BOLLNÄS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72677-2018</t>
        </is>
      </c>
      <c r="B30" s="1" t="n">
        <v>43389</v>
      </c>
      <c r="C30" s="1" t="n">
        <v>45349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54085-2018</t>
        </is>
      </c>
      <c r="B31" s="1" t="n">
        <v>43392</v>
      </c>
      <c r="C31" s="1" t="n">
        <v>45349</v>
      </c>
      <c r="D31" t="inlineStr">
        <is>
          <t>GÄVLEBORGS LÄN</t>
        </is>
      </c>
      <c r="E31" t="inlineStr">
        <is>
          <t>BOLLNÄS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58916-2018</t>
        </is>
      </c>
      <c r="B32" s="1" t="n">
        <v>43410</v>
      </c>
      <c r="C32" s="1" t="n">
        <v>45349</v>
      </c>
      <c r="D32" t="inlineStr">
        <is>
          <t>GÄVLEBORGS LÄN</t>
        </is>
      </c>
      <c r="E32" t="inlineStr">
        <is>
          <t>BOLLNÄS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62718-2018</t>
        </is>
      </c>
      <c r="B33" s="1" t="n">
        <v>43413</v>
      </c>
      <c r="C33" s="1" t="n">
        <v>45349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öst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62131-2018</t>
        </is>
      </c>
      <c r="B34" s="1" t="n">
        <v>43416</v>
      </c>
      <c r="C34" s="1" t="n">
        <v>45349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63169-2018</t>
        </is>
      </c>
      <c r="B35" s="1" t="n">
        <v>43418</v>
      </c>
      <c r="C35" s="1" t="n">
        <v>45349</v>
      </c>
      <c r="D35" t="inlineStr">
        <is>
          <t>GÄVLEBORGS LÄN</t>
        </is>
      </c>
      <c r="E35" t="inlineStr">
        <is>
          <t>BOLLNÄS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63168-2018</t>
        </is>
      </c>
      <c r="B36" s="1" t="n">
        <v>43418</v>
      </c>
      <c r="C36" s="1" t="n">
        <v>45349</v>
      </c>
      <c r="D36" t="inlineStr">
        <is>
          <t>GÄVLEBORGS LÄN</t>
        </is>
      </c>
      <c r="E36" t="inlineStr">
        <is>
          <t>BOLLNÄS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63026-2018</t>
        </is>
      </c>
      <c r="B37" s="1" t="n">
        <v>43418</v>
      </c>
      <c r="C37" s="1" t="n">
        <v>45349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59547-2018</t>
        </is>
      </c>
      <c r="B38" s="1" t="n">
        <v>43419</v>
      </c>
      <c r="C38" s="1" t="n">
        <v>45349</v>
      </c>
      <c r="D38" t="inlineStr">
        <is>
          <t>GÄVLEBORGS LÄN</t>
        </is>
      </c>
      <c r="E38" t="inlineStr">
        <is>
          <t>BOLLNÄS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60367-2018</t>
        </is>
      </c>
      <c r="B39" s="1" t="n">
        <v>43420</v>
      </c>
      <c r="C39" s="1" t="n">
        <v>45349</v>
      </c>
      <c r="D39" t="inlineStr">
        <is>
          <t>GÄVLEBORGS LÄN</t>
        </is>
      </c>
      <c r="E39" t="inlineStr">
        <is>
          <t>BOLLNÄS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61419-2018</t>
        </is>
      </c>
      <c r="B40" s="1" t="n">
        <v>43424</v>
      </c>
      <c r="C40" s="1" t="n">
        <v>45349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61453-2018</t>
        </is>
      </c>
      <c r="B41" s="1" t="n">
        <v>43424</v>
      </c>
      <c r="C41" s="1" t="n">
        <v>45349</v>
      </c>
      <c r="D41" t="inlineStr">
        <is>
          <t>GÄVLEBORGS LÄN</t>
        </is>
      </c>
      <c r="E41" t="inlineStr">
        <is>
          <t>BOLLNÄS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61488-2018</t>
        </is>
      </c>
      <c r="B42" s="1" t="n">
        <v>43424</v>
      </c>
      <c r="C42" s="1" t="n">
        <v>45349</v>
      </c>
      <c r="D42" t="inlineStr">
        <is>
          <t>GÄVLEBORGS LÄN</t>
        </is>
      </c>
      <c r="E42" t="inlineStr">
        <is>
          <t>BOLLNÄS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65275-2018</t>
        </is>
      </c>
      <c r="B43" s="1" t="n">
        <v>43424</v>
      </c>
      <c r="C43" s="1" t="n">
        <v>45349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61498-2018</t>
        </is>
      </c>
      <c r="B44" s="1" t="n">
        <v>43424</v>
      </c>
      <c r="C44" s="1" t="n">
        <v>45349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61429-2018</t>
        </is>
      </c>
      <c r="B45" s="1" t="n">
        <v>43424</v>
      </c>
      <c r="C45" s="1" t="n">
        <v>45349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61410-2018</t>
        </is>
      </c>
      <c r="B46" s="1" t="n">
        <v>43424</v>
      </c>
      <c r="C46" s="1" t="n">
        <v>45349</v>
      </c>
      <c r="D46" t="inlineStr">
        <is>
          <t>GÄVLEBORGS LÄN</t>
        </is>
      </c>
      <c r="E46" t="inlineStr">
        <is>
          <t>BOLLNÄS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66319-2018</t>
        </is>
      </c>
      <c r="B47" s="1" t="n">
        <v>43427</v>
      </c>
      <c r="C47" s="1" t="n">
        <v>45349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66313-2018</t>
        </is>
      </c>
      <c r="B48" s="1" t="n">
        <v>43427</v>
      </c>
      <c r="C48" s="1" t="n">
        <v>45349</v>
      </c>
      <c r="D48" t="inlineStr">
        <is>
          <t>GÄVLEBORGS LÄN</t>
        </is>
      </c>
      <c r="E48" t="inlineStr">
        <is>
          <t>BOLLNÄS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63584-2018</t>
        </is>
      </c>
      <c r="B49" s="1" t="n">
        <v>43427</v>
      </c>
      <c r="C49" s="1" t="n">
        <v>45349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66317-2018</t>
        </is>
      </c>
      <c r="B50" s="1" t="n">
        <v>43427</v>
      </c>
      <c r="C50" s="1" t="n">
        <v>45349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63334-2018</t>
        </is>
      </c>
      <c r="B51" s="1" t="n">
        <v>43427</v>
      </c>
      <c r="C51" s="1" t="n">
        <v>45349</v>
      </c>
      <c r="D51" t="inlineStr">
        <is>
          <t>GÄVLEBORGS LÄN</t>
        </is>
      </c>
      <c r="E51" t="inlineStr">
        <is>
          <t>BOLLNÄS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64283-2018</t>
        </is>
      </c>
      <c r="B52" s="1" t="n">
        <v>43430</v>
      </c>
      <c r="C52" s="1" t="n">
        <v>45349</v>
      </c>
      <c r="D52" t="inlineStr">
        <is>
          <t>GÄVLEBORGS LÄN</t>
        </is>
      </c>
      <c r="E52" t="inlineStr">
        <is>
          <t>BOLLNÄS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64827-2018</t>
        </is>
      </c>
      <c r="B53" s="1" t="n">
        <v>43431</v>
      </c>
      <c r="C53" s="1" t="n">
        <v>45349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64806-2018</t>
        </is>
      </c>
      <c r="B54" s="1" t="n">
        <v>43431</v>
      </c>
      <c r="C54" s="1" t="n">
        <v>45349</v>
      </c>
      <c r="D54" t="inlineStr">
        <is>
          <t>GÄVLEBORGS LÄN</t>
        </is>
      </c>
      <c r="E54" t="inlineStr">
        <is>
          <t>BOLLNÄS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66088-2018</t>
        </is>
      </c>
      <c r="B55" s="1" t="n">
        <v>43434</v>
      </c>
      <c r="C55" s="1" t="n">
        <v>45349</v>
      </c>
      <c r="D55" t="inlineStr">
        <is>
          <t>GÄVLEBORGS LÄN</t>
        </is>
      </c>
      <c r="E55" t="inlineStr">
        <is>
          <t>BOLLNÄS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66092-2018</t>
        </is>
      </c>
      <c r="B56" s="1" t="n">
        <v>43434</v>
      </c>
      <c r="C56" s="1" t="n">
        <v>45349</v>
      </c>
      <c r="D56" t="inlineStr">
        <is>
          <t>GÄVLEBORGS LÄN</t>
        </is>
      </c>
      <c r="E56" t="inlineStr">
        <is>
          <t>BOLLNÄS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66460-2018</t>
        </is>
      </c>
      <c r="B57" s="1" t="n">
        <v>43437</v>
      </c>
      <c r="C57" s="1" t="n">
        <v>45349</v>
      </c>
      <c r="D57" t="inlineStr">
        <is>
          <t>GÄVLEBORGS LÄN</t>
        </is>
      </c>
      <c r="E57" t="inlineStr">
        <is>
          <t>BOLLNÄS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68278-2018</t>
        </is>
      </c>
      <c r="B58" s="1" t="n">
        <v>43441</v>
      </c>
      <c r="C58" s="1" t="n">
        <v>45349</v>
      </c>
      <c r="D58" t="inlineStr">
        <is>
          <t>GÄVLEBORGS LÄN</t>
        </is>
      </c>
      <c r="E58" t="inlineStr">
        <is>
          <t>BOLLNÄS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68517-2018</t>
        </is>
      </c>
      <c r="B59" s="1" t="n">
        <v>43444</v>
      </c>
      <c r="C59" s="1" t="n">
        <v>45349</v>
      </c>
      <c r="D59" t="inlineStr">
        <is>
          <t>GÄVLEBORGS LÄN</t>
        </is>
      </c>
      <c r="E59" t="inlineStr">
        <is>
          <t>BOLLNÄS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69192-2018</t>
        </is>
      </c>
      <c r="B60" s="1" t="n">
        <v>43445</v>
      </c>
      <c r="C60" s="1" t="n">
        <v>45349</v>
      </c>
      <c r="D60" t="inlineStr">
        <is>
          <t>GÄVLEBORGS LÄN</t>
        </is>
      </c>
      <c r="E60" t="inlineStr">
        <is>
          <t>BOLLNÄS</t>
        </is>
      </c>
      <c r="G60" t="n">
        <v>15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69087-2018</t>
        </is>
      </c>
      <c r="B61" s="1" t="n">
        <v>43445</v>
      </c>
      <c r="C61" s="1" t="n">
        <v>45349</v>
      </c>
      <c r="D61" t="inlineStr">
        <is>
          <t>GÄVLEBORGS LÄN</t>
        </is>
      </c>
      <c r="E61" t="inlineStr">
        <is>
          <t>BOLLNÄS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69271-2018</t>
        </is>
      </c>
      <c r="B62" s="1" t="n">
        <v>43446</v>
      </c>
      <c r="C62" s="1" t="n">
        <v>45349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69253-2018</t>
        </is>
      </c>
      <c r="B63" s="1" t="n">
        <v>43446</v>
      </c>
      <c r="C63" s="1" t="n">
        <v>45349</v>
      </c>
      <c r="D63" t="inlineStr">
        <is>
          <t>GÄVLEBORGS LÄN</t>
        </is>
      </c>
      <c r="E63" t="inlineStr">
        <is>
          <t>BOLLNÄS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69723-2018</t>
        </is>
      </c>
      <c r="B64" s="1" t="n">
        <v>43447</v>
      </c>
      <c r="C64" s="1" t="n">
        <v>45349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1260-2019</t>
        </is>
      </c>
      <c r="B65" s="1" t="n">
        <v>43448</v>
      </c>
      <c r="C65" s="1" t="n">
        <v>45349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70961-2018</t>
        </is>
      </c>
      <c r="B66" s="1" t="n">
        <v>43452</v>
      </c>
      <c r="C66" s="1" t="n">
        <v>45349</v>
      </c>
      <c r="D66" t="inlineStr">
        <is>
          <t>GÄVLEBORGS LÄN</t>
        </is>
      </c>
      <c r="E66" t="inlineStr">
        <is>
          <t>BOLLNÄS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70963-2018</t>
        </is>
      </c>
      <c r="B67" s="1" t="n">
        <v>43452</v>
      </c>
      <c r="C67" s="1" t="n">
        <v>45349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71808-2018</t>
        </is>
      </c>
      <c r="B68" s="1" t="n">
        <v>43454</v>
      </c>
      <c r="C68" s="1" t="n">
        <v>45349</v>
      </c>
      <c r="D68" t="inlineStr">
        <is>
          <t>GÄVLEBORGS LÄN</t>
        </is>
      </c>
      <c r="E68" t="inlineStr">
        <is>
          <t>BOLLNÄS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791-2019</t>
        </is>
      </c>
      <c r="B69" s="1" t="n">
        <v>43455</v>
      </c>
      <c r="C69" s="1" t="n">
        <v>45349</v>
      </c>
      <c r="D69" t="inlineStr">
        <is>
          <t>GÄVLEBORGS LÄN</t>
        </is>
      </c>
      <c r="E69" t="inlineStr">
        <is>
          <t>BOLLNÄS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71915-2018</t>
        </is>
      </c>
      <c r="B70" s="1" t="n">
        <v>43455</v>
      </c>
      <c r="C70" s="1" t="n">
        <v>45349</v>
      </c>
      <c r="D70" t="inlineStr">
        <is>
          <t>GÄVLEBORGS LÄN</t>
        </is>
      </c>
      <c r="E70" t="inlineStr">
        <is>
          <t>BOLLNÄS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146-2019</t>
        </is>
      </c>
      <c r="B71" s="1" t="n">
        <v>43467</v>
      </c>
      <c r="C71" s="1" t="n">
        <v>45349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31-2019</t>
        </is>
      </c>
      <c r="B72" s="1" t="n">
        <v>43467</v>
      </c>
      <c r="C72" s="1" t="n">
        <v>45349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905-2019</t>
        </is>
      </c>
      <c r="B73" s="1" t="n">
        <v>43472</v>
      </c>
      <c r="C73" s="1" t="n">
        <v>45349</v>
      </c>
      <c r="D73" t="inlineStr">
        <is>
          <t>GÄVLEBORGS LÄN</t>
        </is>
      </c>
      <c r="E73" t="inlineStr">
        <is>
          <t>BOLLNÄS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1048-2019</t>
        </is>
      </c>
      <c r="B74" s="1" t="n">
        <v>43472</v>
      </c>
      <c r="C74" s="1" t="n">
        <v>45349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787-2019</t>
        </is>
      </c>
      <c r="B75" s="1" t="n">
        <v>43472</v>
      </c>
      <c r="C75" s="1" t="n">
        <v>45349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2423-2019</t>
        </is>
      </c>
      <c r="B76" s="1" t="n">
        <v>43476</v>
      </c>
      <c r="C76" s="1" t="n">
        <v>45349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2422-2019</t>
        </is>
      </c>
      <c r="B77" s="1" t="n">
        <v>43476</v>
      </c>
      <c r="C77" s="1" t="n">
        <v>45349</v>
      </c>
      <c r="D77" t="inlineStr">
        <is>
          <t>GÄVLEBORGS LÄN</t>
        </is>
      </c>
      <c r="E77" t="inlineStr">
        <is>
          <t>BOLLNÄS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2416-2019</t>
        </is>
      </c>
      <c r="B78" s="1" t="n">
        <v>43476</v>
      </c>
      <c r="C78" s="1" t="n">
        <v>45349</v>
      </c>
      <c r="D78" t="inlineStr">
        <is>
          <t>GÄVLEBORGS LÄN</t>
        </is>
      </c>
      <c r="E78" t="inlineStr">
        <is>
          <t>BOLLNÄS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2425-2019</t>
        </is>
      </c>
      <c r="B79" s="1" t="n">
        <v>43476</v>
      </c>
      <c r="C79" s="1" t="n">
        <v>45349</v>
      </c>
      <c r="D79" t="inlineStr">
        <is>
          <t>GÄVLEBORGS LÄN</t>
        </is>
      </c>
      <c r="E79" t="inlineStr">
        <is>
          <t>BOLLNÄS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3230-2019</t>
        </is>
      </c>
      <c r="B80" s="1" t="n">
        <v>43480</v>
      </c>
      <c r="C80" s="1" t="n">
        <v>45349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3917-2019</t>
        </is>
      </c>
      <c r="B81" s="1" t="n">
        <v>43482</v>
      </c>
      <c r="C81" s="1" t="n">
        <v>45349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3924-2019</t>
        </is>
      </c>
      <c r="B82" s="1" t="n">
        <v>43482</v>
      </c>
      <c r="C82" s="1" t="n">
        <v>45349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7454-2019</t>
        </is>
      </c>
      <c r="B83" s="1" t="n">
        <v>43497</v>
      </c>
      <c r="C83" s="1" t="n">
        <v>45349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9315-2019</t>
        </is>
      </c>
      <c r="B84" s="1" t="n">
        <v>43507</v>
      </c>
      <c r="C84" s="1" t="n">
        <v>45349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9872-2019</t>
        </is>
      </c>
      <c r="B85" s="1" t="n">
        <v>43509</v>
      </c>
      <c r="C85" s="1" t="n">
        <v>45349</v>
      </c>
      <c r="D85" t="inlineStr">
        <is>
          <t>GÄVLEBORGS LÄN</t>
        </is>
      </c>
      <c r="E85" t="inlineStr">
        <is>
          <t>BOLLNÄS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10877-2019</t>
        </is>
      </c>
      <c r="B86" s="1" t="n">
        <v>43515</v>
      </c>
      <c r="C86" s="1" t="n">
        <v>45349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11489-2019</t>
        </is>
      </c>
      <c r="B87" s="1" t="n">
        <v>43517</v>
      </c>
      <c r="C87" s="1" t="n">
        <v>45349</v>
      </c>
      <c r="D87" t="inlineStr">
        <is>
          <t>GÄVLEBORGS LÄN</t>
        </is>
      </c>
      <c r="E87" t="inlineStr">
        <is>
          <t>BOLLNÄS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11652-2019</t>
        </is>
      </c>
      <c r="B88" s="1" t="n">
        <v>43518</v>
      </c>
      <c r="C88" s="1" t="n">
        <v>45349</v>
      </c>
      <c r="D88" t="inlineStr">
        <is>
          <t>GÄVLEBORGS LÄN</t>
        </is>
      </c>
      <c r="E88" t="inlineStr">
        <is>
          <t>BOLLNÄS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12118-2019</t>
        </is>
      </c>
      <c r="B89" s="1" t="n">
        <v>43522</v>
      </c>
      <c r="C89" s="1" t="n">
        <v>45349</v>
      </c>
      <c r="D89" t="inlineStr">
        <is>
          <t>GÄVLEBORGS LÄN</t>
        </is>
      </c>
      <c r="E89" t="inlineStr">
        <is>
          <t>BOLLNÄS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12319-2019</t>
        </is>
      </c>
      <c r="B90" s="1" t="n">
        <v>43523</v>
      </c>
      <c r="C90" s="1" t="n">
        <v>45349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13034-2019</t>
        </is>
      </c>
      <c r="B91" s="1" t="n">
        <v>43528</v>
      </c>
      <c r="C91" s="1" t="n">
        <v>45349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13028-2019</t>
        </is>
      </c>
      <c r="B92" s="1" t="n">
        <v>43528</v>
      </c>
      <c r="C92" s="1" t="n">
        <v>45349</v>
      </c>
      <c r="D92" t="inlineStr">
        <is>
          <t>GÄVLEBORGS LÄN</t>
        </is>
      </c>
      <c r="E92" t="inlineStr">
        <is>
          <t>BOLLNÄS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13287-2019</t>
        </is>
      </c>
      <c r="B93" s="1" t="n">
        <v>43529</v>
      </c>
      <c r="C93" s="1" t="n">
        <v>45349</v>
      </c>
      <c r="D93" t="inlineStr">
        <is>
          <t>GÄVLEBORGS LÄN</t>
        </is>
      </c>
      <c r="E93" t="inlineStr">
        <is>
          <t>BOLLNÄS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13946-2019</t>
        </is>
      </c>
      <c r="B94" s="1" t="n">
        <v>43532</v>
      </c>
      <c r="C94" s="1" t="n">
        <v>45349</v>
      </c>
      <c r="D94" t="inlineStr">
        <is>
          <t>GÄVLEBORGS LÄN</t>
        </is>
      </c>
      <c r="E94" t="inlineStr">
        <is>
          <t>BOLLNÄS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13997-2019</t>
        </is>
      </c>
      <c r="B95" s="1" t="n">
        <v>43532</v>
      </c>
      <c r="C95" s="1" t="n">
        <v>45349</v>
      </c>
      <c r="D95" t="inlineStr">
        <is>
          <t>GÄVLEBORGS LÄN</t>
        </is>
      </c>
      <c r="E95" t="inlineStr">
        <is>
          <t>BOLLNÄS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14390-2019</t>
        </is>
      </c>
      <c r="B96" s="1" t="n">
        <v>43536</v>
      </c>
      <c r="C96" s="1" t="n">
        <v>45349</v>
      </c>
      <c r="D96" t="inlineStr">
        <is>
          <t>GÄVLEBORGS LÄN</t>
        </is>
      </c>
      <c r="E96" t="inlineStr">
        <is>
          <t>BOLLNÄS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14981-2019</t>
        </is>
      </c>
      <c r="B97" s="1" t="n">
        <v>43537</v>
      </c>
      <c r="C97" s="1" t="n">
        <v>45349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18405-2019</t>
        </is>
      </c>
      <c r="B98" s="1" t="n">
        <v>43559</v>
      </c>
      <c r="C98" s="1" t="n">
        <v>45349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18667-2019</t>
        </is>
      </c>
      <c r="B99" s="1" t="n">
        <v>43560</v>
      </c>
      <c r="C99" s="1" t="n">
        <v>45349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19004-2019</t>
        </is>
      </c>
      <c r="B100" s="1" t="n">
        <v>43563</v>
      </c>
      <c r="C100" s="1" t="n">
        <v>45349</v>
      </c>
      <c r="D100" t="inlineStr">
        <is>
          <t>GÄVLEBORGS LÄN</t>
        </is>
      </c>
      <c r="E100" t="inlineStr">
        <is>
          <t>BOLLNÄS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19161-2019</t>
        </is>
      </c>
      <c r="B101" s="1" t="n">
        <v>43564</v>
      </c>
      <c r="C101" s="1" t="n">
        <v>45349</v>
      </c>
      <c r="D101" t="inlineStr">
        <is>
          <t>GÄVLEBORGS LÄN</t>
        </is>
      </c>
      <c r="E101" t="inlineStr">
        <is>
          <t>BOLLNÄS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19908-2019</t>
        </is>
      </c>
      <c r="B102" s="1" t="n">
        <v>43567</v>
      </c>
      <c r="C102" s="1" t="n">
        <v>45349</v>
      </c>
      <c r="D102" t="inlineStr">
        <is>
          <t>GÄVLEBORGS LÄN</t>
        </is>
      </c>
      <c r="E102" t="inlineStr">
        <is>
          <t>BOLLNÄS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20413-2019</t>
        </is>
      </c>
      <c r="B103" s="1" t="n">
        <v>43571</v>
      </c>
      <c r="C103" s="1" t="n">
        <v>45349</v>
      </c>
      <c r="D103" t="inlineStr">
        <is>
          <t>GÄVLEBORGS LÄN</t>
        </is>
      </c>
      <c r="E103" t="inlineStr">
        <is>
          <t>BOLLNÄS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21449-2019</t>
        </is>
      </c>
      <c r="B104" s="1" t="n">
        <v>43580</v>
      </c>
      <c r="C104" s="1" t="n">
        <v>45349</v>
      </c>
      <c r="D104" t="inlineStr">
        <is>
          <t>GÄVLEBORGS LÄN</t>
        </is>
      </c>
      <c r="E104" t="inlineStr">
        <is>
          <t>BOLLNÄS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21823-2019</t>
        </is>
      </c>
      <c r="B105" s="1" t="n">
        <v>43583</v>
      </c>
      <c r="C105" s="1" t="n">
        <v>45349</v>
      </c>
      <c r="D105" t="inlineStr">
        <is>
          <t>GÄVLEBORGS LÄN</t>
        </is>
      </c>
      <c r="E105" t="inlineStr">
        <is>
          <t>BOLLNÄS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22526-2019</t>
        </is>
      </c>
      <c r="B106" s="1" t="n">
        <v>43587</v>
      </c>
      <c r="C106" s="1" t="n">
        <v>45349</v>
      </c>
      <c r="D106" t="inlineStr">
        <is>
          <t>GÄVLEBORGS LÄN</t>
        </is>
      </c>
      <c r="E106" t="inlineStr">
        <is>
          <t>BOLLNÄS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23441-2019</t>
        </is>
      </c>
      <c r="B107" s="1" t="n">
        <v>43593</v>
      </c>
      <c r="C107" s="1" t="n">
        <v>45349</v>
      </c>
      <c r="D107" t="inlineStr">
        <is>
          <t>GÄVLEBORGS LÄN</t>
        </is>
      </c>
      <c r="E107" t="inlineStr">
        <is>
          <t>BOLLNÄS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23400-2019</t>
        </is>
      </c>
      <c r="B108" s="1" t="n">
        <v>43593</v>
      </c>
      <c r="C108" s="1" t="n">
        <v>45349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23617-2019</t>
        </is>
      </c>
      <c r="B109" s="1" t="n">
        <v>43594</v>
      </c>
      <c r="C109" s="1" t="n">
        <v>45349</v>
      </c>
      <c r="D109" t="inlineStr">
        <is>
          <t>GÄVLEBORGS LÄN</t>
        </is>
      </c>
      <c r="E109" t="inlineStr">
        <is>
          <t>BOLLNÄS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23997-2019</t>
        </is>
      </c>
      <c r="B110" s="1" t="n">
        <v>43598</v>
      </c>
      <c r="C110" s="1" t="n">
        <v>45349</v>
      </c>
      <c r="D110" t="inlineStr">
        <is>
          <t>GÄVLEBORGS LÄN</t>
        </is>
      </c>
      <c r="E110" t="inlineStr">
        <is>
          <t>BOLLNÄS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24237-2019</t>
        </is>
      </c>
      <c r="B111" s="1" t="n">
        <v>43599</v>
      </c>
      <c r="C111" s="1" t="n">
        <v>45349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24325-2019</t>
        </is>
      </c>
      <c r="B112" s="1" t="n">
        <v>43599</v>
      </c>
      <c r="C112" s="1" t="n">
        <v>45349</v>
      </c>
      <c r="D112" t="inlineStr">
        <is>
          <t>GÄVLEBORGS LÄN</t>
        </is>
      </c>
      <c r="E112" t="inlineStr">
        <is>
          <t>BOLLNÄS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24251-2019</t>
        </is>
      </c>
      <c r="B113" s="1" t="n">
        <v>43599</v>
      </c>
      <c r="C113" s="1" t="n">
        <v>45349</v>
      </c>
      <c r="D113" t="inlineStr">
        <is>
          <t>GÄVLEBORGS LÄN</t>
        </is>
      </c>
      <c r="E113" t="inlineStr">
        <is>
          <t>BOLLNÄS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25074-2019</t>
        </is>
      </c>
      <c r="B114" s="1" t="n">
        <v>43605</v>
      </c>
      <c r="C114" s="1" t="n">
        <v>45349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25637-2019</t>
        </is>
      </c>
      <c r="B115" s="1" t="n">
        <v>43607</v>
      </c>
      <c r="C115" s="1" t="n">
        <v>45349</v>
      </c>
      <c r="D115" t="inlineStr">
        <is>
          <t>GÄVLEBORGS LÄN</t>
        </is>
      </c>
      <c r="E115" t="inlineStr">
        <is>
          <t>BOLLNÄS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26543-2019</t>
        </is>
      </c>
      <c r="B116" s="1" t="n">
        <v>43612</v>
      </c>
      <c r="C116" s="1" t="n">
        <v>45349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27133-2019</t>
        </is>
      </c>
      <c r="B117" s="1" t="n">
        <v>43614</v>
      </c>
      <c r="C117" s="1" t="n">
        <v>45349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27639-2019</t>
        </is>
      </c>
      <c r="B118" s="1" t="n">
        <v>43619</v>
      </c>
      <c r="C118" s="1" t="n">
        <v>45349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27693-2019</t>
        </is>
      </c>
      <c r="B119" s="1" t="n">
        <v>43619</v>
      </c>
      <c r="C119" s="1" t="n">
        <v>45349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27685-2019</t>
        </is>
      </c>
      <c r="B120" s="1" t="n">
        <v>43619</v>
      </c>
      <c r="C120" s="1" t="n">
        <v>45349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27680-2019</t>
        </is>
      </c>
      <c r="B121" s="1" t="n">
        <v>43619</v>
      </c>
      <c r="C121" s="1" t="n">
        <v>45349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27845-2019</t>
        </is>
      </c>
      <c r="B122" s="1" t="n">
        <v>43620</v>
      </c>
      <c r="C122" s="1" t="n">
        <v>45349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27888-2019</t>
        </is>
      </c>
      <c r="B123" s="1" t="n">
        <v>43620</v>
      </c>
      <c r="C123" s="1" t="n">
        <v>45349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29255-2019</t>
        </is>
      </c>
      <c r="B124" s="1" t="n">
        <v>43629</v>
      </c>
      <c r="C124" s="1" t="n">
        <v>45349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29401-2019</t>
        </is>
      </c>
      <c r="B125" s="1" t="n">
        <v>43629</v>
      </c>
      <c r="C125" s="1" t="n">
        <v>45349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29852-2019</t>
        </is>
      </c>
      <c r="B126" s="1" t="n">
        <v>43633</v>
      </c>
      <c r="C126" s="1" t="n">
        <v>45349</v>
      </c>
      <c r="D126" t="inlineStr">
        <is>
          <t>GÄVLEBORGS LÄN</t>
        </is>
      </c>
      <c r="E126" t="inlineStr">
        <is>
          <t>BOLLNÄS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30417-2019</t>
        </is>
      </c>
      <c r="B127" s="1" t="n">
        <v>43635</v>
      </c>
      <c r="C127" s="1" t="n">
        <v>45349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31082-2019</t>
        </is>
      </c>
      <c r="B128" s="1" t="n">
        <v>43640</v>
      </c>
      <c r="C128" s="1" t="n">
        <v>45349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31538-2019</t>
        </is>
      </c>
      <c r="B129" s="1" t="n">
        <v>43641</v>
      </c>
      <c r="C129" s="1" t="n">
        <v>45349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31914-2019</t>
        </is>
      </c>
      <c r="B130" s="1" t="n">
        <v>43643</v>
      </c>
      <c r="C130" s="1" t="n">
        <v>45349</v>
      </c>
      <c r="D130" t="inlineStr">
        <is>
          <t>GÄVLEBORGS LÄN</t>
        </is>
      </c>
      <c r="E130" t="inlineStr">
        <is>
          <t>BOLLNÄS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33064-2019</t>
        </is>
      </c>
      <c r="B131" s="1" t="n">
        <v>43649</v>
      </c>
      <c r="C131" s="1" t="n">
        <v>45349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33120-2019</t>
        </is>
      </c>
      <c r="B132" s="1" t="n">
        <v>43649</v>
      </c>
      <c r="C132" s="1" t="n">
        <v>45349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33248-2019</t>
        </is>
      </c>
      <c r="B133" s="1" t="n">
        <v>43650</v>
      </c>
      <c r="C133" s="1" t="n">
        <v>45349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33507-2019</t>
        </is>
      </c>
      <c r="B134" s="1" t="n">
        <v>43651</v>
      </c>
      <c r="C134" s="1" t="n">
        <v>45349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34019-2019</t>
        </is>
      </c>
      <c r="B135" s="1" t="n">
        <v>43654</v>
      </c>
      <c r="C135" s="1" t="n">
        <v>45349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34321-2019</t>
        </is>
      </c>
      <c r="B136" s="1" t="n">
        <v>43656</v>
      </c>
      <c r="C136" s="1" t="n">
        <v>45349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34610-2019</t>
        </is>
      </c>
      <c r="B137" s="1" t="n">
        <v>43657</v>
      </c>
      <c r="C137" s="1" t="n">
        <v>45349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34516-2019</t>
        </is>
      </c>
      <c r="B138" s="1" t="n">
        <v>43657</v>
      </c>
      <c r="C138" s="1" t="n">
        <v>45349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35610-2019</t>
        </is>
      </c>
      <c r="B139" s="1" t="n">
        <v>43664</v>
      </c>
      <c r="C139" s="1" t="n">
        <v>45349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39020-2019</t>
        </is>
      </c>
      <c r="B140" s="1" t="n">
        <v>43689</v>
      </c>
      <c r="C140" s="1" t="n">
        <v>45349</v>
      </c>
      <c r="D140" t="inlineStr">
        <is>
          <t>GÄVLEBORGS LÄN</t>
        </is>
      </c>
      <c r="E140" t="inlineStr">
        <is>
          <t>BOLLNÄS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39643-2019</t>
        </is>
      </c>
      <c r="B141" s="1" t="n">
        <v>43691</v>
      </c>
      <c r="C141" s="1" t="n">
        <v>45349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41047-2019</t>
        </is>
      </c>
      <c r="B142" s="1" t="n">
        <v>43698</v>
      </c>
      <c r="C142" s="1" t="n">
        <v>45349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41365-2019</t>
        </is>
      </c>
      <c r="B143" s="1" t="n">
        <v>43698</v>
      </c>
      <c r="C143" s="1" t="n">
        <v>45349</v>
      </c>
      <c r="D143" t="inlineStr">
        <is>
          <t>GÄVLEBORGS LÄN</t>
        </is>
      </c>
      <c r="E143" t="inlineStr">
        <is>
          <t>BOLLNÄS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42181-2019</t>
        </is>
      </c>
      <c r="B144" s="1" t="n">
        <v>43703</v>
      </c>
      <c r="C144" s="1" t="n">
        <v>45349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42122-2019</t>
        </is>
      </c>
      <c r="B145" s="1" t="n">
        <v>43703</v>
      </c>
      <c r="C145" s="1" t="n">
        <v>45349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42596-2019</t>
        </is>
      </c>
      <c r="B146" s="1" t="n">
        <v>43704</v>
      </c>
      <c r="C146" s="1" t="n">
        <v>45349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42598-2019</t>
        </is>
      </c>
      <c r="B147" s="1" t="n">
        <v>43704</v>
      </c>
      <c r="C147" s="1" t="n">
        <v>45349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42908-2019</t>
        </is>
      </c>
      <c r="B148" s="1" t="n">
        <v>43705</v>
      </c>
      <c r="C148" s="1" t="n">
        <v>45349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43529-2019</t>
        </is>
      </c>
      <c r="B149" s="1" t="n">
        <v>43706</v>
      </c>
      <c r="C149" s="1" t="n">
        <v>45349</v>
      </c>
      <c r="D149" t="inlineStr">
        <is>
          <t>GÄVLEBORGS LÄN</t>
        </is>
      </c>
      <c r="E149" t="inlineStr">
        <is>
          <t>BOLLNÄS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43780-2019</t>
        </is>
      </c>
      <c r="B150" s="1" t="n">
        <v>43707</v>
      </c>
      <c r="C150" s="1" t="n">
        <v>45349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43778-2019</t>
        </is>
      </c>
      <c r="B151" s="1" t="n">
        <v>43707</v>
      </c>
      <c r="C151" s="1" t="n">
        <v>45349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44212-2019</t>
        </is>
      </c>
      <c r="B152" s="1" t="n">
        <v>43710</v>
      </c>
      <c r="C152" s="1" t="n">
        <v>45349</v>
      </c>
      <c r="D152" t="inlineStr">
        <is>
          <t>GÄVLEBORGS LÄN</t>
        </is>
      </c>
      <c r="E152" t="inlineStr">
        <is>
          <t>BOLLNÄS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44342-2019</t>
        </is>
      </c>
      <c r="B153" s="1" t="n">
        <v>43711</v>
      </c>
      <c r="C153" s="1" t="n">
        <v>45349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45595-2019</t>
        </is>
      </c>
      <c r="B154" s="1" t="n">
        <v>43717</v>
      </c>
      <c r="C154" s="1" t="n">
        <v>45349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46273-2019</t>
        </is>
      </c>
      <c r="B155" s="1" t="n">
        <v>43718</v>
      </c>
      <c r="C155" s="1" t="n">
        <v>45349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46253-2019</t>
        </is>
      </c>
      <c r="B156" s="1" t="n">
        <v>43718</v>
      </c>
      <c r="C156" s="1" t="n">
        <v>45349</v>
      </c>
      <c r="D156" t="inlineStr">
        <is>
          <t>GÄVLEBORGS LÄN</t>
        </is>
      </c>
      <c r="E156" t="inlineStr">
        <is>
          <t>BOLLNÄS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47182-2019</t>
        </is>
      </c>
      <c r="B157" s="1" t="n">
        <v>43721</v>
      </c>
      <c r="C157" s="1" t="n">
        <v>45349</v>
      </c>
      <c r="D157" t="inlineStr">
        <is>
          <t>GÄVLEBORGS LÄN</t>
        </is>
      </c>
      <c r="E157" t="inlineStr">
        <is>
          <t>BOLLNÄS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48344-2019</t>
        </is>
      </c>
      <c r="B158" s="1" t="n">
        <v>43726</v>
      </c>
      <c r="C158" s="1" t="n">
        <v>45349</v>
      </c>
      <c r="D158" t="inlineStr">
        <is>
          <t>GÄVLEBORGS LÄN</t>
        </is>
      </c>
      <c r="E158" t="inlineStr">
        <is>
          <t>BOLLNÄS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49520-2019</t>
        </is>
      </c>
      <c r="B159" s="1" t="n">
        <v>43732</v>
      </c>
      <c r="C159" s="1" t="n">
        <v>45349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49909-2019</t>
        </is>
      </c>
      <c r="B160" s="1" t="n">
        <v>43733</v>
      </c>
      <c r="C160" s="1" t="n">
        <v>45349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49906-2019</t>
        </is>
      </c>
      <c r="B161" s="1" t="n">
        <v>43733</v>
      </c>
      <c r="C161" s="1" t="n">
        <v>45349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50705-2019</t>
        </is>
      </c>
      <c r="B162" s="1" t="n">
        <v>43738</v>
      </c>
      <c r="C162" s="1" t="n">
        <v>45349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51162-2019</t>
        </is>
      </c>
      <c r="B163" s="1" t="n">
        <v>43739</v>
      </c>
      <c r="C163" s="1" t="n">
        <v>45349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51425-2019</t>
        </is>
      </c>
      <c r="B164" s="1" t="n">
        <v>43740</v>
      </c>
      <c r="C164" s="1" t="n">
        <v>45349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51825-2019</t>
        </is>
      </c>
      <c r="B165" s="1" t="n">
        <v>43741</v>
      </c>
      <c r="C165" s="1" t="n">
        <v>45349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52178-2019</t>
        </is>
      </c>
      <c r="B166" s="1" t="n">
        <v>43742</v>
      </c>
      <c r="C166" s="1" t="n">
        <v>45349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52176-2019</t>
        </is>
      </c>
      <c r="B167" s="1" t="n">
        <v>43742</v>
      </c>
      <c r="C167" s="1" t="n">
        <v>45349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52125-2019</t>
        </is>
      </c>
      <c r="B168" s="1" t="n">
        <v>43742</v>
      </c>
      <c r="C168" s="1" t="n">
        <v>45349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52181-2019</t>
        </is>
      </c>
      <c r="B169" s="1" t="n">
        <v>43742</v>
      </c>
      <c r="C169" s="1" t="n">
        <v>45349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53395-2019</t>
        </is>
      </c>
      <c r="B170" s="1" t="n">
        <v>43748</v>
      </c>
      <c r="C170" s="1" t="n">
        <v>45349</v>
      </c>
      <c r="D170" t="inlineStr">
        <is>
          <t>GÄVLEBORGS LÄN</t>
        </is>
      </c>
      <c r="E170" t="inlineStr">
        <is>
          <t>BOLLNÄS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53507-2019</t>
        </is>
      </c>
      <c r="B171" s="1" t="n">
        <v>43749</v>
      </c>
      <c r="C171" s="1" t="n">
        <v>45349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54142-2019</t>
        </is>
      </c>
      <c r="B172" s="1" t="n">
        <v>43753</v>
      </c>
      <c r="C172" s="1" t="n">
        <v>45349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54600-2019</t>
        </is>
      </c>
      <c r="B173" s="1" t="n">
        <v>43754</v>
      </c>
      <c r="C173" s="1" t="n">
        <v>45349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54606-2019</t>
        </is>
      </c>
      <c r="B174" s="1" t="n">
        <v>43754</v>
      </c>
      <c r="C174" s="1" t="n">
        <v>45349</v>
      </c>
      <c r="D174" t="inlineStr">
        <is>
          <t>GÄVLEBORGS LÄN</t>
        </is>
      </c>
      <c r="E174" t="inlineStr">
        <is>
          <t>BOLLNÄS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54807-2019</t>
        </is>
      </c>
      <c r="B175" s="1" t="n">
        <v>43755</v>
      </c>
      <c r="C175" s="1" t="n">
        <v>45349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56047-2019</t>
        </is>
      </c>
      <c r="B176" s="1" t="n">
        <v>43759</v>
      </c>
      <c r="C176" s="1" t="n">
        <v>45349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56956-2019</t>
        </is>
      </c>
      <c r="B177" s="1" t="n">
        <v>43759</v>
      </c>
      <c r="C177" s="1" t="n">
        <v>45349</v>
      </c>
      <c r="D177" t="inlineStr">
        <is>
          <t>GÄVLEBORGS LÄN</t>
        </is>
      </c>
      <c r="E177" t="inlineStr">
        <is>
          <t>BOLLNÄS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55539-2019</t>
        </is>
      </c>
      <c r="B178" s="1" t="n">
        <v>43760</v>
      </c>
      <c r="C178" s="1" t="n">
        <v>45349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56076-2019</t>
        </is>
      </c>
      <c r="B179" s="1" t="n">
        <v>43761</v>
      </c>
      <c r="C179" s="1" t="n">
        <v>45349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58041-2019</t>
        </is>
      </c>
      <c r="B180" s="1" t="n">
        <v>43769</v>
      </c>
      <c r="C180" s="1" t="n">
        <v>45349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58641-2019</t>
        </is>
      </c>
      <c r="B181" s="1" t="n">
        <v>43773</v>
      </c>
      <c r="C181" s="1" t="n">
        <v>45349</v>
      </c>
      <c r="D181" t="inlineStr">
        <is>
          <t>GÄVLEBORGS LÄN</t>
        </is>
      </c>
      <c r="E181" t="inlineStr">
        <is>
          <t>BOLLNÄS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59699-2019</t>
        </is>
      </c>
      <c r="B182" s="1" t="n">
        <v>43776</v>
      </c>
      <c r="C182" s="1" t="n">
        <v>45349</v>
      </c>
      <c r="D182" t="inlineStr">
        <is>
          <t>GÄVLEBORGS LÄN</t>
        </is>
      </c>
      <c r="E182" t="inlineStr">
        <is>
          <t>BOLLNÄS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59980-2019</t>
        </is>
      </c>
      <c r="B183" s="1" t="n">
        <v>43777</v>
      </c>
      <c r="C183" s="1" t="n">
        <v>45349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60539-2019</t>
        </is>
      </c>
      <c r="B184" s="1" t="n">
        <v>43781</v>
      </c>
      <c r="C184" s="1" t="n">
        <v>45349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60612-2019</t>
        </is>
      </c>
      <c r="B185" s="1" t="n">
        <v>43781</v>
      </c>
      <c r="C185" s="1" t="n">
        <v>45349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61374-2019</t>
        </is>
      </c>
      <c r="B186" s="1" t="n">
        <v>43783</v>
      </c>
      <c r="C186" s="1" t="n">
        <v>45349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HYPERLINK("https://klasma.github.io/Logging_2183/knärot/A 61374-2019 karta knärot.png", "A 61374-2019")</f>
        <v/>
      </c>
      <c r="V186">
        <f>HYPERLINK("https://klasma.github.io/Logging_2183/klagomål/A 61374-2019 FSC-klagomål.docx", "A 61374-2019")</f>
        <v/>
      </c>
      <c r="W186">
        <f>HYPERLINK("https://klasma.github.io/Logging_2183/klagomålsmail/A 61374-2019 FSC-klagomål mail.docx", "A 61374-2019")</f>
        <v/>
      </c>
      <c r="X186">
        <f>HYPERLINK("https://klasma.github.io/Logging_2183/tillsyn/A 61374-2019 tillsynsbegäran.docx", "A 61374-2019")</f>
        <v/>
      </c>
      <c r="Y186">
        <f>HYPERLINK("https://klasma.github.io/Logging_2183/tillsynsmail/A 61374-2019 tillsynsbegäran mail.docx", "A 61374-2019")</f>
        <v/>
      </c>
    </row>
    <row r="187" ht="15" customHeight="1">
      <c r="A187" t="inlineStr">
        <is>
          <t>A 61246-2019</t>
        </is>
      </c>
      <c r="B187" s="1" t="n">
        <v>43783</v>
      </c>
      <c r="C187" s="1" t="n">
        <v>45349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62938-2019</t>
        </is>
      </c>
      <c r="B188" s="1" t="n">
        <v>43783</v>
      </c>
      <c r="C188" s="1" t="n">
        <v>45349</v>
      </c>
      <c r="D188" t="inlineStr">
        <is>
          <t>GÄVLEBORGS LÄN</t>
        </is>
      </c>
      <c r="E188" t="inlineStr">
        <is>
          <t>BOLLNÄS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62119-2019</t>
        </is>
      </c>
      <c r="B189" s="1" t="n">
        <v>43787</v>
      </c>
      <c r="C189" s="1" t="n">
        <v>45349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62632-2019</t>
        </is>
      </c>
      <c r="B190" s="1" t="n">
        <v>43789</v>
      </c>
      <c r="C190" s="1" t="n">
        <v>45349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62633-2019</t>
        </is>
      </c>
      <c r="B191" s="1" t="n">
        <v>43789</v>
      </c>
      <c r="C191" s="1" t="n">
        <v>45349</v>
      </c>
      <c r="D191" t="inlineStr">
        <is>
          <t>GÄVLEBORGS LÄN</t>
        </is>
      </c>
      <c r="E191" t="inlineStr">
        <is>
          <t>BOLLNÄS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62775-2019</t>
        </is>
      </c>
      <c r="B192" s="1" t="n">
        <v>43790</v>
      </c>
      <c r="C192" s="1" t="n">
        <v>45349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63540-2019</t>
        </is>
      </c>
      <c r="B193" s="1" t="n">
        <v>43794</v>
      </c>
      <c r="C193" s="1" t="n">
        <v>45349</v>
      </c>
      <c r="D193" t="inlineStr">
        <is>
          <t>GÄVLEBORGS LÄN</t>
        </is>
      </c>
      <c r="E193" t="inlineStr">
        <is>
          <t>BOLLNÄS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63614-2019</t>
        </is>
      </c>
      <c r="B194" s="1" t="n">
        <v>43795</v>
      </c>
      <c r="C194" s="1" t="n">
        <v>45349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64673-2019</t>
        </is>
      </c>
      <c r="B195" s="1" t="n">
        <v>43798</v>
      </c>
      <c r="C195" s="1" t="n">
        <v>45349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64747-2019</t>
        </is>
      </c>
      <c r="B196" s="1" t="n">
        <v>43800</v>
      </c>
      <c r="C196" s="1" t="n">
        <v>45349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65177-2019</t>
        </is>
      </c>
      <c r="B197" s="1" t="n">
        <v>43802</v>
      </c>
      <c r="C197" s="1" t="n">
        <v>45349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66196-2019</t>
        </is>
      </c>
      <c r="B198" s="1" t="n">
        <v>43808</v>
      </c>
      <c r="C198" s="1" t="n">
        <v>45349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66399-2019</t>
        </is>
      </c>
      <c r="B199" s="1" t="n">
        <v>43809</v>
      </c>
      <c r="C199" s="1" t="n">
        <v>45349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66479-2019</t>
        </is>
      </c>
      <c r="B200" s="1" t="n">
        <v>43809</v>
      </c>
      <c r="C200" s="1" t="n">
        <v>45349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66477-2019</t>
        </is>
      </c>
      <c r="B201" s="1" t="n">
        <v>43809</v>
      </c>
      <c r="C201" s="1" t="n">
        <v>45349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68532-2019</t>
        </is>
      </c>
      <c r="B202" s="1" t="n">
        <v>43812</v>
      </c>
      <c r="C202" s="1" t="n">
        <v>45349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67596-2019</t>
        </is>
      </c>
      <c r="B203" s="1" t="n">
        <v>43815</v>
      </c>
      <c r="C203" s="1" t="n">
        <v>45349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68633-2019</t>
        </is>
      </c>
      <c r="B204" s="1" t="n">
        <v>43819</v>
      </c>
      <c r="C204" s="1" t="n">
        <v>45349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68800-2019</t>
        </is>
      </c>
      <c r="B205" s="1" t="n">
        <v>43819</v>
      </c>
      <c r="C205" s="1" t="n">
        <v>45349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305-2020</t>
        </is>
      </c>
      <c r="B206" s="1" t="n">
        <v>43837</v>
      </c>
      <c r="C206" s="1" t="n">
        <v>45349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412-2020</t>
        </is>
      </c>
      <c r="B207" s="1" t="n">
        <v>43837</v>
      </c>
      <c r="C207" s="1" t="n">
        <v>45349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302-2020</t>
        </is>
      </c>
      <c r="B208" s="1" t="n">
        <v>43837</v>
      </c>
      <c r="C208" s="1" t="n">
        <v>45349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2398-2020</t>
        </is>
      </c>
      <c r="B209" s="1" t="n">
        <v>43840</v>
      </c>
      <c r="C209" s="1" t="n">
        <v>45349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2395-2020</t>
        </is>
      </c>
      <c r="B210" s="1" t="n">
        <v>43840</v>
      </c>
      <c r="C210" s="1" t="n">
        <v>45349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1477-2020</t>
        </is>
      </c>
      <c r="B211" s="1" t="n">
        <v>43843</v>
      </c>
      <c r="C211" s="1" t="n">
        <v>45349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2281-2020</t>
        </is>
      </c>
      <c r="B212" s="1" t="n">
        <v>43846</v>
      </c>
      <c r="C212" s="1" t="n">
        <v>45349</v>
      </c>
      <c r="D212" t="inlineStr">
        <is>
          <t>GÄVLEBORGS LÄN</t>
        </is>
      </c>
      <c r="E212" t="inlineStr">
        <is>
          <t>BOLLNÄS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2680-2020</t>
        </is>
      </c>
      <c r="B213" s="1" t="n">
        <v>43850</v>
      </c>
      <c r="C213" s="1" t="n">
        <v>45349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3289-2020</t>
        </is>
      </c>
      <c r="B214" s="1" t="n">
        <v>43852</v>
      </c>
      <c r="C214" s="1" t="n">
        <v>45349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4374-2020</t>
        </is>
      </c>
      <c r="B215" s="1" t="n">
        <v>43858</v>
      </c>
      <c r="C215" s="1" t="n">
        <v>45349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6041-2020</t>
        </is>
      </c>
      <c r="B216" s="1" t="n">
        <v>43865</v>
      </c>
      <c r="C216" s="1" t="n">
        <v>45349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6638-2020</t>
        </is>
      </c>
      <c r="B217" s="1" t="n">
        <v>43867</v>
      </c>
      <c r="C217" s="1" t="n">
        <v>45349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7237-2020</t>
        </is>
      </c>
      <c r="B218" s="1" t="n">
        <v>43871</v>
      </c>
      <c r="C218" s="1" t="n">
        <v>45349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7282-2020</t>
        </is>
      </c>
      <c r="B219" s="1" t="n">
        <v>43871</v>
      </c>
      <c r="C219" s="1" t="n">
        <v>45349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7483-2020</t>
        </is>
      </c>
      <c r="B220" s="1" t="n">
        <v>43871</v>
      </c>
      <c r="C220" s="1" t="n">
        <v>45349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8183-2020</t>
        </is>
      </c>
      <c r="B221" s="1" t="n">
        <v>43874</v>
      </c>
      <c r="C221" s="1" t="n">
        <v>45349</v>
      </c>
      <c r="D221" t="inlineStr">
        <is>
          <t>GÄVLEBORGS LÄN</t>
        </is>
      </c>
      <c r="E221" t="inlineStr">
        <is>
          <t>BOLLNÄS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8659-2020</t>
        </is>
      </c>
      <c r="B222" s="1" t="n">
        <v>43878</v>
      </c>
      <c r="C222" s="1" t="n">
        <v>45349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8633-2020</t>
        </is>
      </c>
      <c r="B223" s="1" t="n">
        <v>43878</v>
      </c>
      <c r="C223" s="1" t="n">
        <v>45349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9593-2020</t>
        </is>
      </c>
      <c r="B224" s="1" t="n">
        <v>43881</v>
      </c>
      <c r="C224" s="1" t="n">
        <v>45349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10050-2020</t>
        </is>
      </c>
      <c r="B225" s="1" t="n">
        <v>43882</v>
      </c>
      <c r="C225" s="1" t="n">
        <v>45349</v>
      </c>
      <c r="D225" t="inlineStr">
        <is>
          <t>GÄVLEBORGS LÄN</t>
        </is>
      </c>
      <c r="E225" t="inlineStr">
        <is>
          <t>BOLLNÄS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10509-2020</t>
        </is>
      </c>
      <c r="B226" s="1" t="n">
        <v>43886</v>
      </c>
      <c r="C226" s="1" t="n">
        <v>45349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10426-2020</t>
        </is>
      </c>
      <c r="B227" s="1" t="n">
        <v>43886</v>
      </c>
      <c r="C227" s="1" t="n">
        <v>45349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10334-2020</t>
        </is>
      </c>
      <c r="B228" s="1" t="n">
        <v>43887</v>
      </c>
      <c r="C228" s="1" t="n">
        <v>45349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10665-2020</t>
        </is>
      </c>
      <c r="B229" s="1" t="n">
        <v>43888</v>
      </c>
      <c r="C229" s="1" t="n">
        <v>45349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11240-2020</t>
        </is>
      </c>
      <c r="B230" s="1" t="n">
        <v>43892</v>
      </c>
      <c r="C230" s="1" t="n">
        <v>45349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11749-2020</t>
        </is>
      </c>
      <c r="B231" s="1" t="n">
        <v>43894</v>
      </c>
      <c r="C231" s="1" t="n">
        <v>45349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11838-2020</t>
        </is>
      </c>
      <c r="B232" s="1" t="n">
        <v>43894</v>
      </c>
      <c r="C232" s="1" t="n">
        <v>45349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11841-2020</t>
        </is>
      </c>
      <c r="B233" s="1" t="n">
        <v>43894</v>
      </c>
      <c r="C233" s="1" t="n">
        <v>45349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13200-2020</t>
        </is>
      </c>
      <c r="B234" s="1" t="n">
        <v>43901</v>
      </c>
      <c r="C234" s="1" t="n">
        <v>45349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13489-2020</t>
        </is>
      </c>
      <c r="B235" s="1" t="n">
        <v>43902</v>
      </c>
      <c r="C235" s="1" t="n">
        <v>45349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15211-2020</t>
        </is>
      </c>
      <c r="B236" s="1" t="n">
        <v>43913</v>
      </c>
      <c r="C236" s="1" t="n">
        <v>45349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15317-2020</t>
        </is>
      </c>
      <c r="B237" s="1" t="n">
        <v>43913</v>
      </c>
      <c r="C237" s="1" t="n">
        <v>45349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15183-2020</t>
        </is>
      </c>
      <c r="B238" s="1" t="n">
        <v>43913</v>
      </c>
      <c r="C238" s="1" t="n">
        <v>45349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15930-2020</t>
        </is>
      </c>
      <c r="B239" s="1" t="n">
        <v>43916</v>
      </c>
      <c r="C239" s="1" t="n">
        <v>45349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16088-2020</t>
        </is>
      </c>
      <c r="B240" s="1" t="n">
        <v>43916</v>
      </c>
      <c r="C240" s="1" t="n">
        <v>45349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17880-2020</t>
        </is>
      </c>
      <c r="B241" s="1" t="n">
        <v>43924</v>
      </c>
      <c r="C241" s="1" t="n">
        <v>45349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18020-2020</t>
        </is>
      </c>
      <c r="B242" s="1" t="n">
        <v>43927</v>
      </c>
      <c r="C242" s="1" t="n">
        <v>45349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18637-2020</t>
        </is>
      </c>
      <c r="B243" s="1" t="n">
        <v>43930</v>
      </c>
      <c r="C243" s="1" t="n">
        <v>45349</v>
      </c>
      <c r="D243" t="inlineStr">
        <is>
          <t>GÄVLEBORGS LÄN</t>
        </is>
      </c>
      <c r="E243" t="inlineStr">
        <is>
          <t>BOLLNÄS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20308-2020</t>
        </is>
      </c>
      <c r="B244" s="1" t="n">
        <v>43945</v>
      </c>
      <c r="C244" s="1" t="n">
        <v>45349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20697-2020</t>
        </is>
      </c>
      <c r="B245" s="1" t="n">
        <v>43949</v>
      </c>
      <c r="C245" s="1" t="n">
        <v>45349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20692-2020</t>
        </is>
      </c>
      <c r="B246" s="1" t="n">
        <v>43949</v>
      </c>
      <c r="C246" s="1" t="n">
        <v>45349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21431-2020</t>
        </is>
      </c>
      <c r="B247" s="1" t="n">
        <v>43956</v>
      </c>
      <c r="C247" s="1" t="n">
        <v>45349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22432-2020</t>
        </is>
      </c>
      <c r="B248" s="1" t="n">
        <v>43963</v>
      </c>
      <c r="C248" s="1" t="n">
        <v>45349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22430-2020</t>
        </is>
      </c>
      <c r="B249" s="1" t="n">
        <v>43963</v>
      </c>
      <c r="C249" s="1" t="n">
        <v>45349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26446-2020</t>
        </is>
      </c>
      <c r="B250" s="1" t="n">
        <v>43987</v>
      </c>
      <c r="C250" s="1" t="n">
        <v>45349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27561-2020</t>
        </is>
      </c>
      <c r="B251" s="1" t="n">
        <v>43991</v>
      </c>
      <c r="C251" s="1" t="n">
        <v>45349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27526-2020</t>
        </is>
      </c>
      <c r="B252" s="1" t="n">
        <v>43993</v>
      </c>
      <c r="C252" s="1" t="n">
        <v>45349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27440-2020</t>
        </is>
      </c>
      <c r="B253" s="1" t="n">
        <v>43993</v>
      </c>
      <c r="C253" s="1" t="n">
        <v>45349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27793-2020</t>
        </is>
      </c>
      <c r="B254" s="1" t="n">
        <v>43994</v>
      </c>
      <c r="C254" s="1" t="n">
        <v>45349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28435-2020</t>
        </is>
      </c>
      <c r="B255" s="1" t="n">
        <v>43998</v>
      </c>
      <c r="C255" s="1" t="n">
        <v>45349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28823-2020</t>
        </is>
      </c>
      <c r="B256" s="1" t="n">
        <v>44000</v>
      </c>
      <c r="C256" s="1" t="n">
        <v>45349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29836-2020</t>
        </is>
      </c>
      <c r="B257" s="1" t="n">
        <v>44006</v>
      </c>
      <c r="C257" s="1" t="n">
        <v>45349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30587-2020</t>
        </is>
      </c>
      <c r="B258" s="1" t="n">
        <v>44008</v>
      </c>
      <c r="C258" s="1" t="n">
        <v>45349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31287-2020</t>
        </is>
      </c>
      <c r="B259" s="1" t="n">
        <v>44012</v>
      </c>
      <c r="C259" s="1" t="n">
        <v>45349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31599-2020</t>
        </is>
      </c>
      <c r="B260" s="1" t="n">
        <v>44013</v>
      </c>
      <c r="C260" s="1" t="n">
        <v>45349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31890-2020</t>
        </is>
      </c>
      <c r="B261" s="1" t="n">
        <v>44014</v>
      </c>
      <c r="C261" s="1" t="n">
        <v>45349</v>
      </c>
      <c r="D261" t="inlineStr">
        <is>
          <t>GÄVLEBORGS LÄN</t>
        </is>
      </c>
      <c r="E261" t="inlineStr">
        <is>
          <t>BOLLNÄS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31817-2020</t>
        </is>
      </c>
      <c r="B262" s="1" t="n">
        <v>44014</v>
      </c>
      <c r="C262" s="1" t="n">
        <v>45349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31827-2020</t>
        </is>
      </c>
      <c r="B263" s="1" t="n">
        <v>44014</v>
      </c>
      <c r="C263" s="1" t="n">
        <v>45349</v>
      </c>
      <c r="D263" t="inlineStr">
        <is>
          <t>GÄVLEBORGS LÄN</t>
        </is>
      </c>
      <c r="E263" t="inlineStr">
        <is>
          <t>BOLLNÄS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31830-2020</t>
        </is>
      </c>
      <c r="B264" s="1" t="n">
        <v>44014</v>
      </c>
      <c r="C264" s="1" t="n">
        <v>45349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32234-2020</t>
        </is>
      </c>
      <c r="B265" s="1" t="n">
        <v>44015</v>
      </c>
      <c r="C265" s="1" t="n">
        <v>45349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32293-2020</t>
        </is>
      </c>
      <c r="B266" s="1" t="n">
        <v>44015</v>
      </c>
      <c r="C266" s="1" t="n">
        <v>45349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34683-2020</t>
        </is>
      </c>
      <c r="B267" s="1" t="n">
        <v>44035</v>
      </c>
      <c r="C267" s="1" t="n">
        <v>45349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34740-2020</t>
        </is>
      </c>
      <c r="B268" s="1" t="n">
        <v>44035</v>
      </c>
      <c r="C268" s="1" t="n">
        <v>45349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37411-2020</t>
        </is>
      </c>
      <c r="B269" s="1" t="n">
        <v>44055</v>
      </c>
      <c r="C269" s="1" t="n">
        <v>45349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38011-2020</t>
        </is>
      </c>
      <c r="B270" s="1" t="n">
        <v>44057</v>
      </c>
      <c r="C270" s="1" t="n">
        <v>45349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38680-2020</t>
        </is>
      </c>
      <c r="B271" s="1" t="n">
        <v>44061</v>
      </c>
      <c r="C271" s="1" t="n">
        <v>45349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38870-2020</t>
        </is>
      </c>
      <c r="B272" s="1" t="n">
        <v>44062</v>
      </c>
      <c r="C272" s="1" t="n">
        <v>45349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39371-2020</t>
        </is>
      </c>
      <c r="B273" s="1" t="n">
        <v>44064</v>
      </c>
      <c r="C273" s="1" t="n">
        <v>45349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40573-2020</t>
        </is>
      </c>
      <c r="B274" s="1" t="n">
        <v>44069</v>
      </c>
      <c r="C274" s="1" t="n">
        <v>45349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40929-2020</t>
        </is>
      </c>
      <c r="B275" s="1" t="n">
        <v>44070</v>
      </c>
      <c r="C275" s="1" t="n">
        <v>45349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42308-2020</t>
        </is>
      </c>
      <c r="B276" s="1" t="n">
        <v>44076</v>
      </c>
      <c r="C276" s="1" t="n">
        <v>45349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42318-2020</t>
        </is>
      </c>
      <c r="B277" s="1" t="n">
        <v>44076</v>
      </c>
      <c r="C277" s="1" t="n">
        <v>45349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42961-2020</t>
        </is>
      </c>
      <c r="B278" s="1" t="n">
        <v>44078</v>
      </c>
      <c r="C278" s="1" t="n">
        <v>45349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44014-2020</t>
        </is>
      </c>
      <c r="B279" s="1" t="n">
        <v>44083</v>
      </c>
      <c r="C279" s="1" t="n">
        <v>45349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44012-2020</t>
        </is>
      </c>
      <c r="B280" s="1" t="n">
        <v>44083</v>
      </c>
      <c r="C280" s="1" t="n">
        <v>45349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44017-2020</t>
        </is>
      </c>
      <c r="B281" s="1" t="n">
        <v>44083</v>
      </c>
      <c r="C281" s="1" t="n">
        <v>45349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44018-2020</t>
        </is>
      </c>
      <c r="B282" s="1" t="n">
        <v>44083</v>
      </c>
      <c r="C282" s="1" t="n">
        <v>45349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44270-2020</t>
        </is>
      </c>
      <c r="B283" s="1" t="n">
        <v>44084</v>
      </c>
      <c r="C283" s="1" t="n">
        <v>45349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45128-2020</t>
        </is>
      </c>
      <c r="B284" s="1" t="n">
        <v>44088</v>
      </c>
      <c r="C284" s="1" t="n">
        <v>45349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45317-2020</t>
        </is>
      </c>
      <c r="B285" s="1" t="n">
        <v>44089</v>
      </c>
      <c r="C285" s="1" t="n">
        <v>45349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45620-2020</t>
        </is>
      </c>
      <c r="B286" s="1" t="n">
        <v>44090</v>
      </c>
      <c r="C286" s="1" t="n">
        <v>45349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45652-2020</t>
        </is>
      </c>
      <c r="B287" s="1" t="n">
        <v>44090</v>
      </c>
      <c r="C287" s="1" t="n">
        <v>45349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46654-2020</t>
        </is>
      </c>
      <c r="B288" s="1" t="n">
        <v>44095</v>
      </c>
      <c r="C288" s="1" t="n">
        <v>45349</v>
      </c>
      <c r="D288" t="inlineStr">
        <is>
          <t>GÄVLEBORGS LÄN</t>
        </is>
      </c>
      <c r="E288" t="inlineStr">
        <is>
          <t>BOLLNÄS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48306-2020</t>
        </is>
      </c>
      <c r="B289" s="1" t="n">
        <v>44102</v>
      </c>
      <c r="C289" s="1" t="n">
        <v>45349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48734-2020</t>
        </is>
      </c>
      <c r="B290" s="1" t="n">
        <v>44103</v>
      </c>
      <c r="C290" s="1" t="n">
        <v>45349</v>
      </c>
      <c r="D290" t="inlineStr">
        <is>
          <t>GÄVLEBORGS LÄN</t>
        </is>
      </c>
      <c r="E290" t="inlineStr">
        <is>
          <t>BOLLNÄS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49337-2020</t>
        </is>
      </c>
      <c r="B291" s="1" t="n">
        <v>44105</v>
      </c>
      <c r="C291" s="1" t="n">
        <v>45349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49465-2020</t>
        </is>
      </c>
      <c r="B292" s="1" t="n">
        <v>44105</v>
      </c>
      <c r="C292" s="1" t="n">
        <v>45349</v>
      </c>
      <c r="D292" t="inlineStr">
        <is>
          <t>GÄVLEBORGS LÄN</t>
        </is>
      </c>
      <c r="E292" t="inlineStr">
        <is>
          <t>BOLLNÄS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49653-2020</t>
        </is>
      </c>
      <c r="B293" s="1" t="n">
        <v>44106</v>
      </c>
      <c r="C293" s="1" t="n">
        <v>45349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50376-2020</t>
        </is>
      </c>
      <c r="B294" s="1" t="n">
        <v>44110</v>
      </c>
      <c r="C294" s="1" t="n">
        <v>45349</v>
      </c>
      <c r="D294" t="inlineStr">
        <is>
          <t>GÄVLEBORGS LÄN</t>
        </is>
      </c>
      <c r="E294" t="inlineStr">
        <is>
          <t>BOLLNÄS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50571-2020</t>
        </is>
      </c>
      <c r="B295" s="1" t="n">
        <v>44110</v>
      </c>
      <c r="C295" s="1" t="n">
        <v>45349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52441-2020</t>
        </is>
      </c>
      <c r="B296" s="1" t="n">
        <v>44116</v>
      </c>
      <c r="C296" s="1" t="n">
        <v>45349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52907-2020</t>
        </is>
      </c>
      <c r="B297" s="1" t="n">
        <v>44119</v>
      </c>
      <c r="C297" s="1" t="n">
        <v>45349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52908-2020</t>
        </is>
      </c>
      <c r="B298" s="1" t="n">
        <v>44119</v>
      </c>
      <c r="C298" s="1" t="n">
        <v>45349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52776-2020</t>
        </is>
      </c>
      <c r="B299" s="1" t="n">
        <v>44119</v>
      </c>
      <c r="C299" s="1" t="n">
        <v>45349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52950-2020</t>
        </is>
      </c>
      <c r="B300" s="1" t="n">
        <v>44120</v>
      </c>
      <c r="C300" s="1" t="n">
        <v>45349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54004-2020</t>
        </is>
      </c>
      <c r="B301" s="1" t="n">
        <v>44125</v>
      </c>
      <c r="C301" s="1" t="n">
        <v>45349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53853-2020</t>
        </is>
      </c>
      <c r="B302" s="1" t="n">
        <v>44125</v>
      </c>
      <c r="C302" s="1" t="n">
        <v>45349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54675-2020</t>
        </is>
      </c>
      <c r="B303" s="1" t="n">
        <v>44127</v>
      </c>
      <c r="C303" s="1" t="n">
        <v>45349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54704-2020</t>
        </is>
      </c>
      <c r="B304" s="1" t="n">
        <v>44127</v>
      </c>
      <c r="C304" s="1" t="n">
        <v>45349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54699-2020</t>
        </is>
      </c>
      <c r="B305" s="1" t="n">
        <v>44127</v>
      </c>
      <c r="C305" s="1" t="n">
        <v>45349</v>
      </c>
      <c r="D305" t="inlineStr">
        <is>
          <t>GÄVLEBORGS LÄN</t>
        </is>
      </c>
      <c r="E305" t="inlineStr">
        <is>
          <t>BOLLNÄS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54969-2020</t>
        </is>
      </c>
      <c r="B306" s="1" t="n">
        <v>44130</v>
      </c>
      <c r="C306" s="1" t="n">
        <v>45349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56149-2020</t>
        </is>
      </c>
      <c r="B307" s="1" t="n">
        <v>44133</v>
      </c>
      <c r="C307" s="1" t="n">
        <v>45349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56139-2020</t>
        </is>
      </c>
      <c r="B308" s="1" t="n">
        <v>44133</v>
      </c>
      <c r="C308" s="1" t="n">
        <v>45349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56151-2020</t>
        </is>
      </c>
      <c r="B309" s="1" t="n">
        <v>44133</v>
      </c>
      <c r="C309" s="1" t="n">
        <v>45349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56641-2020</t>
        </is>
      </c>
      <c r="B310" s="1" t="n">
        <v>44137</v>
      </c>
      <c r="C310" s="1" t="n">
        <v>45349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57634-2020</t>
        </is>
      </c>
      <c r="B311" s="1" t="n">
        <v>44140</v>
      </c>
      <c r="C311" s="1" t="n">
        <v>45349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57885-2020</t>
        </is>
      </c>
      <c r="B312" s="1" t="n">
        <v>44141</v>
      </c>
      <c r="C312" s="1" t="n">
        <v>45349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58001-2020</t>
        </is>
      </c>
      <c r="B313" s="1" t="n">
        <v>44144</v>
      </c>
      <c r="C313" s="1" t="n">
        <v>45349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58030-2020</t>
        </is>
      </c>
      <c r="B314" s="1" t="n">
        <v>44144</v>
      </c>
      <c r="C314" s="1" t="n">
        <v>45349</v>
      </c>
      <c r="D314" t="inlineStr">
        <is>
          <t>GÄVLEBORGS LÄN</t>
        </is>
      </c>
      <c r="E314" t="inlineStr">
        <is>
          <t>BOLLNÄS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58387-2020</t>
        </is>
      </c>
      <c r="B315" s="1" t="n">
        <v>44145</v>
      </c>
      <c r="C315" s="1" t="n">
        <v>45349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58398-2020</t>
        </is>
      </c>
      <c r="B316" s="1" t="n">
        <v>44145</v>
      </c>
      <c r="C316" s="1" t="n">
        <v>45349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58883-2020</t>
        </is>
      </c>
      <c r="B317" s="1" t="n">
        <v>44146</v>
      </c>
      <c r="C317" s="1" t="n">
        <v>45349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59107-2020</t>
        </is>
      </c>
      <c r="B318" s="1" t="n">
        <v>44147</v>
      </c>
      <c r="C318" s="1" t="n">
        <v>45349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59159-2020</t>
        </is>
      </c>
      <c r="B319" s="1" t="n">
        <v>44147</v>
      </c>
      <c r="C319" s="1" t="n">
        <v>45349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59154-2020</t>
        </is>
      </c>
      <c r="B320" s="1" t="n">
        <v>44147</v>
      </c>
      <c r="C320" s="1" t="n">
        <v>45349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59161-2020</t>
        </is>
      </c>
      <c r="B321" s="1" t="n">
        <v>44147</v>
      </c>
      <c r="C321" s="1" t="n">
        <v>45349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59311-2020</t>
        </is>
      </c>
      <c r="B322" s="1" t="n">
        <v>44147</v>
      </c>
      <c r="C322" s="1" t="n">
        <v>45349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59463-2020</t>
        </is>
      </c>
      <c r="B323" s="1" t="n">
        <v>44148</v>
      </c>
      <c r="C323" s="1" t="n">
        <v>45349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59573-2020</t>
        </is>
      </c>
      <c r="B324" s="1" t="n">
        <v>44148</v>
      </c>
      <c r="C324" s="1" t="n">
        <v>45349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59481-2020</t>
        </is>
      </c>
      <c r="B325" s="1" t="n">
        <v>44148</v>
      </c>
      <c r="C325" s="1" t="n">
        <v>45349</v>
      </c>
      <c r="D325" t="inlineStr">
        <is>
          <t>GÄVLEBORGS LÄN</t>
        </is>
      </c>
      <c r="E325" t="inlineStr">
        <is>
          <t>BOLLNÄS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59728-2020</t>
        </is>
      </c>
      <c r="B326" s="1" t="n">
        <v>44151</v>
      </c>
      <c r="C326" s="1" t="n">
        <v>45349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59690-2020</t>
        </is>
      </c>
      <c r="B327" s="1" t="n">
        <v>44151</v>
      </c>
      <c r="C327" s="1" t="n">
        <v>45349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59754-2020</t>
        </is>
      </c>
      <c r="B328" s="1" t="n">
        <v>44151</v>
      </c>
      <c r="C328" s="1" t="n">
        <v>45349</v>
      </c>
      <c r="D328" t="inlineStr">
        <is>
          <t>GÄVLEBORGS LÄN</t>
        </is>
      </c>
      <c r="E328" t="inlineStr">
        <is>
          <t>BOLLNÄS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59723-2020</t>
        </is>
      </c>
      <c r="B329" s="1" t="n">
        <v>44151</v>
      </c>
      <c r="C329" s="1" t="n">
        <v>45349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59734-2020</t>
        </is>
      </c>
      <c r="B330" s="1" t="n">
        <v>44151</v>
      </c>
      <c r="C330" s="1" t="n">
        <v>45349</v>
      </c>
      <c r="D330" t="inlineStr">
        <is>
          <t>GÄVLEBORGS LÄN</t>
        </is>
      </c>
      <c r="E330" t="inlineStr">
        <is>
          <t>BOLLNÄS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59910-2020</t>
        </is>
      </c>
      <c r="B331" s="1" t="n">
        <v>44151</v>
      </c>
      <c r="C331" s="1" t="n">
        <v>45349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60071-2020</t>
        </is>
      </c>
      <c r="B332" s="1" t="n">
        <v>44151</v>
      </c>
      <c r="C332" s="1" t="n">
        <v>45349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60075-2020</t>
        </is>
      </c>
      <c r="B333" s="1" t="n">
        <v>44152</v>
      </c>
      <c r="C333" s="1" t="n">
        <v>45349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60720-2020</t>
        </is>
      </c>
      <c r="B334" s="1" t="n">
        <v>44153</v>
      </c>
      <c r="C334" s="1" t="n">
        <v>45349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60729-2020</t>
        </is>
      </c>
      <c r="B335" s="1" t="n">
        <v>44153</v>
      </c>
      <c r="C335" s="1" t="n">
        <v>45349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60726-2020</t>
        </is>
      </c>
      <c r="B336" s="1" t="n">
        <v>44153</v>
      </c>
      <c r="C336" s="1" t="n">
        <v>45349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60717-2020</t>
        </is>
      </c>
      <c r="B337" s="1" t="n">
        <v>44153</v>
      </c>
      <c r="C337" s="1" t="n">
        <v>45349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62423-2020</t>
        </is>
      </c>
      <c r="B338" s="1" t="n">
        <v>44160</v>
      </c>
      <c r="C338" s="1" t="n">
        <v>45349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62635-2020</t>
        </is>
      </c>
      <c r="B339" s="1" t="n">
        <v>44161</v>
      </c>
      <c r="C339" s="1" t="n">
        <v>45349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62636-2020</t>
        </is>
      </c>
      <c r="B340" s="1" t="n">
        <v>44161</v>
      </c>
      <c r="C340" s="1" t="n">
        <v>45349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62959-2020</t>
        </is>
      </c>
      <c r="B341" s="1" t="n">
        <v>44162</v>
      </c>
      <c r="C341" s="1" t="n">
        <v>45349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63361-2020</t>
        </is>
      </c>
      <c r="B342" s="1" t="n">
        <v>44165</v>
      </c>
      <c r="C342" s="1" t="n">
        <v>45349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63877-2020</t>
        </is>
      </c>
      <c r="B343" s="1" t="n">
        <v>44166</v>
      </c>
      <c r="C343" s="1" t="n">
        <v>45349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64175-2020</t>
        </is>
      </c>
      <c r="B344" s="1" t="n">
        <v>44167</v>
      </c>
      <c r="C344" s="1" t="n">
        <v>45349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64685-2020</t>
        </is>
      </c>
      <c r="B345" s="1" t="n">
        <v>44169</v>
      </c>
      <c r="C345" s="1" t="n">
        <v>45349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66342-2020</t>
        </is>
      </c>
      <c r="B346" s="1" t="n">
        <v>44176</v>
      </c>
      <c r="C346" s="1" t="n">
        <v>45349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67069-2020</t>
        </is>
      </c>
      <c r="B347" s="1" t="n">
        <v>44180</v>
      </c>
      <c r="C347" s="1" t="n">
        <v>45349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67128-2020</t>
        </is>
      </c>
      <c r="B348" s="1" t="n">
        <v>44180</v>
      </c>
      <c r="C348" s="1" t="n">
        <v>45349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66980-2020</t>
        </is>
      </c>
      <c r="B349" s="1" t="n">
        <v>44180</v>
      </c>
      <c r="C349" s="1" t="n">
        <v>45349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67064-2020</t>
        </is>
      </c>
      <c r="B350" s="1" t="n">
        <v>44180</v>
      </c>
      <c r="C350" s="1" t="n">
        <v>45349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68382-2020</t>
        </is>
      </c>
      <c r="B351" s="1" t="n">
        <v>44186</v>
      </c>
      <c r="C351" s="1" t="n">
        <v>45349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68723-2020</t>
        </is>
      </c>
      <c r="B352" s="1" t="n">
        <v>44187</v>
      </c>
      <c r="C352" s="1" t="n">
        <v>45349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68735-2020</t>
        </is>
      </c>
      <c r="B353" s="1" t="n">
        <v>44187</v>
      </c>
      <c r="C353" s="1" t="n">
        <v>45349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68734-2020</t>
        </is>
      </c>
      <c r="B354" s="1" t="n">
        <v>44187</v>
      </c>
      <c r="C354" s="1" t="n">
        <v>45349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68989-2020</t>
        </is>
      </c>
      <c r="B355" s="1" t="n">
        <v>44188</v>
      </c>
      <c r="C355" s="1" t="n">
        <v>45349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69432-2020</t>
        </is>
      </c>
      <c r="B356" s="1" t="n">
        <v>44194</v>
      </c>
      <c r="C356" s="1" t="n">
        <v>45349</v>
      </c>
      <c r="D356" t="inlineStr">
        <is>
          <t>GÄVLEBORGS LÄN</t>
        </is>
      </c>
      <c r="E356" t="inlineStr">
        <is>
          <t>BOLLNÄS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69627-2020</t>
        </is>
      </c>
      <c r="B357" s="1" t="n">
        <v>44195</v>
      </c>
      <c r="C357" s="1" t="n">
        <v>45349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45349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629-2021</t>
        </is>
      </c>
      <c r="B359" s="1" t="n">
        <v>44203</v>
      </c>
      <c r="C359" s="1" t="n">
        <v>45349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545-2021</t>
        </is>
      </c>
      <c r="B360" s="1" t="n">
        <v>44203</v>
      </c>
      <c r="C360" s="1" t="n">
        <v>45349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652-2021</t>
        </is>
      </c>
      <c r="B361" s="1" t="n">
        <v>44203</v>
      </c>
      <c r="C361" s="1" t="n">
        <v>45349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546-2021</t>
        </is>
      </c>
      <c r="B362" s="1" t="n">
        <v>44203</v>
      </c>
      <c r="C362" s="1" t="n">
        <v>45349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730-2021</t>
        </is>
      </c>
      <c r="B363" s="1" t="n">
        <v>44204</v>
      </c>
      <c r="C363" s="1" t="n">
        <v>45349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840-2021</t>
        </is>
      </c>
      <c r="B364" s="1" t="n">
        <v>44204</v>
      </c>
      <c r="C364" s="1" t="n">
        <v>45349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955-2021</t>
        </is>
      </c>
      <c r="B365" s="1" t="n">
        <v>44207</v>
      </c>
      <c r="C365" s="1" t="n">
        <v>45349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1081-2021</t>
        </is>
      </c>
      <c r="B366" s="1" t="n">
        <v>44207</v>
      </c>
      <c r="C366" s="1" t="n">
        <v>45349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1204-2021</t>
        </is>
      </c>
      <c r="B367" s="1" t="n">
        <v>44208</v>
      </c>
      <c r="C367" s="1" t="n">
        <v>45349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1408-2021</t>
        </is>
      </c>
      <c r="B368" s="1" t="n">
        <v>44208</v>
      </c>
      <c r="C368" s="1" t="n">
        <v>45349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1358-2021</t>
        </is>
      </c>
      <c r="B369" s="1" t="n">
        <v>44208</v>
      </c>
      <c r="C369" s="1" t="n">
        <v>45349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1520-2021</t>
        </is>
      </c>
      <c r="B370" s="1" t="n">
        <v>44209</v>
      </c>
      <c r="C370" s="1" t="n">
        <v>45349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1850-2021</t>
        </is>
      </c>
      <c r="B371" s="1" t="n">
        <v>44210</v>
      </c>
      <c r="C371" s="1" t="n">
        <v>45349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2158-2021</t>
        </is>
      </c>
      <c r="B372" s="1" t="n">
        <v>44211</v>
      </c>
      <c r="C372" s="1" t="n">
        <v>45349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2167-2021</t>
        </is>
      </c>
      <c r="B373" s="1" t="n">
        <v>44211</v>
      </c>
      <c r="C373" s="1" t="n">
        <v>45349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3400-2021</t>
        </is>
      </c>
      <c r="B374" s="1" t="n">
        <v>44218</v>
      </c>
      <c r="C374" s="1" t="n">
        <v>45349</v>
      </c>
      <c r="D374" t="inlineStr">
        <is>
          <t>GÄVLEBORGS LÄN</t>
        </is>
      </c>
      <c r="E374" t="inlineStr">
        <is>
          <t>BOLLNÄS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3411-2021</t>
        </is>
      </c>
      <c r="B375" s="1" t="n">
        <v>44218</v>
      </c>
      <c r="C375" s="1" t="n">
        <v>45349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4421-2021</t>
        </is>
      </c>
      <c r="B376" s="1" t="n">
        <v>44224</v>
      </c>
      <c r="C376" s="1" t="n">
        <v>45349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6166-2021</t>
        </is>
      </c>
      <c r="B377" s="1" t="n">
        <v>44232</v>
      </c>
      <c r="C377" s="1" t="n">
        <v>45349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7464-2021</t>
        </is>
      </c>
      <c r="B378" s="1" t="n">
        <v>44239</v>
      </c>
      <c r="C378" s="1" t="n">
        <v>45349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7461-2021</t>
        </is>
      </c>
      <c r="B379" s="1" t="n">
        <v>44239</v>
      </c>
      <c r="C379" s="1" t="n">
        <v>45349</v>
      </c>
      <c r="D379" t="inlineStr">
        <is>
          <t>GÄVLEBORGS LÄN</t>
        </is>
      </c>
      <c r="E379" t="inlineStr">
        <is>
          <t>BOLLNÄS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</v>
      </c>
      <c r="C380" s="1" t="n">
        <v>45349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7767-2021</t>
        </is>
      </c>
      <c r="B381" s="1" t="n">
        <v>44242</v>
      </c>
      <c r="C381" s="1" t="n">
        <v>45349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8038-2021</t>
        </is>
      </c>
      <c r="B382" s="1" t="n">
        <v>44243</v>
      </c>
      <c r="C382" s="1" t="n">
        <v>45349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8031-2021</t>
        </is>
      </c>
      <c r="B383" s="1" t="n">
        <v>44243</v>
      </c>
      <c r="C383" s="1" t="n">
        <v>45349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11393-2021</t>
        </is>
      </c>
      <c r="B384" s="1" t="n">
        <v>44263</v>
      </c>
      <c r="C384" s="1" t="n">
        <v>45349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12226-2021</t>
        </is>
      </c>
      <c r="B385" s="1" t="n">
        <v>44266</v>
      </c>
      <c r="C385" s="1" t="n">
        <v>45349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12229-2021</t>
        </is>
      </c>
      <c r="B386" s="1" t="n">
        <v>44266</v>
      </c>
      <c r="C386" s="1" t="n">
        <v>45349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12474-2021</t>
        </is>
      </c>
      <c r="B387" s="1" t="n">
        <v>44267</v>
      </c>
      <c r="C387" s="1" t="n">
        <v>45349</v>
      </c>
      <c r="D387" t="inlineStr">
        <is>
          <t>GÄVLEBORGS LÄN</t>
        </is>
      </c>
      <c r="E387" t="inlineStr">
        <is>
          <t>BOLLNÄS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12476-2021</t>
        </is>
      </c>
      <c r="B388" s="1" t="n">
        <v>44267</v>
      </c>
      <c r="C388" s="1" t="n">
        <v>45349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12723-2021</t>
        </is>
      </c>
      <c r="B389" s="1" t="n">
        <v>44270</v>
      </c>
      <c r="C389" s="1" t="n">
        <v>45349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14118-2021</t>
        </is>
      </c>
      <c r="B390" s="1" t="n">
        <v>44278</v>
      </c>
      <c r="C390" s="1" t="n">
        <v>45349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14119-2021</t>
        </is>
      </c>
      <c r="B391" s="1" t="n">
        <v>44278</v>
      </c>
      <c r="C391" s="1" t="n">
        <v>45349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14462-2021</t>
        </is>
      </c>
      <c r="B392" s="1" t="n">
        <v>44279</v>
      </c>
      <c r="C392" s="1" t="n">
        <v>45349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14482-2021</t>
        </is>
      </c>
      <c r="B393" s="1" t="n">
        <v>44279</v>
      </c>
      <c r="C393" s="1" t="n">
        <v>45349</v>
      </c>
      <c r="D393" t="inlineStr">
        <is>
          <t>GÄVLEBORGS LÄN</t>
        </is>
      </c>
      <c r="E393" t="inlineStr">
        <is>
          <t>BOLLNÄS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14470-2021</t>
        </is>
      </c>
      <c r="B394" s="1" t="n">
        <v>44279</v>
      </c>
      <c r="C394" s="1" t="n">
        <v>45349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16980-2021</t>
        </is>
      </c>
      <c r="B395" s="1" t="n">
        <v>44295</v>
      </c>
      <c r="C395" s="1" t="n">
        <v>45349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17064-2021</t>
        </is>
      </c>
      <c r="B396" s="1" t="n">
        <v>44297</v>
      </c>
      <c r="C396" s="1" t="n">
        <v>45349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</v>
      </c>
      <c r="C397" s="1" t="n">
        <v>45349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17557-2021</t>
        </is>
      </c>
      <c r="B398" s="1" t="n">
        <v>44299</v>
      </c>
      <c r="C398" s="1" t="n">
        <v>45349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17555-2021</t>
        </is>
      </c>
      <c r="B399" s="1" t="n">
        <v>44299</v>
      </c>
      <c r="C399" s="1" t="n">
        <v>45349</v>
      </c>
      <c r="D399" t="inlineStr">
        <is>
          <t>GÄVLEBORGS LÄN</t>
        </is>
      </c>
      <c r="E399" t="inlineStr">
        <is>
          <t>BOLLNÄS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17935-2021</t>
        </is>
      </c>
      <c r="B400" s="1" t="n">
        <v>44301</v>
      </c>
      <c r="C400" s="1" t="n">
        <v>45349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19775-2021</t>
        </is>
      </c>
      <c r="B401" s="1" t="n">
        <v>44313</v>
      </c>
      <c r="C401" s="1" t="n">
        <v>45349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20021-2021</t>
        </is>
      </c>
      <c r="B402" s="1" t="n">
        <v>44314</v>
      </c>
      <c r="C402" s="1" t="n">
        <v>45349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20205-2021</t>
        </is>
      </c>
      <c r="B403" s="1" t="n">
        <v>44314</v>
      </c>
      <c r="C403" s="1" t="n">
        <v>45349</v>
      </c>
      <c r="D403" t="inlineStr">
        <is>
          <t>GÄVLEBORGS LÄN</t>
        </is>
      </c>
      <c r="E403" t="inlineStr">
        <is>
          <t>BOLLNÄS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20018-2021</t>
        </is>
      </c>
      <c r="B404" s="1" t="n">
        <v>44314</v>
      </c>
      <c r="C404" s="1" t="n">
        <v>45349</v>
      </c>
      <c r="D404" t="inlineStr">
        <is>
          <t>GÄVLEBORGS LÄN</t>
        </is>
      </c>
      <c r="E404" t="inlineStr">
        <is>
          <t>BOLLNÄS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20017-2021</t>
        </is>
      </c>
      <c r="B405" s="1" t="n">
        <v>44314</v>
      </c>
      <c r="C405" s="1" t="n">
        <v>45349</v>
      </c>
      <c r="D405" t="inlineStr">
        <is>
          <t>GÄVLEBORGS LÄN</t>
        </is>
      </c>
      <c r="E405" t="inlineStr">
        <is>
          <t>BOLLNÄS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20193-2021</t>
        </is>
      </c>
      <c r="B406" s="1" t="n">
        <v>44314</v>
      </c>
      <c r="C406" s="1" t="n">
        <v>45349</v>
      </c>
      <c r="D406" t="inlineStr">
        <is>
          <t>GÄVLEBORGS LÄN</t>
        </is>
      </c>
      <c r="E406" t="inlineStr">
        <is>
          <t>BOLLNÄS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20020-2021</t>
        </is>
      </c>
      <c r="B407" s="1" t="n">
        <v>44314</v>
      </c>
      <c r="C407" s="1" t="n">
        <v>45349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20643-2021</t>
        </is>
      </c>
      <c r="B408" s="1" t="n">
        <v>44316</v>
      </c>
      <c r="C408" s="1" t="n">
        <v>45349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20647-2021</t>
        </is>
      </c>
      <c r="B409" s="1" t="n">
        <v>44316</v>
      </c>
      <c r="C409" s="1" t="n">
        <v>45349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20742-2021</t>
        </is>
      </c>
      <c r="B410" s="1" t="n">
        <v>44316</v>
      </c>
      <c r="C410" s="1" t="n">
        <v>45349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20906-2021</t>
        </is>
      </c>
      <c r="B411" s="1" t="n">
        <v>44319</v>
      </c>
      <c r="C411" s="1" t="n">
        <v>45349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21547-2021</t>
        </is>
      </c>
      <c r="B412" s="1" t="n">
        <v>44321</v>
      </c>
      <c r="C412" s="1" t="n">
        <v>45349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22334-2021</t>
        </is>
      </c>
      <c r="B413" s="1" t="n">
        <v>44326</v>
      </c>
      <c r="C413" s="1" t="n">
        <v>45349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22834-2021</t>
        </is>
      </c>
      <c r="B414" s="1" t="n">
        <v>44328</v>
      </c>
      <c r="C414" s="1" t="n">
        <v>45349</v>
      </c>
      <c r="D414" t="inlineStr">
        <is>
          <t>GÄVLEBORGS LÄN</t>
        </is>
      </c>
      <c r="E414" t="inlineStr">
        <is>
          <t>BOLLNÄS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23179-2021</t>
        </is>
      </c>
      <c r="B415" s="1" t="n">
        <v>44333</v>
      </c>
      <c r="C415" s="1" t="n">
        <v>45349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23282-2021</t>
        </is>
      </c>
      <c r="B416" s="1" t="n">
        <v>44333</v>
      </c>
      <c r="C416" s="1" t="n">
        <v>45349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23889-2021</t>
        </is>
      </c>
      <c r="B417" s="1" t="n">
        <v>44335</v>
      </c>
      <c r="C417" s="1" t="n">
        <v>45349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24230-2021</t>
        </is>
      </c>
      <c r="B418" s="1" t="n">
        <v>44336</v>
      </c>
      <c r="C418" s="1" t="n">
        <v>45349</v>
      </c>
      <c r="D418" t="inlineStr">
        <is>
          <t>GÄVLEBORGS LÄN</t>
        </is>
      </c>
      <c r="E418" t="inlineStr">
        <is>
          <t>BOLLNÄS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26182-2021</t>
        </is>
      </c>
      <c r="B419" s="1" t="n">
        <v>44347</v>
      </c>
      <c r="C419" s="1" t="n">
        <v>45349</v>
      </c>
      <c r="D419" t="inlineStr">
        <is>
          <t>GÄVLEBORGS LÄN</t>
        </is>
      </c>
      <c r="E419" t="inlineStr">
        <is>
          <t>BOLLNÄS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26158-2021</t>
        </is>
      </c>
      <c r="B420" s="1" t="n">
        <v>44347</v>
      </c>
      <c r="C420" s="1" t="n">
        <v>45349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26171-2021</t>
        </is>
      </c>
      <c r="B421" s="1" t="n">
        <v>44347</v>
      </c>
      <c r="C421" s="1" t="n">
        <v>45349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26584-2021</t>
        </is>
      </c>
      <c r="B422" s="1" t="n">
        <v>44348</v>
      </c>
      <c r="C422" s="1" t="n">
        <v>45349</v>
      </c>
      <c r="D422" t="inlineStr">
        <is>
          <t>GÄVLEBORGS LÄN</t>
        </is>
      </c>
      <c r="E422" t="inlineStr">
        <is>
          <t>BOLLNÄS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27415-2021</t>
        </is>
      </c>
      <c r="B423" s="1" t="n">
        <v>44351</v>
      </c>
      <c r="C423" s="1" t="n">
        <v>45349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27678-2021</t>
        </is>
      </c>
      <c r="B424" s="1" t="n">
        <v>44354</v>
      </c>
      <c r="C424" s="1" t="n">
        <v>45349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28161-2021</t>
        </is>
      </c>
      <c r="B425" s="1" t="n">
        <v>44355</v>
      </c>
      <c r="C425" s="1" t="n">
        <v>45349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</v>
      </c>
      <c r="C426" s="1" t="n">
        <v>45349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29812-2021</t>
        </is>
      </c>
      <c r="B427" s="1" t="n">
        <v>44362</v>
      </c>
      <c r="C427" s="1" t="n">
        <v>45349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29972-2021</t>
        </is>
      </c>
      <c r="B428" s="1" t="n">
        <v>44363</v>
      </c>
      <c r="C428" s="1" t="n">
        <v>45349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45349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30813-2021</t>
        </is>
      </c>
      <c r="B430" s="1" t="n">
        <v>44365</v>
      </c>
      <c r="C430" s="1" t="n">
        <v>45349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31515-2021</t>
        </is>
      </c>
      <c r="B431" s="1" t="n">
        <v>44369</v>
      </c>
      <c r="C431" s="1" t="n">
        <v>45349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31691-2021</t>
        </is>
      </c>
      <c r="B432" s="1" t="n">
        <v>44369</v>
      </c>
      <c r="C432" s="1" t="n">
        <v>45349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31694-2021</t>
        </is>
      </c>
      <c r="B433" s="1" t="n">
        <v>44369</v>
      </c>
      <c r="C433" s="1" t="n">
        <v>45349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31801-2021</t>
        </is>
      </c>
      <c r="B434" s="1" t="n">
        <v>44370</v>
      </c>
      <c r="C434" s="1" t="n">
        <v>45349</v>
      </c>
      <c r="D434" t="inlineStr">
        <is>
          <t>GÄVLEBORGS LÄN</t>
        </is>
      </c>
      <c r="E434" t="inlineStr">
        <is>
          <t>BOLLNÄS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31848-2021</t>
        </is>
      </c>
      <c r="B435" s="1" t="n">
        <v>44370</v>
      </c>
      <c r="C435" s="1" t="n">
        <v>45349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31768-2021</t>
        </is>
      </c>
      <c r="B436" s="1" t="n">
        <v>44370</v>
      </c>
      <c r="C436" s="1" t="n">
        <v>45349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32174-2021</t>
        </is>
      </c>
      <c r="B437" s="1" t="n">
        <v>44371</v>
      </c>
      <c r="C437" s="1" t="n">
        <v>45349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32698-2021</t>
        </is>
      </c>
      <c r="B438" s="1" t="n">
        <v>44375</v>
      </c>
      <c r="C438" s="1" t="n">
        <v>45349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32837-2021</t>
        </is>
      </c>
      <c r="B439" s="1" t="n">
        <v>44375</v>
      </c>
      <c r="C439" s="1" t="n">
        <v>45349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34463-2021</t>
        </is>
      </c>
      <c r="B440" s="1" t="n">
        <v>44381</v>
      </c>
      <c r="C440" s="1" t="n">
        <v>45349</v>
      </c>
      <c r="D440" t="inlineStr">
        <is>
          <t>GÄVLEBORGS LÄN</t>
        </is>
      </c>
      <c r="E440" t="inlineStr">
        <is>
          <t>BOLLNÄS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34462-2021</t>
        </is>
      </c>
      <c r="B441" s="1" t="n">
        <v>44381</v>
      </c>
      <c r="C441" s="1" t="n">
        <v>45349</v>
      </c>
      <c r="D441" t="inlineStr">
        <is>
          <t>GÄVLEBORGS LÄN</t>
        </is>
      </c>
      <c r="E441" t="inlineStr">
        <is>
          <t>BOLLNÄS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34464-2021</t>
        </is>
      </c>
      <c r="B442" s="1" t="n">
        <v>44381</v>
      </c>
      <c r="C442" s="1" t="n">
        <v>45349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34523-2021</t>
        </is>
      </c>
      <c r="B443" s="1" t="n">
        <v>44382</v>
      </c>
      <c r="C443" s="1" t="n">
        <v>45349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34562-2021</t>
        </is>
      </c>
      <c r="B444" s="1" t="n">
        <v>44382</v>
      </c>
      <c r="C444" s="1" t="n">
        <v>45349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34852-2021</t>
        </is>
      </c>
      <c r="B445" s="1" t="n">
        <v>44383</v>
      </c>
      <c r="C445" s="1" t="n">
        <v>45349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35080-2021</t>
        </is>
      </c>
      <c r="B446" s="1" t="n">
        <v>44384</v>
      </c>
      <c r="C446" s="1" t="n">
        <v>45349</v>
      </c>
      <c r="D446" t="inlineStr">
        <is>
          <t>GÄVLEBORGS LÄN</t>
        </is>
      </c>
      <c r="E446" t="inlineStr">
        <is>
          <t>BOLLNÄS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36000-2021</t>
        </is>
      </c>
      <c r="B447" s="1" t="n">
        <v>44389</v>
      </c>
      <c r="C447" s="1" t="n">
        <v>45349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36035-2021</t>
        </is>
      </c>
      <c r="B448" s="1" t="n">
        <v>44389</v>
      </c>
      <c r="C448" s="1" t="n">
        <v>45349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38556-2021</t>
        </is>
      </c>
      <c r="B449" s="1" t="n">
        <v>44407</v>
      </c>
      <c r="C449" s="1" t="n">
        <v>45349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41355-2021</t>
        </is>
      </c>
      <c r="B450" s="1" t="n">
        <v>44424</v>
      </c>
      <c r="C450" s="1" t="n">
        <v>45349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41471-2021</t>
        </is>
      </c>
      <c r="B451" s="1" t="n">
        <v>44424</v>
      </c>
      <c r="C451" s="1" t="n">
        <v>45349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43006-2021</t>
        </is>
      </c>
      <c r="B452" s="1" t="n">
        <v>44431</v>
      </c>
      <c r="C452" s="1" t="n">
        <v>45349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43341-2021</t>
        </is>
      </c>
      <c r="B453" s="1" t="n">
        <v>44432</v>
      </c>
      <c r="C453" s="1" t="n">
        <v>45349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44444-2021</t>
        </is>
      </c>
      <c r="B454" s="1" t="n">
        <v>44435</v>
      </c>
      <c r="C454" s="1" t="n">
        <v>45349</v>
      </c>
      <c r="D454" t="inlineStr">
        <is>
          <t>GÄVLEBORGS LÄN</t>
        </is>
      </c>
      <c r="E454" t="inlineStr">
        <is>
          <t>BOLLNÄS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44847-2021</t>
        </is>
      </c>
      <c r="B455" s="1" t="n">
        <v>44438</v>
      </c>
      <c r="C455" s="1" t="n">
        <v>45349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44862-2021</t>
        </is>
      </c>
      <c r="B456" s="1" t="n">
        <v>44438</v>
      </c>
      <c r="C456" s="1" t="n">
        <v>45349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45841-2021</t>
        </is>
      </c>
      <c r="B457" s="1" t="n">
        <v>44441</v>
      </c>
      <c r="C457" s="1" t="n">
        <v>45349</v>
      </c>
      <c r="D457" t="inlineStr">
        <is>
          <t>GÄVLEBORGS LÄN</t>
        </is>
      </c>
      <c r="E457" t="inlineStr">
        <is>
          <t>BOLLNÄS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48443-2021</t>
        </is>
      </c>
      <c r="B458" s="1" t="n">
        <v>44452</v>
      </c>
      <c r="C458" s="1" t="n">
        <v>45349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48451-2021</t>
        </is>
      </c>
      <c r="B459" s="1" t="n">
        <v>44452</v>
      </c>
      <c r="C459" s="1" t="n">
        <v>45349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48547-2021</t>
        </is>
      </c>
      <c r="B460" s="1" t="n">
        <v>44452</v>
      </c>
      <c r="C460" s="1" t="n">
        <v>45349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48679-2021</t>
        </is>
      </c>
      <c r="B461" s="1" t="n">
        <v>44452</v>
      </c>
      <c r="C461" s="1" t="n">
        <v>45349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48718-2021</t>
        </is>
      </c>
      <c r="B462" s="1" t="n">
        <v>44452</v>
      </c>
      <c r="C462" s="1" t="n">
        <v>45349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49445-2021</t>
        </is>
      </c>
      <c r="B463" s="1" t="n">
        <v>44454</v>
      </c>
      <c r="C463" s="1" t="n">
        <v>45349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50935-2021</t>
        </is>
      </c>
      <c r="B464" s="1" t="n">
        <v>44460</v>
      </c>
      <c r="C464" s="1" t="n">
        <v>45349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51761-2021</t>
        </is>
      </c>
      <c r="B465" s="1" t="n">
        <v>44462</v>
      </c>
      <c r="C465" s="1" t="n">
        <v>45349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52792-2021</t>
        </is>
      </c>
      <c r="B466" s="1" t="n">
        <v>44467</v>
      </c>
      <c r="C466" s="1" t="n">
        <v>45349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52784-2021</t>
        </is>
      </c>
      <c r="B467" s="1" t="n">
        <v>44467</v>
      </c>
      <c r="C467" s="1" t="n">
        <v>45349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56418-2021</t>
        </is>
      </c>
      <c r="B468" s="1" t="n">
        <v>44480</v>
      </c>
      <c r="C468" s="1" t="n">
        <v>45349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56410-2021</t>
        </is>
      </c>
      <c r="B469" s="1" t="n">
        <v>44480</v>
      </c>
      <c r="C469" s="1" t="n">
        <v>45349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56416-2021</t>
        </is>
      </c>
      <c r="B470" s="1" t="n">
        <v>44480</v>
      </c>
      <c r="C470" s="1" t="n">
        <v>45349</v>
      </c>
      <c r="D470" t="inlineStr">
        <is>
          <t>GÄVLEBORGS LÄN</t>
        </is>
      </c>
      <c r="E470" t="inlineStr">
        <is>
          <t>BOLLNÄS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56481-2021</t>
        </is>
      </c>
      <c r="B471" s="1" t="n">
        <v>44480</v>
      </c>
      <c r="C471" s="1" t="n">
        <v>45349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56686-2021</t>
        </is>
      </c>
      <c r="B472" s="1" t="n">
        <v>44481</v>
      </c>
      <c r="C472" s="1" t="n">
        <v>45349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57337-2021</t>
        </is>
      </c>
      <c r="B473" s="1" t="n">
        <v>44483</v>
      </c>
      <c r="C473" s="1" t="n">
        <v>45349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57570-2021</t>
        </is>
      </c>
      <c r="B474" s="1" t="n">
        <v>44484</v>
      </c>
      <c r="C474" s="1" t="n">
        <v>45349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58112-2021</t>
        </is>
      </c>
      <c r="B475" s="1" t="n">
        <v>44487</v>
      </c>
      <c r="C475" s="1" t="n">
        <v>45349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58434-2021</t>
        </is>
      </c>
      <c r="B476" s="1" t="n">
        <v>44488</v>
      </c>
      <c r="C476" s="1" t="n">
        <v>45349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58515-2021</t>
        </is>
      </c>
      <c r="B477" s="1" t="n">
        <v>44488</v>
      </c>
      <c r="C477" s="1" t="n">
        <v>45349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58431-2021</t>
        </is>
      </c>
      <c r="B478" s="1" t="n">
        <v>44488</v>
      </c>
      <c r="C478" s="1" t="n">
        <v>45349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58523-2021</t>
        </is>
      </c>
      <c r="B479" s="1" t="n">
        <v>44488</v>
      </c>
      <c r="C479" s="1" t="n">
        <v>45349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58528-2021</t>
        </is>
      </c>
      <c r="B480" s="1" t="n">
        <v>44488</v>
      </c>
      <c r="C480" s="1" t="n">
        <v>45349</v>
      </c>
      <c r="D480" t="inlineStr">
        <is>
          <t>GÄVLEBORGS LÄN</t>
        </is>
      </c>
      <c r="E480" t="inlineStr">
        <is>
          <t>BOLLNÄS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58720-2021</t>
        </is>
      </c>
      <c r="B481" s="1" t="n">
        <v>44489</v>
      </c>
      <c r="C481" s="1" t="n">
        <v>45349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58753-2021</t>
        </is>
      </c>
      <c r="B482" s="1" t="n">
        <v>44489</v>
      </c>
      <c r="C482" s="1" t="n">
        <v>45349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59085-2021</t>
        </is>
      </c>
      <c r="B483" s="1" t="n">
        <v>44490</v>
      </c>
      <c r="C483" s="1" t="n">
        <v>45349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60127-2021</t>
        </is>
      </c>
      <c r="B484" s="1" t="n">
        <v>44495</v>
      </c>
      <c r="C484" s="1" t="n">
        <v>45349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60149-2021</t>
        </is>
      </c>
      <c r="B485" s="1" t="n">
        <v>44495</v>
      </c>
      <c r="C485" s="1" t="n">
        <v>45349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60481-2021</t>
        </is>
      </c>
      <c r="B486" s="1" t="n">
        <v>44496</v>
      </c>
      <c r="C486" s="1" t="n">
        <v>45349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60347-2021</t>
        </is>
      </c>
      <c r="B487" s="1" t="n">
        <v>44496</v>
      </c>
      <c r="C487" s="1" t="n">
        <v>45349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62107-2021</t>
        </is>
      </c>
      <c r="B488" s="1" t="n">
        <v>44502</v>
      </c>
      <c r="C488" s="1" t="n">
        <v>45349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62250-2021</t>
        </is>
      </c>
      <c r="B489" s="1" t="n">
        <v>44503</v>
      </c>
      <c r="C489" s="1" t="n">
        <v>45349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63108-2021</t>
        </is>
      </c>
      <c r="B490" s="1" t="n">
        <v>44505</v>
      </c>
      <c r="C490" s="1" t="n">
        <v>45349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63128-2021</t>
        </is>
      </c>
      <c r="B491" s="1" t="n">
        <v>44505</v>
      </c>
      <c r="C491" s="1" t="n">
        <v>45349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62990-2021</t>
        </is>
      </c>
      <c r="B492" s="1" t="n">
        <v>44505</v>
      </c>
      <c r="C492" s="1" t="n">
        <v>45349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62983-2021</t>
        </is>
      </c>
      <c r="B493" s="1" t="n">
        <v>44505</v>
      </c>
      <c r="C493" s="1" t="n">
        <v>45349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62978-2021</t>
        </is>
      </c>
      <c r="B494" s="1" t="n">
        <v>44505</v>
      </c>
      <c r="C494" s="1" t="n">
        <v>45349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63121-2021</t>
        </is>
      </c>
      <c r="B495" s="1" t="n">
        <v>44505</v>
      </c>
      <c r="C495" s="1" t="n">
        <v>45349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63127-2021</t>
        </is>
      </c>
      <c r="B496" s="1" t="n">
        <v>44505</v>
      </c>
      <c r="C496" s="1" t="n">
        <v>45349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63803-2021</t>
        </is>
      </c>
      <c r="B497" s="1" t="n">
        <v>44509</v>
      </c>
      <c r="C497" s="1" t="n">
        <v>45349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63695-2021</t>
        </is>
      </c>
      <c r="B498" s="1" t="n">
        <v>44509</v>
      </c>
      <c r="C498" s="1" t="n">
        <v>45349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63702-2021</t>
        </is>
      </c>
      <c r="B499" s="1" t="n">
        <v>44509</v>
      </c>
      <c r="C499" s="1" t="n">
        <v>45349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63758-2021</t>
        </is>
      </c>
      <c r="B500" s="1" t="n">
        <v>44509</v>
      </c>
      <c r="C500" s="1" t="n">
        <v>45349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63706-2021</t>
        </is>
      </c>
      <c r="B501" s="1" t="n">
        <v>44509</v>
      </c>
      <c r="C501" s="1" t="n">
        <v>45349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63727-2021</t>
        </is>
      </c>
      <c r="B502" s="1" t="n">
        <v>44509</v>
      </c>
      <c r="C502" s="1" t="n">
        <v>45349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63882-2021</t>
        </is>
      </c>
      <c r="B503" s="1" t="n">
        <v>44509</v>
      </c>
      <c r="C503" s="1" t="n">
        <v>45349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63697-2021</t>
        </is>
      </c>
      <c r="B504" s="1" t="n">
        <v>44509</v>
      </c>
      <c r="C504" s="1" t="n">
        <v>45349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63716-2021</t>
        </is>
      </c>
      <c r="B505" s="1" t="n">
        <v>44509</v>
      </c>
      <c r="C505" s="1" t="n">
        <v>45349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63750-2021</t>
        </is>
      </c>
      <c r="B506" s="1" t="n">
        <v>44509</v>
      </c>
      <c r="C506" s="1" t="n">
        <v>45349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63884-2021</t>
        </is>
      </c>
      <c r="B507" s="1" t="n">
        <v>44509</v>
      </c>
      <c r="C507" s="1" t="n">
        <v>45349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64538-2021</t>
        </is>
      </c>
      <c r="B508" s="1" t="n">
        <v>44511</v>
      </c>
      <c r="C508" s="1" t="n">
        <v>45349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64633-2021</t>
        </is>
      </c>
      <c r="B509" s="1" t="n">
        <v>44511</v>
      </c>
      <c r="C509" s="1" t="n">
        <v>45349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64829-2021</t>
        </is>
      </c>
      <c r="B510" s="1" t="n">
        <v>44512</v>
      </c>
      <c r="C510" s="1" t="n">
        <v>45349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65030-2021</t>
        </is>
      </c>
      <c r="B511" s="1" t="n">
        <v>44515</v>
      </c>
      <c r="C511" s="1" t="n">
        <v>45349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65027-2021</t>
        </is>
      </c>
      <c r="B512" s="1" t="n">
        <v>44515</v>
      </c>
      <c r="C512" s="1" t="n">
        <v>45349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65041-2021</t>
        </is>
      </c>
      <c r="B513" s="1" t="n">
        <v>44515</v>
      </c>
      <c r="C513" s="1" t="n">
        <v>45349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65403-2021</t>
        </is>
      </c>
      <c r="B514" s="1" t="n">
        <v>44515</v>
      </c>
      <c r="C514" s="1" t="n">
        <v>45349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66042-2021</t>
        </is>
      </c>
      <c r="B515" s="1" t="n">
        <v>44517</v>
      </c>
      <c r="C515" s="1" t="n">
        <v>45349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66120-2021</t>
        </is>
      </c>
      <c r="B516" s="1" t="n">
        <v>44517</v>
      </c>
      <c r="C516" s="1" t="n">
        <v>45349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66129-2021</t>
        </is>
      </c>
      <c r="B517" s="1" t="n">
        <v>44517</v>
      </c>
      <c r="C517" s="1" t="n">
        <v>45349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66125-2021</t>
        </is>
      </c>
      <c r="B518" s="1" t="n">
        <v>44517</v>
      </c>
      <c r="C518" s="1" t="n">
        <v>45349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66121-2021</t>
        </is>
      </c>
      <c r="B519" s="1" t="n">
        <v>44517</v>
      </c>
      <c r="C519" s="1" t="n">
        <v>45349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66128-2021</t>
        </is>
      </c>
      <c r="B520" s="1" t="n">
        <v>44517</v>
      </c>
      <c r="C520" s="1" t="n">
        <v>45349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66986-2021</t>
        </is>
      </c>
      <c r="B521" s="1" t="n">
        <v>44522</v>
      </c>
      <c r="C521" s="1" t="n">
        <v>45349</v>
      </c>
      <c r="D521" t="inlineStr">
        <is>
          <t>GÄVLEBORGS LÄN</t>
        </is>
      </c>
      <c r="E521" t="inlineStr">
        <is>
          <t>BOLLNÄS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67527-2021</t>
        </is>
      </c>
      <c r="B522" s="1" t="n">
        <v>44524</v>
      </c>
      <c r="C522" s="1" t="n">
        <v>45349</v>
      </c>
      <c r="D522" t="inlineStr">
        <is>
          <t>GÄVLEBORGS LÄN</t>
        </is>
      </c>
      <c r="E522" t="inlineStr">
        <is>
          <t>BOLLNÄS</t>
        </is>
      </c>
      <c r="F522" t="inlineStr">
        <is>
          <t>Övriga statliga verk och myndigheter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</v>
      </c>
      <c r="C523" s="1" t="n">
        <v>45349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68242-2021</t>
        </is>
      </c>
      <c r="B524" s="1" t="n">
        <v>44526</v>
      </c>
      <c r="C524" s="1" t="n">
        <v>45349</v>
      </c>
      <c r="D524" t="inlineStr">
        <is>
          <t>GÄVLEBORGS LÄN</t>
        </is>
      </c>
      <c r="E524" t="inlineStr">
        <is>
          <t>BOLLNÄS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68516-2021</t>
        </is>
      </c>
      <c r="B525" s="1" t="n">
        <v>44526</v>
      </c>
      <c r="C525" s="1" t="n">
        <v>45349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68156-2021</t>
        </is>
      </c>
      <c r="B526" s="1" t="n">
        <v>44526</v>
      </c>
      <c r="C526" s="1" t="n">
        <v>45349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68112-2021</t>
        </is>
      </c>
      <c r="B527" s="1" t="n">
        <v>44526</v>
      </c>
      <c r="C527" s="1" t="n">
        <v>45349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69184-2021</t>
        </is>
      </c>
      <c r="B528" s="1" t="n">
        <v>44531</v>
      </c>
      <c r="C528" s="1" t="n">
        <v>45349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69378-2021</t>
        </is>
      </c>
      <c r="B529" s="1" t="n">
        <v>44531</v>
      </c>
      <c r="C529" s="1" t="n">
        <v>45349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69406-2021</t>
        </is>
      </c>
      <c r="B530" s="1" t="n">
        <v>44531</v>
      </c>
      <c r="C530" s="1" t="n">
        <v>45349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45349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</v>
      </c>
      <c r="C532" s="1" t="n">
        <v>45349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69836-2021</t>
        </is>
      </c>
      <c r="B533" s="1" t="n">
        <v>44532</v>
      </c>
      <c r="C533" s="1" t="n">
        <v>45349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69784-2021</t>
        </is>
      </c>
      <c r="B534" s="1" t="n">
        <v>44532</v>
      </c>
      <c r="C534" s="1" t="n">
        <v>45349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70096-2021</t>
        </is>
      </c>
      <c r="B535" s="1" t="n">
        <v>44533</v>
      </c>
      <c r="C535" s="1" t="n">
        <v>45349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70473-2021</t>
        </is>
      </c>
      <c r="B536" s="1" t="n">
        <v>44536</v>
      </c>
      <c r="C536" s="1" t="n">
        <v>45349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70914-2021</t>
        </is>
      </c>
      <c r="B537" s="1" t="n">
        <v>44538</v>
      </c>
      <c r="C537" s="1" t="n">
        <v>45349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71489-2021</t>
        </is>
      </c>
      <c r="B538" s="1" t="n">
        <v>44540</v>
      </c>
      <c r="C538" s="1" t="n">
        <v>45349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71515-2021</t>
        </is>
      </c>
      <c r="B539" s="1" t="n">
        <v>44540</v>
      </c>
      <c r="C539" s="1" t="n">
        <v>45349</v>
      </c>
      <c r="D539" t="inlineStr">
        <is>
          <t>GÄVLEBORGS LÄN</t>
        </is>
      </c>
      <c r="E539" t="inlineStr">
        <is>
          <t>BOLLNÄS</t>
        </is>
      </c>
      <c r="F539" t="inlineStr">
        <is>
          <t>Holmen skog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</v>
      </c>
      <c r="C540" s="1" t="n">
        <v>45349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71678-2021</t>
        </is>
      </c>
      <c r="B541" s="1" t="n">
        <v>44543</v>
      </c>
      <c r="C541" s="1" t="n">
        <v>45349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73868-2021</t>
        </is>
      </c>
      <c r="B542" s="1" t="n">
        <v>44553</v>
      </c>
      <c r="C542" s="1" t="n">
        <v>45349</v>
      </c>
      <c r="D542" t="inlineStr">
        <is>
          <t>GÄVLEBORGS LÄN</t>
        </is>
      </c>
      <c r="E542" t="inlineStr">
        <is>
          <t>BOLLNÄS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541-2022</t>
        </is>
      </c>
      <c r="B543" s="1" t="n">
        <v>44566</v>
      </c>
      <c r="C543" s="1" t="n">
        <v>45349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522-2022</t>
        </is>
      </c>
      <c r="B544" s="1" t="n">
        <v>44566</v>
      </c>
      <c r="C544" s="1" t="n">
        <v>45349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534-2022</t>
        </is>
      </c>
      <c r="B545" s="1" t="n">
        <v>44566</v>
      </c>
      <c r="C545" s="1" t="n">
        <v>45349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1306-2022</t>
        </is>
      </c>
      <c r="B546" s="1" t="n">
        <v>44572</v>
      </c>
      <c r="C546" s="1" t="n">
        <v>45349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1474-2022</t>
        </is>
      </c>
      <c r="B547" s="1" t="n">
        <v>44573</v>
      </c>
      <c r="C547" s="1" t="n">
        <v>45349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2611-2022</t>
        </is>
      </c>
      <c r="B548" s="1" t="n">
        <v>44580</v>
      </c>
      <c r="C548" s="1" t="n">
        <v>45349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3429-2022</t>
        </is>
      </c>
      <c r="B549" s="1" t="n">
        <v>44585</v>
      </c>
      <c r="C549" s="1" t="n">
        <v>45349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3444-2022</t>
        </is>
      </c>
      <c r="B550" s="1" t="n">
        <v>44585</v>
      </c>
      <c r="C550" s="1" t="n">
        <v>45349</v>
      </c>
      <c r="D550" t="inlineStr">
        <is>
          <t>GÄVLEBORGS LÄN</t>
        </is>
      </c>
      <c r="E550" t="inlineStr">
        <is>
          <t>BOLLNÄS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5135-2022</t>
        </is>
      </c>
      <c r="B551" s="1" t="n">
        <v>44594</v>
      </c>
      <c r="C551" s="1" t="n">
        <v>45349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5296-2022</t>
        </is>
      </c>
      <c r="B552" s="1" t="n">
        <v>44594</v>
      </c>
      <c r="C552" s="1" t="n">
        <v>45349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5495-2022</t>
        </is>
      </c>
      <c r="B553" s="1" t="n">
        <v>44595</v>
      </c>
      <c r="C553" s="1" t="n">
        <v>45349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5579-2022</t>
        </is>
      </c>
      <c r="B554" s="1" t="n">
        <v>44595</v>
      </c>
      <c r="C554" s="1" t="n">
        <v>45349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5561-2022</t>
        </is>
      </c>
      <c r="B555" s="1" t="n">
        <v>44595</v>
      </c>
      <c r="C555" s="1" t="n">
        <v>45349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5691-2022</t>
        </is>
      </c>
      <c r="B556" s="1" t="n">
        <v>44596</v>
      </c>
      <c r="C556" s="1" t="n">
        <v>45349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5810-2022</t>
        </is>
      </c>
      <c r="B557" s="1" t="n">
        <v>44596</v>
      </c>
      <c r="C557" s="1" t="n">
        <v>45349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5806-2022</t>
        </is>
      </c>
      <c r="B558" s="1" t="n">
        <v>44596</v>
      </c>
      <c r="C558" s="1" t="n">
        <v>45349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5894-2022</t>
        </is>
      </c>
      <c r="B559" s="1" t="n">
        <v>44596</v>
      </c>
      <c r="C559" s="1" t="n">
        <v>45349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6549-2022</t>
        </is>
      </c>
      <c r="B560" s="1" t="n">
        <v>44601</v>
      </c>
      <c r="C560" s="1" t="n">
        <v>45349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7079-2022</t>
        </is>
      </c>
      <c r="B561" s="1" t="n">
        <v>44603</v>
      </c>
      <c r="C561" s="1" t="n">
        <v>45349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7075-2022</t>
        </is>
      </c>
      <c r="B562" s="1" t="n">
        <v>44603</v>
      </c>
      <c r="C562" s="1" t="n">
        <v>45349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7096-2022</t>
        </is>
      </c>
      <c r="B563" s="1" t="n">
        <v>44603</v>
      </c>
      <c r="C563" s="1" t="n">
        <v>45349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7092-2022</t>
        </is>
      </c>
      <c r="B564" s="1" t="n">
        <v>44603</v>
      </c>
      <c r="C564" s="1" t="n">
        <v>45349</v>
      </c>
      <c r="D564" t="inlineStr">
        <is>
          <t>GÄVLEBORGS LÄN</t>
        </is>
      </c>
      <c r="E564" t="inlineStr">
        <is>
          <t>BOLLNÄS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7099-2022</t>
        </is>
      </c>
      <c r="B565" s="1" t="n">
        <v>44603</v>
      </c>
      <c r="C565" s="1" t="n">
        <v>45349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7095-2022</t>
        </is>
      </c>
      <c r="B566" s="1" t="n">
        <v>44603</v>
      </c>
      <c r="C566" s="1" t="n">
        <v>45349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7102-2022</t>
        </is>
      </c>
      <c r="B567" s="1" t="n">
        <v>44603</v>
      </c>
      <c r="C567" s="1" t="n">
        <v>45349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7766-2022</t>
        </is>
      </c>
      <c r="B568" s="1" t="n">
        <v>44608</v>
      </c>
      <c r="C568" s="1" t="n">
        <v>45349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9367-2022</t>
        </is>
      </c>
      <c r="B569" s="1" t="n">
        <v>44616</v>
      </c>
      <c r="C569" s="1" t="n">
        <v>45349</v>
      </c>
      <c r="D569" t="inlineStr">
        <is>
          <t>GÄVLEBORGS LÄN</t>
        </is>
      </c>
      <c r="E569" t="inlineStr">
        <is>
          <t>BOLLNÄS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9474-2022</t>
        </is>
      </c>
      <c r="B570" s="1" t="n">
        <v>44616</v>
      </c>
      <c r="C570" s="1" t="n">
        <v>45349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9475-2022</t>
        </is>
      </c>
      <c r="B571" s="1" t="n">
        <v>44616</v>
      </c>
      <c r="C571" s="1" t="n">
        <v>45349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9598-2022</t>
        </is>
      </c>
      <c r="B572" s="1" t="n">
        <v>44617</v>
      </c>
      <c r="C572" s="1" t="n">
        <v>45349</v>
      </c>
      <c r="D572" t="inlineStr">
        <is>
          <t>GÄVLEBORGS LÄN</t>
        </is>
      </c>
      <c r="E572" t="inlineStr">
        <is>
          <t>BOLLNÄS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9782-2022</t>
        </is>
      </c>
      <c r="B573" s="1" t="n">
        <v>44620</v>
      </c>
      <c r="C573" s="1" t="n">
        <v>45349</v>
      </c>
      <c r="D573" t="inlineStr">
        <is>
          <t>GÄVLEBORGS LÄN</t>
        </is>
      </c>
      <c r="E573" t="inlineStr">
        <is>
          <t>BOLLNÄS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9888-2022</t>
        </is>
      </c>
      <c r="B574" s="1" t="n">
        <v>44620</v>
      </c>
      <c r="C574" s="1" t="n">
        <v>45349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9883-2022</t>
        </is>
      </c>
      <c r="B575" s="1" t="n">
        <v>44620</v>
      </c>
      <c r="C575" s="1" t="n">
        <v>45349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9877-2022</t>
        </is>
      </c>
      <c r="B576" s="1" t="n">
        <v>44620</v>
      </c>
      <c r="C576" s="1" t="n">
        <v>45349</v>
      </c>
      <c r="D576" t="inlineStr">
        <is>
          <t>GÄVLEBORGS LÄN</t>
        </is>
      </c>
      <c r="E576" t="inlineStr">
        <is>
          <t>BOLLNÄS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9889-2022</t>
        </is>
      </c>
      <c r="B577" s="1" t="n">
        <v>44620</v>
      </c>
      <c r="C577" s="1" t="n">
        <v>45349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10180-2022</t>
        </is>
      </c>
      <c r="B578" s="1" t="n">
        <v>44622</v>
      </c>
      <c r="C578" s="1" t="n">
        <v>45349</v>
      </c>
      <c r="D578" t="inlineStr">
        <is>
          <t>GÄVLEBORGS LÄN</t>
        </is>
      </c>
      <c r="E578" t="inlineStr">
        <is>
          <t>BOLLNÄS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10493-2022</t>
        </is>
      </c>
      <c r="B579" s="1" t="n">
        <v>44623</v>
      </c>
      <c r="C579" s="1" t="n">
        <v>45349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11645-2022</t>
        </is>
      </c>
      <c r="B580" s="1" t="n">
        <v>44631</v>
      </c>
      <c r="C580" s="1" t="n">
        <v>45349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12108-2022</t>
        </is>
      </c>
      <c r="B581" s="1" t="n">
        <v>44636</v>
      </c>
      <c r="C581" s="1" t="n">
        <v>45349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12818-2022</t>
        </is>
      </c>
      <c r="B582" s="1" t="n">
        <v>44642</v>
      </c>
      <c r="C582" s="1" t="n">
        <v>45349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13405-2022</t>
        </is>
      </c>
      <c r="B583" s="1" t="n">
        <v>44645</v>
      </c>
      <c r="C583" s="1" t="n">
        <v>45349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13443-2022</t>
        </is>
      </c>
      <c r="B584" s="1" t="n">
        <v>44645</v>
      </c>
      <c r="C584" s="1" t="n">
        <v>45349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13402-2022</t>
        </is>
      </c>
      <c r="B585" s="1" t="n">
        <v>44645</v>
      </c>
      <c r="C585" s="1" t="n">
        <v>45349</v>
      </c>
      <c r="D585" t="inlineStr">
        <is>
          <t>GÄVLEBORGS LÄN</t>
        </is>
      </c>
      <c r="E585" t="inlineStr">
        <is>
          <t>BOLLNÄS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13406-2022</t>
        </is>
      </c>
      <c r="B586" s="1" t="n">
        <v>44645</v>
      </c>
      <c r="C586" s="1" t="n">
        <v>45349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13401-2022</t>
        </is>
      </c>
      <c r="B587" s="1" t="n">
        <v>44645</v>
      </c>
      <c r="C587" s="1" t="n">
        <v>45349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13407-2022</t>
        </is>
      </c>
      <c r="B588" s="1" t="n">
        <v>44645</v>
      </c>
      <c r="C588" s="1" t="n">
        <v>45349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13642-2022</t>
        </is>
      </c>
      <c r="B589" s="1" t="n">
        <v>44648</v>
      </c>
      <c r="C589" s="1" t="n">
        <v>45349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14005-2022</t>
        </is>
      </c>
      <c r="B590" s="1" t="n">
        <v>44650</v>
      </c>
      <c r="C590" s="1" t="n">
        <v>45349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14012-2022</t>
        </is>
      </c>
      <c r="B591" s="1" t="n">
        <v>44650</v>
      </c>
      <c r="C591" s="1" t="n">
        <v>45349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14104-2022</t>
        </is>
      </c>
      <c r="B592" s="1" t="n">
        <v>44651</v>
      </c>
      <c r="C592" s="1" t="n">
        <v>45349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14103-2022</t>
        </is>
      </c>
      <c r="B593" s="1" t="n">
        <v>44651</v>
      </c>
      <c r="C593" s="1" t="n">
        <v>45349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14405-2022</t>
        </is>
      </c>
      <c r="B594" s="1" t="n">
        <v>44652</v>
      </c>
      <c r="C594" s="1" t="n">
        <v>45349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14354-2022</t>
        </is>
      </c>
      <c r="B595" s="1" t="n">
        <v>44652</v>
      </c>
      <c r="C595" s="1" t="n">
        <v>45349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14857-2022</t>
        </is>
      </c>
      <c r="B596" s="1" t="n">
        <v>44656</v>
      </c>
      <c r="C596" s="1" t="n">
        <v>45349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14996-2022</t>
        </is>
      </c>
      <c r="B597" s="1" t="n">
        <v>44657</v>
      </c>
      <c r="C597" s="1" t="n">
        <v>45349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15275-2022</t>
        </is>
      </c>
      <c r="B598" s="1" t="n">
        <v>44659</v>
      </c>
      <c r="C598" s="1" t="n">
        <v>45349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15269-2022</t>
        </is>
      </c>
      <c r="B599" s="1" t="n">
        <v>44659</v>
      </c>
      <c r="C599" s="1" t="n">
        <v>45349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15464-2022</t>
        </is>
      </c>
      <c r="B600" s="1" t="n">
        <v>44662</v>
      </c>
      <c r="C600" s="1" t="n">
        <v>45349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16489-2022</t>
        </is>
      </c>
      <c r="B601" s="1" t="n">
        <v>44671</v>
      </c>
      <c r="C601" s="1" t="n">
        <v>45349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16379-2022</t>
        </is>
      </c>
      <c r="B602" s="1" t="n">
        <v>44671</v>
      </c>
      <c r="C602" s="1" t="n">
        <v>45349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16646-2022</t>
        </is>
      </c>
      <c r="B603" s="1" t="n">
        <v>44672</v>
      </c>
      <c r="C603" s="1" t="n">
        <v>45349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16891-2022</t>
        </is>
      </c>
      <c r="B604" s="1" t="n">
        <v>44676</v>
      </c>
      <c r="C604" s="1" t="n">
        <v>45349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16923-2022</t>
        </is>
      </c>
      <c r="B605" s="1" t="n">
        <v>44676</v>
      </c>
      <c r="C605" s="1" t="n">
        <v>45349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17348-2022</t>
        </is>
      </c>
      <c r="B606" s="1" t="n">
        <v>44678</v>
      </c>
      <c r="C606" s="1" t="n">
        <v>45349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17394-2022</t>
        </is>
      </c>
      <c r="B607" s="1" t="n">
        <v>44678</v>
      </c>
      <c r="C607" s="1" t="n">
        <v>45349</v>
      </c>
      <c r="D607" t="inlineStr">
        <is>
          <t>GÄVLEBORGS LÄN</t>
        </is>
      </c>
      <c r="E607" t="inlineStr">
        <is>
          <t>BOLLNÄS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17717-2022</t>
        </is>
      </c>
      <c r="B608" s="1" t="n">
        <v>44680</v>
      </c>
      <c r="C608" s="1" t="n">
        <v>45349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17889-2022</t>
        </is>
      </c>
      <c r="B609" s="1" t="n">
        <v>44683</v>
      </c>
      <c r="C609" s="1" t="n">
        <v>45349</v>
      </c>
      <c r="D609" t="inlineStr">
        <is>
          <t>GÄVLEBORGS LÄN</t>
        </is>
      </c>
      <c r="E609" t="inlineStr">
        <is>
          <t>BOLLNÄS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18477-2022</t>
        </is>
      </c>
      <c r="B610" s="1" t="n">
        <v>44686</v>
      </c>
      <c r="C610" s="1" t="n">
        <v>45349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18486-2022</t>
        </is>
      </c>
      <c r="B611" s="1" t="n">
        <v>44686</v>
      </c>
      <c r="C611" s="1" t="n">
        <v>45349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19088-2022</t>
        </is>
      </c>
      <c r="B612" s="1" t="n">
        <v>44691</v>
      </c>
      <c r="C612" s="1" t="n">
        <v>45349</v>
      </c>
      <c r="D612" t="inlineStr">
        <is>
          <t>GÄVLEBORGS LÄN</t>
        </is>
      </c>
      <c r="E612" t="inlineStr">
        <is>
          <t>BOLLNÄS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19143-2022</t>
        </is>
      </c>
      <c r="B613" s="1" t="n">
        <v>44691</v>
      </c>
      <c r="C613" s="1" t="n">
        <v>45349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19856-2022</t>
        </is>
      </c>
      <c r="B614" s="1" t="n">
        <v>44697</v>
      </c>
      <c r="C614" s="1" t="n">
        <v>45349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21137-2022</t>
        </is>
      </c>
      <c r="B615" s="1" t="n">
        <v>44704</v>
      </c>
      <c r="C615" s="1" t="n">
        <v>45349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21009-2022</t>
        </is>
      </c>
      <c r="B616" s="1" t="n">
        <v>44704</v>
      </c>
      <c r="C616" s="1" t="n">
        <v>45349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21153-2022</t>
        </is>
      </c>
      <c r="B617" s="1" t="n">
        <v>44704</v>
      </c>
      <c r="C617" s="1" t="n">
        <v>45349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21299-2022</t>
        </is>
      </c>
      <c r="B618" s="1" t="n">
        <v>44705</v>
      </c>
      <c r="C618" s="1" t="n">
        <v>45349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21438-2022</t>
        </is>
      </c>
      <c r="B619" s="1" t="n">
        <v>44706</v>
      </c>
      <c r="C619" s="1" t="n">
        <v>45349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45349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22126-2022</t>
        </is>
      </c>
      <c r="B621" s="1" t="n">
        <v>44712</v>
      </c>
      <c r="C621" s="1" t="n">
        <v>45349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22226-2022</t>
        </is>
      </c>
      <c r="B622" s="1" t="n">
        <v>44712</v>
      </c>
      <c r="C622" s="1" t="n">
        <v>45349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22689-2022</t>
        </is>
      </c>
      <c r="B623" s="1" t="n">
        <v>44714</v>
      </c>
      <c r="C623" s="1" t="n">
        <v>45349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22646-2022</t>
        </is>
      </c>
      <c r="B624" s="1" t="n">
        <v>44714</v>
      </c>
      <c r="C624" s="1" t="n">
        <v>45349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22728-2022</t>
        </is>
      </c>
      <c r="B625" s="1" t="n">
        <v>44714</v>
      </c>
      <c r="C625" s="1" t="n">
        <v>45349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22731-2022</t>
        </is>
      </c>
      <c r="B626" s="1" t="n">
        <v>44714</v>
      </c>
      <c r="C626" s="1" t="n">
        <v>45349</v>
      </c>
      <c r="D626" t="inlineStr">
        <is>
          <t>GÄVLEBORGS LÄN</t>
        </is>
      </c>
      <c r="E626" t="inlineStr">
        <is>
          <t>BOLLNÄS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22745-2022</t>
        </is>
      </c>
      <c r="B627" s="1" t="n">
        <v>44714</v>
      </c>
      <c r="C627" s="1" t="n">
        <v>45349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22882-2022</t>
        </is>
      </c>
      <c r="B628" s="1" t="n">
        <v>44715</v>
      </c>
      <c r="C628" s="1" t="n">
        <v>45349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23358-2022</t>
        </is>
      </c>
      <c r="B629" s="1" t="n">
        <v>44720</v>
      </c>
      <c r="C629" s="1" t="n">
        <v>45349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23378-2022</t>
        </is>
      </c>
      <c r="B630" s="1" t="n">
        <v>44720</v>
      </c>
      <c r="C630" s="1" t="n">
        <v>45349</v>
      </c>
      <c r="D630" t="inlineStr">
        <is>
          <t>GÄVLEBORGS LÄN</t>
        </is>
      </c>
      <c r="E630" t="inlineStr">
        <is>
          <t>BOLLNÄS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23925-2022</t>
        </is>
      </c>
      <c r="B631" s="1" t="n">
        <v>44722</v>
      </c>
      <c r="C631" s="1" t="n">
        <v>45349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24763-2022</t>
        </is>
      </c>
      <c r="B632" s="1" t="n">
        <v>44728</v>
      </c>
      <c r="C632" s="1" t="n">
        <v>45349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24770-2022</t>
        </is>
      </c>
      <c r="B633" s="1" t="n">
        <v>44728</v>
      </c>
      <c r="C633" s="1" t="n">
        <v>45349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24799-2022</t>
        </is>
      </c>
      <c r="B634" s="1" t="n">
        <v>44728</v>
      </c>
      <c r="C634" s="1" t="n">
        <v>45349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24981-2022</t>
        </is>
      </c>
      <c r="B635" s="1" t="n">
        <v>44728</v>
      </c>
      <c r="C635" s="1" t="n">
        <v>45349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25088-2022</t>
        </is>
      </c>
      <c r="B636" s="1" t="n">
        <v>44729</v>
      </c>
      <c r="C636" s="1" t="n">
        <v>45349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25242-2022</t>
        </is>
      </c>
      <c r="B637" s="1" t="n">
        <v>44729</v>
      </c>
      <c r="C637" s="1" t="n">
        <v>45349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25100-2022</t>
        </is>
      </c>
      <c r="B638" s="1" t="n">
        <v>44729</v>
      </c>
      <c r="C638" s="1" t="n">
        <v>45349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25238-2022</t>
        </is>
      </c>
      <c r="B639" s="1" t="n">
        <v>44729</v>
      </c>
      <c r="C639" s="1" t="n">
        <v>45349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25239-2022</t>
        </is>
      </c>
      <c r="B640" s="1" t="n">
        <v>44729</v>
      </c>
      <c r="C640" s="1" t="n">
        <v>45349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25629-2022</t>
        </is>
      </c>
      <c r="B641" s="1" t="n">
        <v>44733</v>
      </c>
      <c r="C641" s="1" t="n">
        <v>45349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25633-2022</t>
        </is>
      </c>
      <c r="B642" s="1" t="n">
        <v>44732</v>
      </c>
      <c r="C642" s="1" t="n">
        <v>45349</v>
      </c>
      <c r="D642" t="inlineStr">
        <is>
          <t>GÄVLEBORGS LÄN</t>
        </is>
      </c>
      <c r="E642" t="inlineStr">
        <is>
          <t>BOLLNÄS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25632-2022</t>
        </is>
      </c>
      <c r="B643" s="1" t="n">
        <v>44733</v>
      </c>
      <c r="C643" s="1" t="n">
        <v>45349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25631-2022</t>
        </is>
      </c>
      <c r="B644" s="1" t="n">
        <v>44732</v>
      </c>
      <c r="C644" s="1" t="n">
        <v>45349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26304-2022</t>
        </is>
      </c>
      <c r="B645" s="1" t="n">
        <v>44735</v>
      </c>
      <c r="C645" s="1" t="n">
        <v>45349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26301-2022</t>
        </is>
      </c>
      <c r="B646" s="1" t="n">
        <v>44735</v>
      </c>
      <c r="C646" s="1" t="n">
        <v>45349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26941-2022</t>
        </is>
      </c>
      <c r="B647" s="1" t="n">
        <v>44740</v>
      </c>
      <c r="C647" s="1" t="n">
        <v>45349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28553-2022</t>
        </is>
      </c>
      <c r="B648" s="1" t="n">
        <v>44748</v>
      </c>
      <c r="C648" s="1" t="n">
        <v>45349</v>
      </c>
      <c r="D648" t="inlineStr">
        <is>
          <t>GÄVLEBORGS LÄN</t>
        </is>
      </c>
      <c r="E648" t="inlineStr">
        <is>
          <t>BOLLNÄS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28979-2022</t>
        </is>
      </c>
      <c r="B649" s="1" t="n">
        <v>44749</v>
      </c>
      <c r="C649" s="1" t="n">
        <v>45349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28981-2022</t>
        </is>
      </c>
      <c r="B650" s="1" t="n">
        <v>44749</v>
      </c>
      <c r="C650" s="1" t="n">
        <v>45349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28983-2022</t>
        </is>
      </c>
      <c r="B651" s="1" t="n">
        <v>44749</v>
      </c>
      <c r="C651" s="1" t="n">
        <v>45349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29241-2022</t>
        </is>
      </c>
      <c r="B652" s="1" t="n">
        <v>44750</v>
      </c>
      <c r="C652" s="1" t="n">
        <v>45349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30152-2022</t>
        </is>
      </c>
      <c r="B653" s="1" t="n">
        <v>44757</v>
      </c>
      <c r="C653" s="1" t="n">
        <v>45349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30615-2022</t>
        </is>
      </c>
      <c r="B654" s="1" t="n">
        <v>44763</v>
      </c>
      <c r="C654" s="1" t="n">
        <v>45349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31237-2022</t>
        </is>
      </c>
      <c r="B655" s="1" t="n">
        <v>44771</v>
      </c>
      <c r="C655" s="1" t="n">
        <v>45349</v>
      </c>
      <c r="D655" t="inlineStr">
        <is>
          <t>GÄVLEBORGS LÄN</t>
        </is>
      </c>
      <c r="E655" t="inlineStr">
        <is>
          <t>BOLLNÄS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31434-2022</t>
        </is>
      </c>
      <c r="B656" s="1" t="n">
        <v>44775</v>
      </c>
      <c r="C656" s="1" t="n">
        <v>45349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32634-2022</t>
        </is>
      </c>
      <c r="B657" s="1" t="n">
        <v>44783</v>
      </c>
      <c r="C657" s="1" t="n">
        <v>45349</v>
      </c>
      <c r="D657" t="inlineStr">
        <is>
          <t>GÄVLEBORGS LÄN</t>
        </is>
      </c>
      <c r="E657" t="inlineStr">
        <is>
          <t>BOLLNÄS</t>
        </is>
      </c>
      <c r="F657" t="inlineStr">
        <is>
          <t>Kyrkan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32613-2022</t>
        </is>
      </c>
      <c r="B658" s="1" t="n">
        <v>44783</v>
      </c>
      <c r="C658" s="1" t="n">
        <v>45349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32948-2022</t>
        </is>
      </c>
      <c r="B659" s="1" t="n">
        <v>44784</v>
      </c>
      <c r="C659" s="1" t="n">
        <v>45349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33028-2022</t>
        </is>
      </c>
      <c r="B660" s="1" t="n">
        <v>44785</v>
      </c>
      <c r="C660" s="1" t="n">
        <v>45349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33049-2022</t>
        </is>
      </c>
      <c r="B661" s="1" t="n">
        <v>44785</v>
      </c>
      <c r="C661" s="1" t="n">
        <v>45349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33040-2022</t>
        </is>
      </c>
      <c r="B662" s="1" t="n">
        <v>44785</v>
      </c>
      <c r="C662" s="1" t="n">
        <v>45349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33086-2022</t>
        </is>
      </c>
      <c r="B663" s="1" t="n">
        <v>44785</v>
      </c>
      <c r="C663" s="1" t="n">
        <v>45349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33432-2022</t>
        </is>
      </c>
      <c r="B664" s="1" t="n">
        <v>44788</v>
      </c>
      <c r="C664" s="1" t="n">
        <v>45349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34175-2022</t>
        </is>
      </c>
      <c r="B665" s="1" t="n">
        <v>44791</v>
      </c>
      <c r="C665" s="1" t="n">
        <v>45349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34444-2022</t>
        </is>
      </c>
      <c r="B666" s="1" t="n">
        <v>44792</v>
      </c>
      <c r="C666" s="1" t="n">
        <v>45349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34887-2022</t>
        </is>
      </c>
      <c r="B667" s="1" t="n">
        <v>44796</v>
      </c>
      <c r="C667" s="1" t="n">
        <v>45349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34893-2022</t>
        </is>
      </c>
      <c r="B668" s="1" t="n">
        <v>44796</v>
      </c>
      <c r="C668" s="1" t="n">
        <v>45349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34939-2022</t>
        </is>
      </c>
      <c r="B669" s="1" t="n">
        <v>44796</v>
      </c>
      <c r="C669" s="1" t="n">
        <v>45349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35245-2022</t>
        </is>
      </c>
      <c r="B670" s="1" t="n">
        <v>44798</v>
      </c>
      <c r="C670" s="1" t="n">
        <v>45349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35735-2022</t>
        </is>
      </c>
      <c r="B671" s="1" t="n">
        <v>44799</v>
      </c>
      <c r="C671" s="1" t="n">
        <v>45349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35736-2022</t>
        </is>
      </c>
      <c r="B672" s="1" t="n">
        <v>44799</v>
      </c>
      <c r="C672" s="1" t="n">
        <v>45349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35941-2022</t>
        </is>
      </c>
      <c r="B673" s="1" t="n">
        <v>44802</v>
      </c>
      <c r="C673" s="1" t="n">
        <v>45349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45349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36981-2022</t>
        </is>
      </c>
      <c r="B675" s="1" t="n">
        <v>44806</v>
      </c>
      <c r="C675" s="1" t="n">
        <v>45349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37060-2022</t>
        </is>
      </c>
      <c r="B676" s="1" t="n">
        <v>44806</v>
      </c>
      <c r="C676" s="1" t="n">
        <v>45349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45349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37317-2022</t>
        </is>
      </c>
      <c r="B678" s="1" t="n">
        <v>44806</v>
      </c>
      <c r="C678" s="1" t="n">
        <v>45349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37632-2022</t>
        </is>
      </c>
      <c r="B679" s="1" t="n">
        <v>44810</v>
      </c>
      <c r="C679" s="1" t="n">
        <v>45349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38867-2022</t>
        </is>
      </c>
      <c r="B680" s="1" t="n">
        <v>44816</v>
      </c>
      <c r="C680" s="1" t="n">
        <v>45349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38883-2022</t>
        </is>
      </c>
      <c r="B681" s="1" t="n">
        <v>44816</v>
      </c>
      <c r="C681" s="1" t="n">
        <v>45349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39528-2022</t>
        </is>
      </c>
      <c r="B682" s="1" t="n">
        <v>44818</v>
      </c>
      <c r="C682" s="1" t="n">
        <v>45349</v>
      </c>
      <c r="D682" t="inlineStr">
        <is>
          <t>GÄVLEBORGS LÄN</t>
        </is>
      </c>
      <c r="E682" t="inlineStr">
        <is>
          <t>BOLLNÄS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39723-2022</t>
        </is>
      </c>
      <c r="B683" s="1" t="n">
        <v>44819</v>
      </c>
      <c r="C683" s="1" t="n">
        <v>45349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40162-2022</t>
        </is>
      </c>
      <c r="B684" s="1" t="n">
        <v>44820</v>
      </c>
      <c r="C684" s="1" t="n">
        <v>45349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40376-2022</t>
        </is>
      </c>
      <c r="B685" s="1" t="n">
        <v>44823</v>
      </c>
      <c r="C685" s="1" t="n">
        <v>45349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41454-2022</t>
        </is>
      </c>
      <c r="B686" s="1" t="n">
        <v>44826</v>
      </c>
      <c r="C686" s="1" t="n">
        <v>45349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41453-2022</t>
        </is>
      </c>
      <c r="B687" s="1" t="n">
        <v>44826</v>
      </c>
      <c r="C687" s="1" t="n">
        <v>45349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41831-2022</t>
        </is>
      </c>
      <c r="B688" s="1" t="n">
        <v>44827</v>
      </c>
      <c r="C688" s="1" t="n">
        <v>45349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41962-2022</t>
        </is>
      </c>
      <c r="B689" s="1" t="n">
        <v>44830</v>
      </c>
      <c r="C689" s="1" t="n">
        <v>45349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41960-2022</t>
        </is>
      </c>
      <c r="B690" s="1" t="n">
        <v>44830</v>
      </c>
      <c r="C690" s="1" t="n">
        <v>45349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42392-2022</t>
        </is>
      </c>
      <c r="B691" s="1" t="n">
        <v>44831</v>
      </c>
      <c r="C691" s="1" t="n">
        <v>45349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42350-2022</t>
        </is>
      </c>
      <c r="B692" s="1" t="n">
        <v>44831</v>
      </c>
      <c r="C692" s="1" t="n">
        <v>45349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42325-2022</t>
        </is>
      </c>
      <c r="B693" s="1" t="n">
        <v>44831</v>
      </c>
      <c r="C693" s="1" t="n">
        <v>45349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42406-2022</t>
        </is>
      </c>
      <c r="B694" s="1" t="n">
        <v>44831</v>
      </c>
      <c r="C694" s="1" t="n">
        <v>45349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42513-2022</t>
        </is>
      </c>
      <c r="B695" s="1" t="n">
        <v>44831</v>
      </c>
      <c r="C695" s="1" t="n">
        <v>45349</v>
      </c>
      <c r="D695" t="inlineStr">
        <is>
          <t>GÄVLEBORGS LÄN</t>
        </is>
      </c>
      <c r="E695" t="inlineStr">
        <is>
          <t>BOLLNÄS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42519-2022</t>
        </is>
      </c>
      <c r="B696" s="1" t="n">
        <v>44831</v>
      </c>
      <c r="C696" s="1" t="n">
        <v>45349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44120-2022</t>
        </is>
      </c>
      <c r="B697" s="1" t="n">
        <v>44839</v>
      </c>
      <c r="C697" s="1" t="n">
        <v>45349</v>
      </c>
      <c r="D697" t="inlineStr">
        <is>
          <t>GÄVLEBORGS LÄN</t>
        </is>
      </c>
      <c r="E697" t="inlineStr">
        <is>
          <t>BOLLNÄS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44151-2022</t>
        </is>
      </c>
      <c r="B698" s="1" t="n">
        <v>44839</v>
      </c>
      <c r="C698" s="1" t="n">
        <v>45349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45349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44655-2022</t>
        </is>
      </c>
      <c r="B700" s="1" t="n">
        <v>44840</v>
      </c>
      <c r="C700" s="1" t="n">
        <v>45349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44715-2022</t>
        </is>
      </c>
      <c r="B701" s="1" t="n">
        <v>44840</v>
      </c>
      <c r="C701" s="1" t="n">
        <v>45349</v>
      </c>
      <c r="D701" t="inlineStr">
        <is>
          <t>GÄVLEBORGS LÄN</t>
        </is>
      </c>
      <c r="E701" t="inlineStr">
        <is>
          <t>BOLLNÄS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44922-2022</t>
        </is>
      </c>
      <c r="B702" s="1" t="n">
        <v>44841</v>
      </c>
      <c r="C702" s="1" t="n">
        <v>45349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45590-2022</t>
        </is>
      </c>
      <c r="B703" s="1" t="n">
        <v>44845</v>
      </c>
      <c r="C703" s="1" t="n">
        <v>45349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45655-2022</t>
        </is>
      </c>
      <c r="B704" s="1" t="n">
        <v>44845</v>
      </c>
      <c r="C704" s="1" t="n">
        <v>45349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45752-2022</t>
        </is>
      </c>
      <c r="B705" s="1" t="n">
        <v>44846</v>
      </c>
      <c r="C705" s="1" t="n">
        <v>45349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45747-2022</t>
        </is>
      </c>
      <c r="B706" s="1" t="n">
        <v>44846</v>
      </c>
      <c r="C706" s="1" t="n">
        <v>45349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46009-2022</t>
        </is>
      </c>
      <c r="B707" s="1" t="n">
        <v>44846</v>
      </c>
      <c r="C707" s="1" t="n">
        <v>45349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46007-2022</t>
        </is>
      </c>
      <c r="B708" s="1" t="n">
        <v>44846</v>
      </c>
      <c r="C708" s="1" t="n">
        <v>45349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46109-2022</t>
        </is>
      </c>
      <c r="B709" s="1" t="n">
        <v>44847</v>
      </c>
      <c r="C709" s="1" t="n">
        <v>45349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46965-2022</t>
        </is>
      </c>
      <c r="B710" s="1" t="n">
        <v>44852</v>
      </c>
      <c r="C710" s="1" t="n">
        <v>45349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46963-2022</t>
        </is>
      </c>
      <c r="B711" s="1" t="n">
        <v>44852</v>
      </c>
      <c r="C711" s="1" t="n">
        <v>45349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46961-2022</t>
        </is>
      </c>
      <c r="B712" s="1" t="n">
        <v>44852</v>
      </c>
      <c r="C712" s="1" t="n">
        <v>45349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46995-2022</t>
        </is>
      </c>
      <c r="B713" s="1" t="n">
        <v>44852</v>
      </c>
      <c r="C713" s="1" t="n">
        <v>45349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47723-2022</t>
        </is>
      </c>
      <c r="B714" s="1" t="n">
        <v>44854</v>
      </c>
      <c r="C714" s="1" t="n">
        <v>45349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48007-2022</t>
        </is>
      </c>
      <c r="B715" s="1" t="n">
        <v>44855</v>
      </c>
      <c r="C715" s="1" t="n">
        <v>45349</v>
      </c>
      <c r="D715" t="inlineStr">
        <is>
          <t>GÄVLEBORGS LÄN</t>
        </is>
      </c>
      <c r="E715" t="inlineStr">
        <is>
          <t>BOLLNÄS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48110-2022</t>
        </is>
      </c>
      <c r="B716" s="1" t="n">
        <v>44857</v>
      </c>
      <c r="C716" s="1" t="n">
        <v>45349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48111-2022</t>
        </is>
      </c>
      <c r="B717" s="1" t="n">
        <v>44857</v>
      </c>
      <c r="C717" s="1" t="n">
        <v>45349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48371-2022</t>
        </is>
      </c>
      <c r="B718" s="1" t="n">
        <v>44858</v>
      </c>
      <c r="C718" s="1" t="n">
        <v>45349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48141-2022</t>
        </is>
      </c>
      <c r="B719" s="1" t="n">
        <v>44858</v>
      </c>
      <c r="C719" s="1" t="n">
        <v>45349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48764-2022</t>
        </is>
      </c>
      <c r="B720" s="1" t="n">
        <v>44859</v>
      </c>
      <c r="C720" s="1" t="n">
        <v>45349</v>
      </c>
      <c r="D720" t="inlineStr">
        <is>
          <t>GÄVLEBORGS LÄN</t>
        </is>
      </c>
      <c r="E720" t="inlineStr">
        <is>
          <t>BOLLNÄS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48666-2022</t>
        </is>
      </c>
      <c r="B721" s="1" t="n">
        <v>44859</v>
      </c>
      <c r="C721" s="1" t="n">
        <v>45349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48664-2022</t>
        </is>
      </c>
      <c r="B722" s="1" t="n">
        <v>44859</v>
      </c>
      <c r="C722" s="1" t="n">
        <v>45349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49488-2022</t>
        </is>
      </c>
      <c r="B723" s="1" t="n">
        <v>44861</v>
      </c>
      <c r="C723" s="1" t="n">
        <v>45349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49624-2022</t>
        </is>
      </c>
      <c r="B724" s="1" t="n">
        <v>44862</v>
      </c>
      <c r="C724" s="1" t="n">
        <v>45349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49591-2022</t>
        </is>
      </c>
      <c r="B725" s="1" t="n">
        <v>44862</v>
      </c>
      <c r="C725" s="1" t="n">
        <v>45349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</v>
      </c>
      <c r="C726" s="1" t="n">
        <v>45349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50066-2022</t>
        </is>
      </c>
      <c r="B727" s="1" t="n">
        <v>44865</v>
      </c>
      <c r="C727" s="1" t="n">
        <v>45349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51038-2022</t>
        </is>
      </c>
      <c r="B728" s="1" t="n">
        <v>44868</v>
      </c>
      <c r="C728" s="1" t="n">
        <v>45349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51443-2022</t>
        </is>
      </c>
      <c r="B729" s="1" t="n">
        <v>44869</v>
      </c>
      <c r="C729" s="1" t="n">
        <v>45349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51867-2022</t>
        </is>
      </c>
      <c r="B730" s="1" t="n">
        <v>44872</v>
      </c>
      <c r="C730" s="1" t="n">
        <v>45349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51645-2022</t>
        </is>
      </c>
      <c r="B731" s="1" t="n">
        <v>44872</v>
      </c>
      <c r="C731" s="1" t="n">
        <v>45349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51666-2022</t>
        </is>
      </c>
      <c r="B732" s="1" t="n">
        <v>44872</v>
      </c>
      <c r="C732" s="1" t="n">
        <v>45349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52271-2022</t>
        </is>
      </c>
      <c r="B733" s="1" t="n">
        <v>44873</v>
      </c>
      <c r="C733" s="1" t="n">
        <v>45349</v>
      </c>
      <c r="D733" t="inlineStr">
        <is>
          <t>GÄVLEBORGS LÄN</t>
        </is>
      </c>
      <c r="E733" t="inlineStr">
        <is>
          <t>BOLLNÄS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52756-2022</t>
        </is>
      </c>
      <c r="B734" s="1" t="n">
        <v>44875</v>
      </c>
      <c r="C734" s="1" t="n">
        <v>45349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52774-2022</t>
        </is>
      </c>
      <c r="B735" s="1" t="n">
        <v>44875</v>
      </c>
      <c r="C735" s="1" t="n">
        <v>45349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52850-2022</t>
        </is>
      </c>
      <c r="B736" s="1" t="n">
        <v>44875</v>
      </c>
      <c r="C736" s="1" t="n">
        <v>45349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52907-2022</t>
        </is>
      </c>
      <c r="B737" s="1" t="n">
        <v>44875</v>
      </c>
      <c r="C737" s="1" t="n">
        <v>45349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52787-2022</t>
        </is>
      </c>
      <c r="B738" s="1" t="n">
        <v>44875</v>
      </c>
      <c r="C738" s="1" t="n">
        <v>45349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53046-2022</t>
        </is>
      </c>
      <c r="B739" s="1" t="n">
        <v>44876</v>
      </c>
      <c r="C739" s="1" t="n">
        <v>45349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53069-2022</t>
        </is>
      </c>
      <c r="B740" s="1" t="n">
        <v>44876</v>
      </c>
      <c r="C740" s="1" t="n">
        <v>45349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53211-2022</t>
        </is>
      </c>
      <c r="B741" s="1" t="n">
        <v>44876</v>
      </c>
      <c r="C741" s="1" t="n">
        <v>45349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53183-2022</t>
        </is>
      </c>
      <c r="B742" s="1" t="n">
        <v>44876</v>
      </c>
      <c r="C742" s="1" t="n">
        <v>45349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53317-2022</t>
        </is>
      </c>
      <c r="B743" s="1" t="n">
        <v>44878</v>
      </c>
      <c r="C743" s="1" t="n">
        <v>45349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53516-2022</t>
        </is>
      </c>
      <c r="B744" s="1" t="n">
        <v>44879</v>
      </c>
      <c r="C744" s="1" t="n">
        <v>45349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53562-2022</t>
        </is>
      </c>
      <c r="B745" s="1" t="n">
        <v>44879</v>
      </c>
      <c r="C745" s="1" t="n">
        <v>45349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53566-2022</t>
        </is>
      </c>
      <c r="B746" s="1" t="n">
        <v>44879</v>
      </c>
      <c r="C746" s="1" t="n">
        <v>45349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53337-2022</t>
        </is>
      </c>
      <c r="B747" s="1" t="n">
        <v>44879</v>
      </c>
      <c r="C747" s="1" t="n">
        <v>45349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53342-2022</t>
        </is>
      </c>
      <c r="B748" s="1" t="n">
        <v>44879</v>
      </c>
      <c r="C748" s="1" t="n">
        <v>45349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53511-2022</t>
        </is>
      </c>
      <c r="B749" s="1" t="n">
        <v>44879</v>
      </c>
      <c r="C749" s="1" t="n">
        <v>45349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53448-2022</t>
        </is>
      </c>
      <c r="B750" s="1" t="n">
        <v>44879</v>
      </c>
      <c r="C750" s="1" t="n">
        <v>45349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53558-2022</t>
        </is>
      </c>
      <c r="B751" s="1" t="n">
        <v>44879</v>
      </c>
      <c r="C751" s="1" t="n">
        <v>45349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53611-2022</t>
        </is>
      </c>
      <c r="B752" s="1" t="n">
        <v>44879</v>
      </c>
      <c r="C752" s="1" t="n">
        <v>45349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53613-2022</t>
        </is>
      </c>
      <c r="B753" s="1" t="n">
        <v>44879</v>
      </c>
      <c r="C753" s="1" t="n">
        <v>45349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53618-2022</t>
        </is>
      </c>
      <c r="B754" s="1" t="n">
        <v>44879</v>
      </c>
      <c r="C754" s="1" t="n">
        <v>45349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45349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54083-2022</t>
        </is>
      </c>
      <c r="B756" s="1" t="n">
        <v>44881</v>
      </c>
      <c r="C756" s="1" t="n">
        <v>45349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54088-2022</t>
        </is>
      </c>
      <c r="B757" s="1" t="n">
        <v>44881</v>
      </c>
      <c r="C757" s="1" t="n">
        <v>45349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54007-2022</t>
        </is>
      </c>
      <c r="B758" s="1" t="n">
        <v>44881</v>
      </c>
      <c r="C758" s="1" t="n">
        <v>45349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54546-2022</t>
        </is>
      </c>
      <c r="B759" s="1" t="n">
        <v>44882</v>
      </c>
      <c r="C759" s="1" t="n">
        <v>45349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54398-2022</t>
        </is>
      </c>
      <c r="B760" s="1" t="n">
        <v>44882</v>
      </c>
      <c r="C760" s="1" t="n">
        <v>45349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54543-2022</t>
        </is>
      </c>
      <c r="B761" s="1" t="n">
        <v>44882</v>
      </c>
      <c r="C761" s="1" t="n">
        <v>45349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54704-2022</t>
        </is>
      </c>
      <c r="B762" s="1" t="n">
        <v>44883</v>
      </c>
      <c r="C762" s="1" t="n">
        <v>45349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54708-2022</t>
        </is>
      </c>
      <c r="B763" s="1" t="n">
        <v>44883</v>
      </c>
      <c r="C763" s="1" t="n">
        <v>45349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54713-2022</t>
        </is>
      </c>
      <c r="B764" s="1" t="n">
        <v>44883</v>
      </c>
      <c r="C764" s="1" t="n">
        <v>45349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54772-2022</t>
        </is>
      </c>
      <c r="B765" s="1" t="n">
        <v>44883</v>
      </c>
      <c r="C765" s="1" t="n">
        <v>45349</v>
      </c>
      <c r="D765" t="inlineStr">
        <is>
          <t>GÄVLEBORGS LÄN</t>
        </is>
      </c>
      <c r="E765" t="inlineStr">
        <is>
          <t>BOLLNÄS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54850-2022</t>
        </is>
      </c>
      <c r="B766" s="1" t="n">
        <v>44883</v>
      </c>
      <c r="C766" s="1" t="n">
        <v>45349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54716-2022</t>
        </is>
      </c>
      <c r="B767" s="1" t="n">
        <v>44883</v>
      </c>
      <c r="C767" s="1" t="n">
        <v>45349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54852-2022</t>
        </is>
      </c>
      <c r="B768" s="1" t="n">
        <v>44884</v>
      </c>
      <c r="C768" s="1" t="n">
        <v>45349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54853-2022</t>
        </is>
      </c>
      <c r="B769" s="1" t="n">
        <v>44884</v>
      </c>
      <c r="C769" s="1" t="n">
        <v>45349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54897-2022</t>
        </is>
      </c>
      <c r="B770" s="1" t="n">
        <v>44886</v>
      </c>
      <c r="C770" s="1" t="n">
        <v>45349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54949-2022</t>
        </is>
      </c>
      <c r="B771" s="1" t="n">
        <v>44886</v>
      </c>
      <c r="C771" s="1" t="n">
        <v>45349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54974-2022</t>
        </is>
      </c>
      <c r="B772" s="1" t="n">
        <v>44886</v>
      </c>
      <c r="C772" s="1" t="n">
        <v>45349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54985-2022</t>
        </is>
      </c>
      <c r="B773" s="1" t="n">
        <v>44886</v>
      </c>
      <c r="C773" s="1" t="n">
        <v>45349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45349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54886-2022</t>
        </is>
      </c>
      <c r="B775" s="1" t="n">
        <v>44886</v>
      </c>
      <c r="C775" s="1" t="n">
        <v>45349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54946-2022</t>
        </is>
      </c>
      <c r="B776" s="1" t="n">
        <v>44886</v>
      </c>
      <c r="C776" s="1" t="n">
        <v>45349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54945-2022</t>
        </is>
      </c>
      <c r="B777" s="1" t="n">
        <v>44886</v>
      </c>
      <c r="C777" s="1" t="n">
        <v>45349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54994-2022</t>
        </is>
      </c>
      <c r="B778" s="1" t="n">
        <v>44886</v>
      </c>
      <c r="C778" s="1" t="n">
        <v>45349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56639-2022</t>
        </is>
      </c>
      <c r="B779" s="1" t="n">
        <v>44893</v>
      </c>
      <c r="C779" s="1" t="n">
        <v>45349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56755-2022</t>
        </is>
      </c>
      <c r="B780" s="1" t="n">
        <v>44894</v>
      </c>
      <c r="C780" s="1" t="n">
        <v>45349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56924-2022</t>
        </is>
      </c>
      <c r="B781" s="1" t="n">
        <v>44894</v>
      </c>
      <c r="C781" s="1" t="n">
        <v>45349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57041-2022</t>
        </is>
      </c>
      <c r="B782" s="1" t="n">
        <v>44895</v>
      </c>
      <c r="C782" s="1" t="n">
        <v>45349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57689-2022</t>
        </is>
      </c>
      <c r="B783" s="1" t="n">
        <v>44897</v>
      </c>
      <c r="C783" s="1" t="n">
        <v>45349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58366-2022</t>
        </is>
      </c>
      <c r="B784" s="1" t="n">
        <v>44901</v>
      </c>
      <c r="C784" s="1" t="n">
        <v>45349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59331-2022</t>
        </is>
      </c>
      <c r="B785" s="1" t="n">
        <v>44904</v>
      </c>
      <c r="C785" s="1" t="n">
        <v>45349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59729-2022</t>
        </is>
      </c>
      <c r="B786" s="1" t="n">
        <v>44908</v>
      </c>
      <c r="C786" s="1" t="n">
        <v>45349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60032-2022</t>
        </is>
      </c>
      <c r="B787" s="1" t="n">
        <v>44909</v>
      </c>
      <c r="C787" s="1" t="n">
        <v>45349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60130-2022</t>
        </is>
      </c>
      <c r="B788" s="1" t="n">
        <v>44909</v>
      </c>
      <c r="C788" s="1" t="n">
        <v>45349</v>
      </c>
      <c r="D788" t="inlineStr">
        <is>
          <t>GÄVLEBORGS LÄN</t>
        </is>
      </c>
      <c r="E788" t="inlineStr">
        <is>
          <t>BOLLNÄS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60335-2022</t>
        </is>
      </c>
      <c r="B789" s="1" t="n">
        <v>44910</v>
      </c>
      <c r="C789" s="1" t="n">
        <v>45349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60872-2022</t>
        </is>
      </c>
      <c r="B790" s="1" t="n">
        <v>44914</v>
      </c>
      <c r="C790" s="1" t="n">
        <v>45349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60884-2022</t>
        </is>
      </c>
      <c r="B791" s="1" t="n">
        <v>44914</v>
      </c>
      <c r="C791" s="1" t="n">
        <v>45349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60956-2022</t>
        </is>
      </c>
      <c r="B792" s="1" t="n">
        <v>44914</v>
      </c>
      <c r="C792" s="1" t="n">
        <v>45349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60893-2022</t>
        </is>
      </c>
      <c r="B793" s="1" t="n">
        <v>44914</v>
      </c>
      <c r="C793" s="1" t="n">
        <v>45349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60912-2022</t>
        </is>
      </c>
      <c r="B794" s="1" t="n">
        <v>44914</v>
      </c>
      <c r="C794" s="1" t="n">
        <v>45349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61227-2022</t>
        </is>
      </c>
      <c r="B795" s="1" t="n">
        <v>44915</v>
      </c>
      <c r="C795" s="1" t="n">
        <v>45349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61214-2022</t>
        </is>
      </c>
      <c r="B796" s="1" t="n">
        <v>44915</v>
      </c>
      <c r="C796" s="1" t="n">
        <v>45349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61220-2022</t>
        </is>
      </c>
      <c r="B797" s="1" t="n">
        <v>44915</v>
      </c>
      <c r="C797" s="1" t="n">
        <v>45349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61592-2022</t>
        </is>
      </c>
      <c r="B798" s="1" t="n">
        <v>44916</v>
      </c>
      <c r="C798" s="1" t="n">
        <v>45349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61900-2022</t>
        </is>
      </c>
      <c r="B799" s="1" t="n">
        <v>44917</v>
      </c>
      <c r="C799" s="1" t="n">
        <v>45349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468-2023</t>
        </is>
      </c>
      <c r="B800" s="1" t="n">
        <v>44929</v>
      </c>
      <c r="C800" s="1" t="n">
        <v>45349</v>
      </c>
      <c r="D800" t="inlineStr">
        <is>
          <t>GÄVLEBORGS LÄN</t>
        </is>
      </c>
      <c r="E800" t="inlineStr">
        <is>
          <t>BOLLNÄS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1078-2023</t>
        </is>
      </c>
      <c r="B801" s="1" t="n">
        <v>44935</v>
      </c>
      <c r="C801" s="1" t="n">
        <v>45349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1139-2023</t>
        </is>
      </c>
      <c r="B802" s="1" t="n">
        <v>44935</v>
      </c>
      <c r="C802" s="1" t="n">
        <v>45349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1085-2023</t>
        </is>
      </c>
      <c r="B803" s="1" t="n">
        <v>44935</v>
      </c>
      <c r="C803" s="1" t="n">
        <v>45349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1507-2023</t>
        </is>
      </c>
      <c r="B804" s="1" t="n">
        <v>44937</v>
      </c>
      <c r="C804" s="1" t="n">
        <v>45349</v>
      </c>
      <c r="D804" t="inlineStr">
        <is>
          <t>GÄVLEBORGS LÄN</t>
        </is>
      </c>
      <c r="E804" t="inlineStr">
        <is>
          <t>BOLLNÄS</t>
        </is>
      </c>
      <c r="F804" t="inlineStr">
        <is>
          <t>Holmen skog AB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2539-2023</t>
        </is>
      </c>
      <c r="B805" s="1" t="n">
        <v>44943</v>
      </c>
      <c r="C805" s="1" t="n">
        <v>45349</v>
      </c>
      <c r="D805" t="inlineStr">
        <is>
          <t>GÄVLEBORGS LÄN</t>
        </is>
      </c>
      <c r="E805" t="inlineStr">
        <is>
          <t>BOLLNÄS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2935-2023</t>
        </is>
      </c>
      <c r="B806" s="1" t="n">
        <v>44944</v>
      </c>
      <c r="C806" s="1" t="n">
        <v>45349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2885-2023</t>
        </is>
      </c>
      <c r="B807" s="1" t="n">
        <v>44945</v>
      </c>
      <c r="C807" s="1" t="n">
        <v>45349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3215-2023</t>
        </is>
      </c>
      <c r="B808" s="1" t="n">
        <v>44946</v>
      </c>
      <c r="C808" s="1" t="n">
        <v>45349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3211-2023</t>
        </is>
      </c>
      <c r="B809" s="1" t="n">
        <v>44946</v>
      </c>
      <c r="C809" s="1" t="n">
        <v>45349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3217-2023</t>
        </is>
      </c>
      <c r="B810" s="1" t="n">
        <v>44946</v>
      </c>
      <c r="C810" s="1" t="n">
        <v>45349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3363-2023</t>
        </is>
      </c>
      <c r="B811" s="1" t="n">
        <v>44949</v>
      </c>
      <c r="C811" s="1" t="n">
        <v>45349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3361-2023</t>
        </is>
      </c>
      <c r="B812" s="1" t="n">
        <v>44949</v>
      </c>
      <c r="C812" s="1" t="n">
        <v>45349</v>
      </c>
      <c r="D812" t="inlineStr">
        <is>
          <t>GÄVLEBORGS LÄN</t>
        </is>
      </c>
      <c r="E812" t="inlineStr">
        <is>
          <t>BOLLNÄS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3976-2023</t>
        </is>
      </c>
      <c r="B813" s="1" t="n">
        <v>44952</v>
      </c>
      <c r="C813" s="1" t="n">
        <v>45349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4184-2023</t>
        </is>
      </c>
      <c r="B814" s="1" t="n">
        <v>44953</v>
      </c>
      <c r="C814" s="1" t="n">
        <v>45349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4235-2023</t>
        </is>
      </c>
      <c r="B815" s="1" t="n">
        <v>44953</v>
      </c>
      <c r="C815" s="1" t="n">
        <v>45349</v>
      </c>
      <c r="D815" t="inlineStr">
        <is>
          <t>GÄVLEBORGS LÄN</t>
        </is>
      </c>
      <c r="E815" t="inlineStr">
        <is>
          <t>BOLLNÄS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4482-2023</t>
        </is>
      </c>
      <c r="B816" s="1" t="n">
        <v>44956</v>
      </c>
      <c r="C816" s="1" t="n">
        <v>45349</v>
      </c>
      <c r="D816" t="inlineStr">
        <is>
          <t>GÄVLEBORGS LÄN</t>
        </is>
      </c>
      <c r="E816" t="inlineStr">
        <is>
          <t>BOLLNÄS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4432-2023</t>
        </is>
      </c>
      <c r="B817" s="1" t="n">
        <v>44956</v>
      </c>
      <c r="C817" s="1" t="n">
        <v>45349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5787-2023</t>
        </is>
      </c>
      <c r="B818" s="1" t="n">
        <v>44963</v>
      </c>
      <c r="C818" s="1" t="n">
        <v>45349</v>
      </c>
      <c r="D818" t="inlineStr">
        <is>
          <t>GÄVLEBORGS LÄN</t>
        </is>
      </c>
      <c r="E818" t="inlineStr">
        <is>
          <t>BOLLNÄS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6640-2023</t>
        </is>
      </c>
      <c r="B819" s="1" t="n">
        <v>44966</v>
      </c>
      <c r="C819" s="1" t="n">
        <v>45349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6833-2023</t>
        </is>
      </c>
      <c r="B820" s="1" t="n">
        <v>44967</v>
      </c>
      <c r="C820" s="1" t="n">
        <v>45349</v>
      </c>
      <c r="D820" t="inlineStr">
        <is>
          <t>GÄVLEBORGS LÄN</t>
        </is>
      </c>
      <c r="E820" t="inlineStr">
        <is>
          <t>BOLLNÄS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6882-2023</t>
        </is>
      </c>
      <c r="B821" s="1" t="n">
        <v>44967</v>
      </c>
      <c r="C821" s="1" t="n">
        <v>45349</v>
      </c>
      <c r="D821" t="inlineStr">
        <is>
          <t>GÄVLEBORGS LÄN</t>
        </is>
      </c>
      <c r="E821" t="inlineStr">
        <is>
          <t>BOLLNÄS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6879-2023</t>
        </is>
      </c>
      <c r="B822" s="1" t="n">
        <v>44967</v>
      </c>
      <c r="C822" s="1" t="n">
        <v>45349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6922-2023</t>
        </is>
      </c>
      <c r="B823" s="1" t="n">
        <v>44967</v>
      </c>
      <c r="C823" s="1" t="n">
        <v>45349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7155-2023</t>
        </is>
      </c>
      <c r="B824" s="1" t="n">
        <v>44970</v>
      </c>
      <c r="C824" s="1" t="n">
        <v>45349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7446-2023</t>
        </is>
      </c>
      <c r="B825" s="1" t="n">
        <v>44971</v>
      </c>
      <c r="C825" s="1" t="n">
        <v>45349</v>
      </c>
      <c r="D825" t="inlineStr">
        <is>
          <t>GÄVLEBORGS LÄN</t>
        </is>
      </c>
      <c r="E825" t="inlineStr">
        <is>
          <t>BOLLNÄS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7468-2023</t>
        </is>
      </c>
      <c r="B826" s="1" t="n">
        <v>44971</v>
      </c>
      <c r="C826" s="1" t="n">
        <v>45349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8151-2023</t>
        </is>
      </c>
      <c r="B827" s="1" t="n">
        <v>44974</v>
      </c>
      <c r="C827" s="1" t="n">
        <v>45349</v>
      </c>
      <c r="D827" t="inlineStr">
        <is>
          <t>GÄVLEBORGS LÄN</t>
        </is>
      </c>
      <c r="E827" t="inlineStr">
        <is>
          <t>BOLLNÄS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8696-2023</t>
        </is>
      </c>
      <c r="B828" s="1" t="n">
        <v>44978</v>
      </c>
      <c r="C828" s="1" t="n">
        <v>45349</v>
      </c>
      <c r="D828" t="inlineStr">
        <is>
          <t>GÄVLEBORGS LÄN</t>
        </is>
      </c>
      <c r="E828" t="inlineStr">
        <is>
          <t>BOLLNÄS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9742-2023</t>
        </is>
      </c>
      <c r="B829" s="1" t="n">
        <v>44984</v>
      </c>
      <c r="C829" s="1" t="n">
        <v>45349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11157-2023</t>
        </is>
      </c>
      <c r="B830" s="1" t="n">
        <v>44992</v>
      </c>
      <c r="C830" s="1" t="n">
        <v>45349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11410-2023</t>
        </is>
      </c>
      <c r="B831" s="1" t="n">
        <v>44993</v>
      </c>
      <c r="C831" s="1" t="n">
        <v>45349</v>
      </c>
      <c r="D831" t="inlineStr">
        <is>
          <t>GÄVLEBORGS LÄN</t>
        </is>
      </c>
      <c r="E831" t="inlineStr">
        <is>
          <t>BOLLNÄS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11459-2023</t>
        </is>
      </c>
      <c r="B832" s="1" t="n">
        <v>44993</v>
      </c>
      <c r="C832" s="1" t="n">
        <v>45349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11465-2023</t>
        </is>
      </c>
      <c r="B833" s="1" t="n">
        <v>44993</v>
      </c>
      <c r="C833" s="1" t="n">
        <v>45349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11439-2023</t>
        </is>
      </c>
      <c r="B834" s="1" t="n">
        <v>44993</v>
      </c>
      <c r="C834" s="1" t="n">
        <v>45349</v>
      </c>
      <c r="D834" t="inlineStr">
        <is>
          <t>GÄVLEBORGS LÄN</t>
        </is>
      </c>
      <c r="E834" t="inlineStr">
        <is>
          <t>BOLLNÄS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11956-2023</t>
        </is>
      </c>
      <c r="B835" s="1" t="n">
        <v>44995</v>
      </c>
      <c r="C835" s="1" t="n">
        <v>45349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12450-2023</t>
        </is>
      </c>
      <c r="B836" s="1" t="n">
        <v>44999</v>
      </c>
      <c r="C836" s="1" t="n">
        <v>45349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12454-2023</t>
        </is>
      </c>
      <c r="B837" s="1" t="n">
        <v>44999</v>
      </c>
      <c r="C837" s="1" t="n">
        <v>45349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12451-2023</t>
        </is>
      </c>
      <c r="B838" s="1" t="n">
        <v>44999</v>
      </c>
      <c r="C838" s="1" t="n">
        <v>45349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14050-2023</t>
        </is>
      </c>
      <c r="B839" s="1" t="n">
        <v>45008</v>
      </c>
      <c r="C839" s="1" t="n">
        <v>45349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14259-2023</t>
        </is>
      </c>
      <c r="B840" s="1" t="n">
        <v>45009</v>
      </c>
      <c r="C840" s="1" t="n">
        <v>45349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14423-2023</t>
        </is>
      </c>
      <c r="B841" s="1" t="n">
        <v>45012</v>
      </c>
      <c r="C841" s="1" t="n">
        <v>45349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14623-2023</t>
        </is>
      </c>
      <c r="B842" s="1" t="n">
        <v>45013</v>
      </c>
      <c r="C842" s="1" t="n">
        <v>45349</v>
      </c>
      <c r="D842" t="inlineStr">
        <is>
          <t>GÄVLEBORGS LÄN</t>
        </is>
      </c>
      <c r="E842" t="inlineStr">
        <is>
          <t>BOLLNÄS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14681-2023</t>
        </is>
      </c>
      <c r="B843" s="1" t="n">
        <v>45014</v>
      </c>
      <c r="C843" s="1" t="n">
        <v>45349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14912-2023</t>
        </is>
      </c>
      <c r="B844" s="1" t="n">
        <v>45014</v>
      </c>
      <c r="C844" s="1" t="n">
        <v>45349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15146-2023</t>
        </is>
      </c>
      <c r="B845" s="1" t="n">
        <v>45016</v>
      </c>
      <c r="C845" s="1" t="n">
        <v>45349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15096-2023</t>
        </is>
      </c>
      <c r="B846" s="1" t="n">
        <v>45016</v>
      </c>
      <c r="C846" s="1" t="n">
        <v>45349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15142-2023</t>
        </is>
      </c>
      <c r="B847" s="1" t="n">
        <v>45016</v>
      </c>
      <c r="C847" s="1" t="n">
        <v>45349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15147-2023</t>
        </is>
      </c>
      <c r="B848" s="1" t="n">
        <v>45016</v>
      </c>
      <c r="C848" s="1" t="n">
        <v>45349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15102-2023</t>
        </is>
      </c>
      <c r="B849" s="1" t="n">
        <v>45016</v>
      </c>
      <c r="C849" s="1" t="n">
        <v>45349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15148-2023</t>
        </is>
      </c>
      <c r="B850" s="1" t="n">
        <v>45016</v>
      </c>
      <c r="C850" s="1" t="n">
        <v>45349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45349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15737-2023</t>
        </is>
      </c>
      <c r="B852" s="1" t="n">
        <v>45021</v>
      </c>
      <c r="C852" s="1" t="n">
        <v>45349</v>
      </c>
      <c r="D852" t="inlineStr">
        <is>
          <t>GÄVLEBORGS LÄN</t>
        </is>
      </c>
      <c r="E852" t="inlineStr">
        <is>
          <t>BOLLNÄS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15921-2023</t>
        </is>
      </c>
      <c r="B853" s="1" t="n">
        <v>45022</v>
      </c>
      <c r="C853" s="1" t="n">
        <v>45349</v>
      </c>
      <c r="D853" t="inlineStr">
        <is>
          <t>GÄVLEBORGS LÄN</t>
        </is>
      </c>
      <c r="E853" t="inlineStr">
        <is>
          <t>BOLLNÄS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15923-2023</t>
        </is>
      </c>
      <c r="B854" s="1" t="n">
        <v>45022</v>
      </c>
      <c r="C854" s="1" t="n">
        <v>45349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16717-2023</t>
        </is>
      </c>
      <c r="B855" s="1" t="n">
        <v>45030</v>
      </c>
      <c r="C855" s="1" t="n">
        <v>45349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16887-2023</t>
        </is>
      </c>
      <c r="B856" s="1" t="n">
        <v>45033</v>
      </c>
      <c r="C856" s="1" t="n">
        <v>45349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16890-2023</t>
        </is>
      </c>
      <c r="B857" s="1" t="n">
        <v>45033</v>
      </c>
      <c r="C857" s="1" t="n">
        <v>45349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16902-2023</t>
        </is>
      </c>
      <c r="B858" s="1" t="n">
        <v>45033</v>
      </c>
      <c r="C858" s="1" t="n">
        <v>45349</v>
      </c>
      <c r="D858" t="inlineStr">
        <is>
          <t>GÄVLEBORGS LÄN</t>
        </is>
      </c>
      <c r="E858" t="inlineStr">
        <is>
          <t>BOLLNÄS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16907-2023</t>
        </is>
      </c>
      <c r="B859" s="1" t="n">
        <v>45033</v>
      </c>
      <c r="C859" s="1" t="n">
        <v>45349</v>
      </c>
      <c r="D859" t="inlineStr">
        <is>
          <t>GÄVLEBORGS LÄN</t>
        </is>
      </c>
      <c r="E859" t="inlineStr">
        <is>
          <t>BOLLNÄS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17604-2023</t>
        </is>
      </c>
      <c r="B860" s="1" t="n">
        <v>45036</v>
      </c>
      <c r="C860" s="1" t="n">
        <v>45349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17792-2023</t>
        </is>
      </c>
      <c r="B861" s="1" t="n">
        <v>45037</v>
      </c>
      <c r="C861" s="1" t="n">
        <v>45349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17867-2023</t>
        </is>
      </c>
      <c r="B862" s="1" t="n">
        <v>45038</v>
      </c>
      <c r="C862" s="1" t="n">
        <v>45349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18013-2023</t>
        </is>
      </c>
      <c r="B863" s="1" t="n">
        <v>45040</v>
      </c>
      <c r="C863" s="1" t="n">
        <v>45349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18212-2023</t>
        </is>
      </c>
      <c r="B864" s="1" t="n">
        <v>45041</v>
      </c>
      <c r="C864" s="1" t="n">
        <v>45349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18311-2023</t>
        </is>
      </c>
      <c r="B865" s="1" t="n">
        <v>45041</v>
      </c>
      <c r="C865" s="1" t="n">
        <v>45349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18308-2023</t>
        </is>
      </c>
      <c r="B866" s="1" t="n">
        <v>45041</v>
      </c>
      <c r="C866" s="1" t="n">
        <v>45349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18614-2023</t>
        </is>
      </c>
      <c r="B867" s="1" t="n">
        <v>45043</v>
      </c>
      <c r="C867" s="1" t="n">
        <v>45349</v>
      </c>
      <c r="D867" t="inlineStr">
        <is>
          <t>GÄVLEBORGS LÄN</t>
        </is>
      </c>
      <c r="E867" t="inlineStr">
        <is>
          <t>BOLLNÄS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18852-2023</t>
        </is>
      </c>
      <c r="B868" s="1" t="n">
        <v>45044</v>
      </c>
      <c r="C868" s="1" t="n">
        <v>45349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18857-2023</t>
        </is>
      </c>
      <c r="B869" s="1" t="n">
        <v>45044</v>
      </c>
      <c r="C869" s="1" t="n">
        <v>45349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19405-2023</t>
        </is>
      </c>
      <c r="B870" s="1" t="n">
        <v>45044</v>
      </c>
      <c r="C870" s="1" t="n">
        <v>45349</v>
      </c>
      <c r="D870" t="inlineStr">
        <is>
          <t>GÄVLEBORGS LÄN</t>
        </is>
      </c>
      <c r="E870" t="inlineStr">
        <is>
          <t>BOLLNÄS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19398-2023</t>
        </is>
      </c>
      <c r="B871" s="1" t="n">
        <v>45044</v>
      </c>
      <c r="C871" s="1" t="n">
        <v>45349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19473-2023</t>
        </is>
      </c>
      <c r="B872" s="1" t="n">
        <v>45050</v>
      </c>
      <c r="C872" s="1" t="n">
        <v>45349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19637-2023</t>
        </is>
      </c>
      <c r="B873" s="1" t="n">
        <v>45051</v>
      </c>
      <c r="C873" s="1" t="n">
        <v>45349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19635-2023</t>
        </is>
      </c>
      <c r="B874" s="1" t="n">
        <v>45051</v>
      </c>
      <c r="C874" s="1" t="n">
        <v>45349</v>
      </c>
      <c r="D874" t="inlineStr">
        <is>
          <t>GÄVLEBORGS LÄN</t>
        </is>
      </c>
      <c r="E874" t="inlineStr">
        <is>
          <t>BOLLNÄS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</v>
      </c>
      <c r="C875" s="1" t="n">
        <v>45349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20560-2023</t>
        </is>
      </c>
      <c r="B876" s="1" t="n">
        <v>45057</v>
      </c>
      <c r="C876" s="1" t="n">
        <v>45349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20778-2023</t>
        </is>
      </c>
      <c r="B877" s="1" t="n">
        <v>45058</v>
      </c>
      <c r="C877" s="1" t="n">
        <v>45349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21061-2023</t>
        </is>
      </c>
      <c r="B878" s="1" t="n">
        <v>45061</v>
      </c>
      <c r="C878" s="1" t="n">
        <v>45349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21260-2023</t>
        </is>
      </c>
      <c r="B879" s="1" t="n">
        <v>45062</v>
      </c>
      <c r="C879" s="1" t="n">
        <v>45349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21270-2023</t>
        </is>
      </c>
      <c r="B880" s="1" t="n">
        <v>45062</v>
      </c>
      <c r="C880" s="1" t="n">
        <v>45349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21275-2023</t>
        </is>
      </c>
      <c r="B881" s="1" t="n">
        <v>45062</v>
      </c>
      <c r="C881" s="1" t="n">
        <v>45349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21621-2023</t>
        </is>
      </c>
      <c r="B882" s="1" t="n">
        <v>45063</v>
      </c>
      <c r="C882" s="1" t="n">
        <v>45349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22148-2023</t>
        </is>
      </c>
      <c r="B883" s="1" t="n">
        <v>45069</v>
      </c>
      <c r="C883" s="1" t="n">
        <v>45349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22399-2023</t>
        </is>
      </c>
      <c r="B884" s="1" t="n">
        <v>45070</v>
      </c>
      <c r="C884" s="1" t="n">
        <v>45349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22527-2023</t>
        </is>
      </c>
      <c r="B885" s="1" t="n">
        <v>45071</v>
      </c>
      <c r="C885" s="1" t="n">
        <v>45349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22919-2023</t>
        </is>
      </c>
      <c r="B886" s="1" t="n">
        <v>45072</v>
      </c>
      <c r="C886" s="1" t="n">
        <v>45349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22891-2023</t>
        </is>
      </c>
      <c r="B887" s="1" t="n">
        <v>45072</v>
      </c>
      <c r="C887" s="1" t="n">
        <v>45349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22918-2023</t>
        </is>
      </c>
      <c r="B888" s="1" t="n">
        <v>45072</v>
      </c>
      <c r="C888" s="1" t="n">
        <v>45349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22889-2023</t>
        </is>
      </c>
      <c r="B889" s="1" t="n">
        <v>45072</v>
      </c>
      <c r="C889" s="1" t="n">
        <v>45349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23881-2023</t>
        </is>
      </c>
      <c r="B890" s="1" t="n">
        <v>45078</v>
      </c>
      <c r="C890" s="1" t="n">
        <v>45349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23935-2023</t>
        </is>
      </c>
      <c r="B891" s="1" t="n">
        <v>45078</v>
      </c>
      <c r="C891" s="1" t="n">
        <v>45349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23947-2023</t>
        </is>
      </c>
      <c r="B892" s="1" t="n">
        <v>45078</v>
      </c>
      <c r="C892" s="1" t="n">
        <v>45349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24508-2023</t>
        </is>
      </c>
      <c r="B893" s="1" t="n">
        <v>45082</v>
      </c>
      <c r="C893" s="1" t="n">
        <v>45349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24472-2023</t>
        </is>
      </c>
      <c r="B894" s="1" t="n">
        <v>45082</v>
      </c>
      <c r="C894" s="1" t="n">
        <v>45349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24516-2023</t>
        </is>
      </c>
      <c r="B895" s="1" t="n">
        <v>45082</v>
      </c>
      <c r="C895" s="1" t="n">
        <v>45349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24682-2023</t>
        </is>
      </c>
      <c r="B896" s="1" t="n">
        <v>45084</v>
      </c>
      <c r="C896" s="1" t="n">
        <v>45349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24651-2023</t>
        </is>
      </c>
      <c r="B897" s="1" t="n">
        <v>45084</v>
      </c>
      <c r="C897" s="1" t="n">
        <v>45349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24745-2023</t>
        </is>
      </c>
      <c r="B898" s="1" t="n">
        <v>45084</v>
      </c>
      <c r="C898" s="1" t="n">
        <v>45349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24715-2023</t>
        </is>
      </c>
      <c r="B899" s="1" t="n">
        <v>45084</v>
      </c>
      <c r="C899" s="1" t="n">
        <v>45349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24653-2023</t>
        </is>
      </c>
      <c r="B900" s="1" t="n">
        <v>45084</v>
      </c>
      <c r="C900" s="1" t="n">
        <v>45349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24667-2023</t>
        </is>
      </c>
      <c r="B901" s="1" t="n">
        <v>45084</v>
      </c>
      <c r="C901" s="1" t="n">
        <v>45349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24722-2023</t>
        </is>
      </c>
      <c r="B902" s="1" t="n">
        <v>45084</v>
      </c>
      <c r="C902" s="1" t="n">
        <v>45349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24815-2023</t>
        </is>
      </c>
      <c r="B903" s="1" t="n">
        <v>45084</v>
      </c>
      <c r="C903" s="1" t="n">
        <v>45349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24958-2023</t>
        </is>
      </c>
      <c r="B904" s="1" t="n">
        <v>45085</v>
      </c>
      <c r="C904" s="1" t="n">
        <v>45349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25177-2023</t>
        </is>
      </c>
      <c r="B905" s="1" t="n">
        <v>45086</v>
      </c>
      <c r="C905" s="1" t="n">
        <v>45349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25610-2023</t>
        </is>
      </c>
      <c r="B906" s="1" t="n">
        <v>45089</v>
      </c>
      <c r="C906" s="1" t="n">
        <v>45349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25545-2023</t>
        </is>
      </c>
      <c r="B907" s="1" t="n">
        <v>45089</v>
      </c>
      <c r="C907" s="1" t="n">
        <v>45349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25877-2023</t>
        </is>
      </c>
      <c r="B908" s="1" t="n">
        <v>45090</v>
      </c>
      <c r="C908" s="1" t="n">
        <v>45349</v>
      </c>
      <c r="D908" t="inlineStr">
        <is>
          <t>GÄVLEBORGS LÄN</t>
        </is>
      </c>
      <c r="E908" t="inlineStr">
        <is>
          <t>BOLLNÄS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25792-2023</t>
        </is>
      </c>
      <c r="B909" s="1" t="n">
        <v>45090</v>
      </c>
      <c r="C909" s="1" t="n">
        <v>45349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25873-2023</t>
        </is>
      </c>
      <c r="B910" s="1" t="n">
        <v>45090</v>
      </c>
      <c r="C910" s="1" t="n">
        <v>45349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25886-2023</t>
        </is>
      </c>
      <c r="B911" s="1" t="n">
        <v>45090</v>
      </c>
      <c r="C911" s="1" t="n">
        <v>45349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25893-2023</t>
        </is>
      </c>
      <c r="B912" s="1" t="n">
        <v>45090</v>
      </c>
      <c r="C912" s="1" t="n">
        <v>45349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25864-2023</t>
        </is>
      </c>
      <c r="B913" s="1" t="n">
        <v>45090</v>
      </c>
      <c r="C913" s="1" t="n">
        <v>45349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25782-2023</t>
        </is>
      </c>
      <c r="B914" s="1" t="n">
        <v>45090</v>
      </c>
      <c r="C914" s="1" t="n">
        <v>45349</v>
      </c>
      <c r="D914" t="inlineStr">
        <is>
          <t>GÄVLEBORGS LÄN</t>
        </is>
      </c>
      <c r="E914" t="inlineStr">
        <is>
          <t>BOLLNÄS</t>
        </is>
      </c>
      <c r="G914" t="n">
        <v>16.9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25863-2023</t>
        </is>
      </c>
      <c r="B915" s="1" t="n">
        <v>45090</v>
      </c>
      <c r="C915" s="1" t="n">
        <v>45349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45349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26377-2023</t>
        </is>
      </c>
      <c r="B917" s="1" t="n">
        <v>45092</v>
      </c>
      <c r="C917" s="1" t="n">
        <v>45349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26531-2023</t>
        </is>
      </c>
      <c r="B918" s="1" t="n">
        <v>45092</v>
      </c>
      <c r="C918" s="1" t="n">
        <v>45349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26854-2023</t>
        </is>
      </c>
      <c r="B919" s="1" t="n">
        <v>45093</v>
      </c>
      <c r="C919" s="1" t="n">
        <v>45349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26822-2023</t>
        </is>
      </c>
      <c r="B920" s="1" t="n">
        <v>45093</v>
      </c>
      <c r="C920" s="1" t="n">
        <v>45349</v>
      </c>
      <c r="D920" t="inlineStr">
        <is>
          <t>GÄVLEBORGS LÄN</t>
        </is>
      </c>
      <c r="E920" t="inlineStr">
        <is>
          <t>BOLLNÄS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26851-2023</t>
        </is>
      </c>
      <c r="B921" s="1" t="n">
        <v>45093</v>
      </c>
      <c r="C921" s="1" t="n">
        <v>45349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27179-2023</t>
        </is>
      </c>
      <c r="B922" s="1" t="n">
        <v>45096</v>
      </c>
      <c r="C922" s="1" t="n">
        <v>45349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27161-2023</t>
        </is>
      </c>
      <c r="B923" s="1" t="n">
        <v>45096</v>
      </c>
      <c r="C923" s="1" t="n">
        <v>45349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27165-2023</t>
        </is>
      </c>
      <c r="B924" s="1" t="n">
        <v>45096</v>
      </c>
      <c r="C924" s="1" t="n">
        <v>45349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27169-2023</t>
        </is>
      </c>
      <c r="B925" s="1" t="n">
        <v>45096</v>
      </c>
      <c r="C925" s="1" t="n">
        <v>45349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27547-2023</t>
        </is>
      </c>
      <c r="B926" s="1" t="n">
        <v>45097</v>
      </c>
      <c r="C926" s="1" t="n">
        <v>45349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27590-2023</t>
        </is>
      </c>
      <c r="B927" s="1" t="n">
        <v>45097</v>
      </c>
      <c r="C927" s="1" t="n">
        <v>45349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27578-2023</t>
        </is>
      </c>
      <c r="B928" s="1" t="n">
        <v>45097</v>
      </c>
      <c r="C928" s="1" t="n">
        <v>45349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27558-2023</t>
        </is>
      </c>
      <c r="B929" s="1" t="n">
        <v>45097</v>
      </c>
      <c r="C929" s="1" t="n">
        <v>45349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27761-2023</t>
        </is>
      </c>
      <c r="B930" s="1" t="n">
        <v>45098</v>
      </c>
      <c r="C930" s="1" t="n">
        <v>45349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27795-2023</t>
        </is>
      </c>
      <c r="B931" s="1" t="n">
        <v>45098</v>
      </c>
      <c r="C931" s="1" t="n">
        <v>45349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27793-2023</t>
        </is>
      </c>
      <c r="B932" s="1" t="n">
        <v>45098</v>
      </c>
      <c r="C932" s="1" t="n">
        <v>45349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28041-2023</t>
        </is>
      </c>
      <c r="B933" s="1" t="n">
        <v>45099</v>
      </c>
      <c r="C933" s="1" t="n">
        <v>45349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28179-2023</t>
        </is>
      </c>
      <c r="B934" s="1" t="n">
        <v>45099</v>
      </c>
      <c r="C934" s="1" t="n">
        <v>45349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28320-2023</t>
        </is>
      </c>
      <c r="B935" s="1" t="n">
        <v>45099</v>
      </c>
      <c r="C935" s="1" t="n">
        <v>45349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28314-2023</t>
        </is>
      </c>
      <c r="B936" s="1" t="n">
        <v>45099</v>
      </c>
      <c r="C936" s="1" t="n">
        <v>45349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28523-2023</t>
        </is>
      </c>
      <c r="B937" s="1" t="n">
        <v>45103</v>
      </c>
      <c r="C937" s="1" t="n">
        <v>45349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28563-2023</t>
        </is>
      </c>
      <c r="B938" s="1" t="n">
        <v>45103</v>
      </c>
      <c r="C938" s="1" t="n">
        <v>45349</v>
      </c>
      <c r="D938" t="inlineStr">
        <is>
          <t>GÄVLEBORGS LÄN</t>
        </is>
      </c>
      <c r="E938" t="inlineStr">
        <is>
          <t>BOLLNÄS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28593-2023</t>
        </is>
      </c>
      <c r="B939" s="1" t="n">
        <v>45103</v>
      </c>
      <c r="C939" s="1" t="n">
        <v>45349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28771-2023</t>
        </is>
      </c>
      <c r="B940" s="1" t="n">
        <v>45104</v>
      </c>
      <c r="C940" s="1" t="n">
        <v>45349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28770-2023</t>
        </is>
      </c>
      <c r="B941" s="1" t="n">
        <v>45104</v>
      </c>
      <c r="C941" s="1" t="n">
        <v>45349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29159-2023</t>
        </is>
      </c>
      <c r="B942" s="1" t="n">
        <v>45105</v>
      </c>
      <c r="C942" s="1" t="n">
        <v>45349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29672-2023</t>
        </is>
      </c>
      <c r="B943" s="1" t="n">
        <v>45107</v>
      </c>
      <c r="C943" s="1" t="n">
        <v>45349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29708-2023</t>
        </is>
      </c>
      <c r="B944" s="1" t="n">
        <v>45107</v>
      </c>
      <c r="C944" s="1" t="n">
        <v>45349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29769-2023</t>
        </is>
      </c>
      <c r="B945" s="1" t="n">
        <v>45107</v>
      </c>
      <c r="C945" s="1" t="n">
        <v>45349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29773-2023</t>
        </is>
      </c>
      <c r="B946" s="1" t="n">
        <v>45107</v>
      </c>
      <c r="C946" s="1" t="n">
        <v>45349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29811-2023</t>
        </is>
      </c>
      <c r="B947" s="1" t="n">
        <v>45107</v>
      </c>
      <c r="C947" s="1" t="n">
        <v>45349</v>
      </c>
      <c r="D947" t="inlineStr">
        <is>
          <t>GÄVLEBORGS LÄN</t>
        </is>
      </c>
      <c r="E947" t="inlineStr">
        <is>
          <t>BOLLNÄS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29669-2023</t>
        </is>
      </c>
      <c r="B948" s="1" t="n">
        <v>45107</v>
      </c>
      <c r="C948" s="1" t="n">
        <v>45349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29690-2023</t>
        </is>
      </c>
      <c r="B949" s="1" t="n">
        <v>45107</v>
      </c>
      <c r="C949" s="1" t="n">
        <v>45349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29748-2023</t>
        </is>
      </c>
      <c r="B950" s="1" t="n">
        <v>45107</v>
      </c>
      <c r="C950" s="1" t="n">
        <v>45349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29761-2023</t>
        </is>
      </c>
      <c r="B951" s="1" t="n">
        <v>45107</v>
      </c>
      <c r="C951" s="1" t="n">
        <v>45349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29765-2023</t>
        </is>
      </c>
      <c r="B952" s="1" t="n">
        <v>45107</v>
      </c>
      <c r="C952" s="1" t="n">
        <v>45349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29797-2023</t>
        </is>
      </c>
      <c r="B953" s="1" t="n">
        <v>45107</v>
      </c>
      <c r="C953" s="1" t="n">
        <v>45349</v>
      </c>
      <c r="D953" t="inlineStr">
        <is>
          <t>GÄVLEBORGS LÄN</t>
        </is>
      </c>
      <c r="E953" t="inlineStr">
        <is>
          <t>BOLLNÄS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29712-2023</t>
        </is>
      </c>
      <c r="B954" s="1" t="n">
        <v>45107</v>
      </c>
      <c r="C954" s="1" t="n">
        <v>45349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29716-2023</t>
        </is>
      </c>
      <c r="B955" s="1" t="n">
        <v>45107</v>
      </c>
      <c r="C955" s="1" t="n">
        <v>45349</v>
      </c>
      <c r="D955" t="inlineStr">
        <is>
          <t>GÄVLEBORGS LÄN</t>
        </is>
      </c>
      <c r="E955" t="inlineStr">
        <is>
          <t>BOLLNÄS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29720-2023</t>
        </is>
      </c>
      <c r="B956" s="1" t="n">
        <v>45107</v>
      </c>
      <c r="C956" s="1" t="n">
        <v>45349</v>
      </c>
      <c r="D956" t="inlineStr">
        <is>
          <t>GÄVLEBORGS LÄN</t>
        </is>
      </c>
      <c r="E956" t="inlineStr">
        <is>
          <t>BOLLNÄS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30067-2023</t>
        </is>
      </c>
      <c r="B957" s="1" t="n">
        <v>45110</v>
      </c>
      <c r="C957" s="1" t="n">
        <v>45349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30224-2023</t>
        </is>
      </c>
      <c r="B958" s="1" t="n">
        <v>45110</v>
      </c>
      <c r="C958" s="1" t="n">
        <v>45349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30200-2023</t>
        </is>
      </c>
      <c r="B959" s="1" t="n">
        <v>45110</v>
      </c>
      <c r="C959" s="1" t="n">
        <v>45349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30735-2023</t>
        </is>
      </c>
      <c r="B960" s="1" t="n">
        <v>45112</v>
      </c>
      <c r="C960" s="1" t="n">
        <v>45349</v>
      </c>
      <c r="D960" t="inlineStr">
        <is>
          <t>GÄVLEBORGS LÄN</t>
        </is>
      </c>
      <c r="E960" t="inlineStr">
        <is>
          <t>BOLLNÄS</t>
        </is>
      </c>
      <c r="F960" t="inlineStr">
        <is>
          <t>Holmen skog AB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30759-2023</t>
        </is>
      </c>
      <c r="B961" s="1" t="n">
        <v>45112</v>
      </c>
      <c r="C961" s="1" t="n">
        <v>45349</v>
      </c>
      <c r="D961" t="inlineStr">
        <is>
          <t>GÄVLEBORGS LÄN</t>
        </is>
      </c>
      <c r="E961" t="inlineStr">
        <is>
          <t>BOLLNÄS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30728-2023</t>
        </is>
      </c>
      <c r="B962" s="1" t="n">
        <v>45112</v>
      </c>
      <c r="C962" s="1" t="n">
        <v>45349</v>
      </c>
      <c r="D962" t="inlineStr">
        <is>
          <t>GÄVLEBORGS LÄN</t>
        </is>
      </c>
      <c r="E962" t="inlineStr">
        <is>
          <t>BOLLNÄS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30750-2023</t>
        </is>
      </c>
      <c r="B963" s="1" t="n">
        <v>45112</v>
      </c>
      <c r="C963" s="1" t="n">
        <v>45349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30959-2023</t>
        </is>
      </c>
      <c r="B964" s="1" t="n">
        <v>45113</v>
      </c>
      <c r="C964" s="1" t="n">
        <v>45349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30866-2023</t>
        </is>
      </c>
      <c r="B965" s="1" t="n">
        <v>45113</v>
      </c>
      <c r="C965" s="1" t="n">
        <v>45349</v>
      </c>
      <c r="D965" t="inlineStr">
        <is>
          <t>GÄVLEBORGS LÄN</t>
        </is>
      </c>
      <c r="E965" t="inlineStr">
        <is>
          <t>BOLLNÄS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31014-2023</t>
        </is>
      </c>
      <c r="B966" s="1" t="n">
        <v>45113</v>
      </c>
      <c r="C966" s="1" t="n">
        <v>45349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30877-2023</t>
        </is>
      </c>
      <c r="B967" s="1" t="n">
        <v>45113</v>
      </c>
      <c r="C967" s="1" t="n">
        <v>45349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30881-2023</t>
        </is>
      </c>
      <c r="B968" s="1" t="n">
        <v>45113</v>
      </c>
      <c r="C968" s="1" t="n">
        <v>45349</v>
      </c>
      <c r="D968" t="inlineStr">
        <is>
          <t>GÄVLEBORGS LÄN</t>
        </is>
      </c>
      <c r="E968" t="inlineStr">
        <is>
          <t>BOLLNÄS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31058-2023</t>
        </is>
      </c>
      <c r="B969" s="1" t="n">
        <v>45113</v>
      </c>
      <c r="C969" s="1" t="n">
        <v>45349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31443-2023</t>
        </is>
      </c>
      <c r="B970" s="1" t="n">
        <v>45114</v>
      </c>
      <c r="C970" s="1" t="n">
        <v>45349</v>
      </c>
      <c r="D970" t="inlineStr">
        <is>
          <t>GÄVLEBORGS LÄN</t>
        </is>
      </c>
      <c r="E970" t="inlineStr">
        <is>
          <t>BOLLNÄS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31385-2023</t>
        </is>
      </c>
      <c r="B971" s="1" t="n">
        <v>45114</v>
      </c>
      <c r="C971" s="1" t="n">
        <v>45349</v>
      </c>
      <c r="D971" t="inlineStr">
        <is>
          <t>GÄVLEBORGS LÄN</t>
        </is>
      </c>
      <c r="E971" t="inlineStr">
        <is>
          <t>BOLLNÄS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31440-2023</t>
        </is>
      </c>
      <c r="B972" s="1" t="n">
        <v>45114</v>
      </c>
      <c r="C972" s="1" t="n">
        <v>45349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31638-2023</t>
        </is>
      </c>
      <c r="B973" s="1" t="n">
        <v>45117</v>
      </c>
      <c r="C973" s="1" t="n">
        <v>45349</v>
      </c>
      <c r="D973" t="inlineStr">
        <is>
          <t>GÄVLEBORGS LÄN</t>
        </is>
      </c>
      <c r="E973" t="inlineStr">
        <is>
          <t>BOLLNÄS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32062-2023</t>
        </is>
      </c>
      <c r="B974" s="1" t="n">
        <v>45119</v>
      </c>
      <c r="C974" s="1" t="n">
        <v>45349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32056-2023</t>
        </is>
      </c>
      <c r="B975" s="1" t="n">
        <v>45119</v>
      </c>
      <c r="C975" s="1" t="n">
        <v>45349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32150-2023</t>
        </is>
      </c>
      <c r="B976" s="1" t="n">
        <v>45119</v>
      </c>
      <c r="C976" s="1" t="n">
        <v>45349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32309-2023</t>
        </is>
      </c>
      <c r="B977" s="1" t="n">
        <v>45120</v>
      </c>
      <c r="C977" s="1" t="n">
        <v>45349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32548-2023</t>
        </is>
      </c>
      <c r="B978" s="1" t="n">
        <v>45121</v>
      </c>
      <c r="C978" s="1" t="n">
        <v>45349</v>
      </c>
      <c r="D978" t="inlineStr">
        <is>
          <t>GÄVLEBORGS LÄN</t>
        </is>
      </c>
      <c r="E978" t="inlineStr">
        <is>
          <t>BOLLNÄS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32754-2023</t>
        </is>
      </c>
      <c r="B979" s="1" t="n">
        <v>45123</v>
      </c>
      <c r="C979" s="1" t="n">
        <v>45349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33593-2023</t>
        </is>
      </c>
      <c r="B980" s="1" t="n">
        <v>45132</v>
      </c>
      <c r="C980" s="1" t="n">
        <v>45349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34302-2023</t>
        </is>
      </c>
      <c r="B981" s="1" t="n">
        <v>45138</v>
      </c>
      <c r="C981" s="1" t="n">
        <v>45349</v>
      </c>
      <c r="D981" t="inlineStr">
        <is>
          <t>GÄVLEBORGS LÄN</t>
        </is>
      </c>
      <c r="E981" t="inlineStr">
        <is>
          <t>BOLLNÄS</t>
        </is>
      </c>
      <c r="G981" t="n">
        <v>22.3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34303-2023</t>
        </is>
      </c>
      <c r="B982" s="1" t="n">
        <v>45138</v>
      </c>
      <c r="C982" s="1" t="n">
        <v>45349</v>
      </c>
      <c r="D982" t="inlineStr">
        <is>
          <t>GÄVLEBORGS LÄN</t>
        </is>
      </c>
      <c r="E982" t="inlineStr">
        <is>
          <t>BOLLNÄS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34523-2023</t>
        </is>
      </c>
      <c r="B983" s="1" t="n">
        <v>45140</v>
      </c>
      <c r="C983" s="1" t="n">
        <v>45349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35073-2023</t>
        </is>
      </c>
      <c r="B984" s="1" t="n">
        <v>45145</v>
      </c>
      <c r="C984" s="1" t="n">
        <v>45349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35174-2023</t>
        </is>
      </c>
      <c r="B985" s="1" t="n">
        <v>45145</v>
      </c>
      <c r="C985" s="1" t="n">
        <v>45349</v>
      </c>
      <c r="D985" t="inlineStr">
        <is>
          <t>GÄVLEBORGS LÄN</t>
        </is>
      </c>
      <c r="E985" t="inlineStr">
        <is>
          <t>BOLLNÄS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35182-2023</t>
        </is>
      </c>
      <c r="B986" s="1" t="n">
        <v>45145</v>
      </c>
      <c r="C986" s="1" t="n">
        <v>45349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35067-2023</t>
        </is>
      </c>
      <c r="B987" s="1" t="n">
        <v>45145</v>
      </c>
      <c r="C987" s="1" t="n">
        <v>45349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35071-2023</t>
        </is>
      </c>
      <c r="B988" s="1" t="n">
        <v>45145</v>
      </c>
      <c r="C988" s="1" t="n">
        <v>45349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35181-2023</t>
        </is>
      </c>
      <c r="B989" s="1" t="n">
        <v>45145</v>
      </c>
      <c r="C989" s="1" t="n">
        <v>45349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35419-2023</t>
        </is>
      </c>
      <c r="B990" s="1" t="n">
        <v>45146</v>
      </c>
      <c r="C990" s="1" t="n">
        <v>45349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35431-2023</t>
        </is>
      </c>
      <c r="B991" s="1" t="n">
        <v>45146</v>
      </c>
      <c r="C991" s="1" t="n">
        <v>45349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35527-2023</t>
        </is>
      </c>
      <c r="B992" s="1" t="n">
        <v>45147</v>
      </c>
      <c r="C992" s="1" t="n">
        <v>45349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36055-2023</t>
        </is>
      </c>
      <c r="B993" s="1" t="n">
        <v>45149</v>
      </c>
      <c r="C993" s="1" t="n">
        <v>45349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36051-2023</t>
        </is>
      </c>
      <c r="B994" s="1" t="n">
        <v>45149</v>
      </c>
      <c r="C994" s="1" t="n">
        <v>45349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36053-2023</t>
        </is>
      </c>
      <c r="B995" s="1" t="n">
        <v>45149</v>
      </c>
      <c r="C995" s="1" t="n">
        <v>45349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36058-2023</t>
        </is>
      </c>
      <c r="B996" s="1" t="n">
        <v>45149</v>
      </c>
      <c r="C996" s="1" t="n">
        <v>45349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36087-2023</t>
        </is>
      </c>
      <c r="B997" s="1" t="n">
        <v>45149</v>
      </c>
      <c r="C997" s="1" t="n">
        <v>45349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36061-2023</t>
        </is>
      </c>
      <c r="B998" s="1" t="n">
        <v>45149</v>
      </c>
      <c r="C998" s="1" t="n">
        <v>45349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36065-2023</t>
        </is>
      </c>
      <c r="B999" s="1" t="n">
        <v>45149</v>
      </c>
      <c r="C999" s="1" t="n">
        <v>45349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36349-2023</t>
        </is>
      </c>
      <c r="B1000" s="1" t="n">
        <v>45152</v>
      </c>
      <c r="C1000" s="1" t="n">
        <v>45349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36356-2023</t>
        </is>
      </c>
      <c r="B1001" s="1" t="n">
        <v>45152</v>
      </c>
      <c r="C1001" s="1" t="n">
        <v>45349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36701-2023</t>
        </is>
      </c>
      <c r="B1002" s="1" t="n">
        <v>45153</v>
      </c>
      <c r="C1002" s="1" t="n">
        <v>45349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36710-2023</t>
        </is>
      </c>
      <c r="B1003" s="1" t="n">
        <v>45153</v>
      </c>
      <c r="C1003" s="1" t="n">
        <v>45349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36594-2023</t>
        </is>
      </c>
      <c r="B1004" s="1" t="n">
        <v>45153</v>
      </c>
      <c r="C1004" s="1" t="n">
        <v>45349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36581-2023</t>
        </is>
      </c>
      <c r="B1005" s="1" t="n">
        <v>45153</v>
      </c>
      <c r="C1005" s="1" t="n">
        <v>45349</v>
      </c>
      <c r="D1005" t="inlineStr">
        <is>
          <t>GÄVLEBORGS LÄN</t>
        </is>
      </c>
      <c r="E1005" t="inlineStr">
        <is>
          <t>BOLLNÄS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36629-2023</t>
        </is>
      </c>
      <c r="B1006" s="1" t="n">
        <v>45153</v>
      </c>
      <c r="C1006" s="1" t="n">
        <v>45349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36584-2023</t>
        </is>
      </c>
      <c r="B1007" s="1" t="n">
        <v>45153</v>
      </c>
      <c r="C1007" s="1" t="n">
        <v>45349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36588-2023</t>
        </is>
      </c>
      <c r="B1008" s="1" t="n">
        <v>45153</v>
      </c>
      <c r="C1008" s="1" t="n">
        <v>45349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36607-2023</t>
        </is>
      </c>
      <c r="B1009" s="1" t="n">
        <v>45153</v>
      </c>
      <c r="C1009" s="1" t="n">
        <v>45349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36699-2023</t>
        </is>
      </c>
      <c r="B1010" s="1" t="n">
        <v>45153</v>
      </c>
      <c r="C1010" s="1" t="n">
        <v>45349</v>
      </c>
      <c r="D1010" t="inlineStr">
        <is>
          <t>GÄVLEBORGS LÄN</t>
        </is>
      </c>
      <c r="E1010" t="inlineStr">
        <is>
          <t>BOLLNÄS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36707-2023</t>
        </is>
      </c>
      <c r="B1011" s="1" t="n">
        <v>45153</v>
      </c>
      <c r="C1011" s="1" t="n">
        <v>45349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37233-2023</t>
        </is>
      </c>
      <c r="B1012" s="1" t="n">
        <v>45155</v>
      </c>
      <c r="C1012" s="1" t="n">
        <v>45349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37170-2023</t>
        </is>
      </c>
      <c r="B1013" s="1" t="n">
        <v>45155</v>
      </c>
      <c r="C1013" s="1" t="n">
        <v>45349</v>
      </c>
      <c r="D1013" t="inlineStr">
        <is>
          <t>GÄVLEBORGS LÄN</t>
        </is>
      </c>
      <c r="E1013" t="inlineStr">
        <is>
          <t>BOLLNÄS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37194-2023</t>
        </is>
      </c>
      <c r="B1014" s="1" t="n">
        <v>45155</v>
      </c>
      <c r="C1014" s="1" t="n">
        <v>45349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37316-2023</t>
        </is>
      </c>
      <c r="B1015" s="1" t="n">
        <v>45156</v>
      </c>
      <c r="C1015" s="1" t="n">
        <v>45349</v>
      </c>
      <c r="D1015" t="inlineStr">
        <is>
          <t>GÄVLEBORGS LÄN</t>
        </is>
      </c>
      <c r="E1015" t="inlineStr">
        <is>
          <t>BOLLNÄS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37308-2023</t>
        </is>
      </c>
      <c r="B1016" s="1" t="n">
        <v>45156</v>
      </c>
      <c r="C1016" s="1" t="n">
        <v>45349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37325-2023</t>
        </is>
      </c>
      <c r="B1017" s="1" t="n">
        <v>45156</v>
      </c>
      <c r="C1017" s="1" t="n">
        <v>45349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37697-2023</t>
        </is>
      </c>
      <c r="B1018" s="1" t="n">
        <v>45159</v>
      </c>
      <c r="C1018" s="1" t="n">
        <v>45349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38150-2023</t>
        </is>
      </c>
      <c r="B1019" s="1" t="n">
        <v>45161</v>
      </c>
      <c r="C1019" s="1" t="n">
        <v>45349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38155-2023</t>
        </is>
      </c>
      <c r="B1020" s="1" t="n">
        <v>45161</v>
      </c>
      <c r="C1020" s="1" t="n">
        <v>45349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38146-2023</t>
        </is>
      </c>
      <c r="B1021" s="1" t="n">
        <v>45161</v>
      </c>
      <c r="C1021" s="1" t="n">
        <v>45349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38268-2023</t>
        </is>
      </c>
      <c r="B1022" s="1" t="n">
        <v>45161</v>
      </c>
      <c r="C1022" s="1" t="n">
        <v>45349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38481-2023</t>
        </is>
      </c>
      <c r="B1023" s="1" t="n">
        <v>45162</v>
      </c>
      <c r="C1023" s="1" t="n">
        <v>45349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38937-2023</t>
        </is>
      </c>
      <c r="B1024" s="1" t="n">
        <v>45163</v>
      </c>
      <c r="C1024" s="1" t="n">
        <v>45349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39119-2023</t>
        </is>
      </c>
      <c r="B1025" s="1" t="n">
        <v>45165</v>
      </c>
      <c r="C1025" s="1" t="n">
        <v>45349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39139-2023</t>
        </is>
      </c>
      <c r="B1026" s="1" t="n">
        <v>45165</v>
      </c>
      <c r="C1026" s="1" t="n">
        <v>45349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39181-2023</t>
        </is>
      </c>
      <c r="B1027" s="1" t="n">
        <v>45166</v>
      </c>
      <c r="C1027" s="1" t="n">
        <v>45349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39186-2023</t>
        </is>
      </c>
      <c r="B1028" s="1" t="n">
        <v>45166</v>
      </c>
      <c r="C1028" s="1" t="n">
        <v>45349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39232-2023</t>
        </is>
      </c>
      <c r="B1029" s="1" t="n">
        <v>45166</v>
      </c>
      <c r="C1029" s="1" t="n">
        <v>45349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39314-2023</t>
        </is>
      </c>
      <c r="B1030" s="1" t="n">
        <v>45166</v>
      </c>
      <c r="C1030" s="1" t="n">
        <v>45349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39327-2023</t>
        </is>
      </c>
      <c r="B1031" s="1" t="n">
        <v>45166</v>
      </c>
      <c r="C1031" s="1" t="n">
        <v>45349</v>
      </c>
      <c r="D1031" t="inlineStr">
        <is>
          <t>GÄVLEBORGS LÄN</t>
        </is>
      </c>
      <c r="E1031" t="inlineStr">
        <is>
          <t>BOLLNÄS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40018-2023</t>
        </is>
      </c>
      <c r="B1032" s="1" t="n">
        <v>45168</v>
      </c>
      <c r="C1032" s="1" t="n">
        <v>45349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40300-2023</t>
        </is>
      </c>
      <c r="B1033" s="1" t="n">
        <v>45169</v>
      </c>
      <c r="C1033" s="1" t="n">
        <v>45349</v>
      </c>
      <c r="D1033" t="inlineStr">
        <is>
          <t>GÄVLEBORGS LÄN</t>
        </is>
      </c>
      <c r="E1033" t="inlineStr">
        <is>
          <t>BOLLNÄS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40653-2023</t>
        </is>
      </c>
      <c r="B1034" s="1" t="n">
        <v>45169</v>
      </c>
      <c r="C1034" s="1" t="n">
        <v>45349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40480-2023</t>
        </is>
      </c>
      <c r="B1035" s="1" t="n">
        <v>45170</v>
      </c>
      <c r="C1035" s="1" t="n">
        <v>45349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40513-2023</t>
        </is>
      </c>
      <c r="B1036" s="1" t="n">
        <v>45170</v>
      </c>
      <c r="C1036" s="1" t="n">
        <v>45349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40475-2023</t>
        </is>
      </c>
      <c r="B1037" s="1" t="n">
        <v>45170</v>
      </c>
      <c r="C1037" s="1" t="n">
        <v>45349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40525-2023</t>
        </is>
      </c>
      <c r="B1038" s="1" t="n">
        <v>45170</v>
      </c>
      <c r="C1038" s="1" t="n">
        <v>45349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40685-2023</t>
        </is>
      </c>
      <c r="B1039" s="1" t="n">
        <v>45170</v>
      </c>
      <c r="C1039" s="1" t="n">
        <v>45349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40933-2023</t>
        </is>
      </c>
      <c r="B1040" s="1" t="n">
        <v>45173</v>
      </c>
      <c r="C1040" s="1" t="n">
        <v>45349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40848-2023</t>
        </is>
      </c>
      <c r="B1041" s="1" t="n">
        <v>45173</v>
      </c>
      <c r="C1041" s="1" t="n">
        <v>45349</v>
      </c>
      <c r="D1041" t="inlineStr">
        <is>
          <t>GÄVLEBORGS LÄN</t>
        </is>
      </c>
      <c r="E1041" t="inlineStr">
        <is>
          <t>BOLLNÄS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41266-2023</t>
        </is>
      </c>
      <c r="B1042" s="1" t="n">
        <v>45174</v>
      </c>
      <c r="C1042" s="1" t="n">
        <v>45349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41571-2023</t>
        </is>
      </c>
      <c r="B1043" s="1" t="n">
        <v>45175</v>
      </c>
      <c r="C1043" s="1" t="n">
        <v>45349</v>
      </c>
      <c r="D1043" t="inlineStr">
        <is>
          <t>GÄVLEBORGS LÄN</t>
        </is>
      </c>
      <c r="E1043" t="inlineStr">
        <is>
          <t>BOLLNÄS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41740-2023</t>
        </is>
      </c>
      <c r="B1044" s="1" t="n">
        <v>45176</v>
      </c>
      <c r="C1044" s="1" t="n">
        <v>45349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41730-2023</t>
        </is>
      </c>
      <c r="B1045" s="1" t="n">
        <v>45176</v>
      </c>
      <c r="C1045" s="1" t="n">
        <v>45349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42098-2023</t>
        </is>
      </c>
      <c r="B1046" s="1" t="n">
        <v>45177</v>
      </c>
      <c r="C1046" s="1" t="n">
        <v>45349</v>
      </c>
      <c r="D1046" t="inlineStr">
        <is>
          <t>GÄVLEBORGS LÄN</t>
        </is>
      </c>
      <c r="E1046" t="inlineStr">
        <is>
          <t>BOLLNÄS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45349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42306-2023</t>
        </is>
      </c>
      <c r="B1048" s="1" t="n">
        <v>45180</v>
      </c>
      <c r="C1048" s="1" t="n">
        <v>45349</v>
      </c>
      <c r="D1048" t="inlineStr">
        <is>
          <t>GÄVLEBORGS LÄN</t>
        </is>
      </c>
      <c r="E1048" t="inlineStr">
        <is>
          <t>BOLLNÄS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42314-2023</t>
        </is>
      </c>
      <c r="B1049" s="1" t="n">
        <v>45180</v>
      </c>
      <c r="C1049" s="1" t="n">
        <v>45349</v>
      </c>
      <c r="D1049" t="inlineStr">
        <is>
          <t>GÄVLEBORGS LÄN</t>
        </is>
      </c>
      <c r="E1049" t="inlineStr">
        <is>
          <t>BOLLNÄS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42639-2023</t>
        </is>
      </c>
      <c r="B1050" s="1" t="n">
        <v>45181</v>
      </c>
      <c r="C1050" s="1" t="n">
        <v>45349</v>
      </c>
      <c r="D1050" t="inlineStr">
        <is>
          <t>GÄVLEBORGS LÄN</t>
        </is>
      </c>
      <c r="E1050" t="inlineStr">
        <is>
          <t>BOLLNÄS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42862-2023</t>
        </is>
      </c>
      <c r="B1051" s="1" t="n">
        <v>45182</v>
      </c>
      <c r="C1051" s="1" t="n">
        <v>45349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43073-2023</t>
        </is>
      </c>
      <c r="B1052" s="1" t="n">
        <v>45182</v>
      </c>
      <c r="C1052" s="1" t="n">
        <v>45349</v>
      </c>
      <c r="D1052" t="inlineStr">
        <is>
          <t>GÄVLEBORGS LÄN</t>
        </is>
      </c>
      <c r="E1052" t="inlineStr">
        <is>
          <t>BOLLNÄS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43152-2023</t>
        </is>
      </c>
      <c r="B1053" s="1" t="n">
        <v>45183</v>
      </c>
      <c r="C1053" s="1" t="n">
        <v>45349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43149-2023</t>
        </is>
      </c>
      <c r="B1054" s="1" t="n">
        <v>45183</v>
      </c>
      <c r="C1054" s="1" t="n">
        <v>45349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44576-2023</t>
        </is>
      </c>
      <c r="B1055" s="1" t="n">
        <v>45183</v>
      </c>
      <c r="C1055" s="1" t="n">
        <v>45349</v>
      </c>
      <c r="D1055" t="inlineStr">
        <is>
          <t>GÄVLEBORGS LÄN</t>
        </is>
      </c>
      <c r="E1055" t="inlineStr">
        <is>
          <t>BOLLNÄS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44558-2023</t>
        </is>
      </c>
      <c r="B1056" s="1" t="n">
        <v>45183</v>
      </c>
      <c r="C1056" s="1" t="n">
        <v>45349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43537-2023</t>
        </is>
      </c>
      <c r="B1057" s="1" t="n">
        <v>45184</v>
      </c>
      <c r="C1057" s="1" t="n">
        <v>45349</v>
      </c>
      <c r="D1057" t="inlineStr">
        <is>
          <t>GÄVLEBORGS LÄN</t>
        </is>
      </c>
      <c r="E1057" t="inlineStr">
        <is>
          <t>BOLLNÄS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43683-2023</t>
        </is>
      </c>
      <c r="B1058" s="1" t="n">
        <v>45187</v>
      </c>
      <c r="C1058" s="1" t="n">
        <v>45349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43711-2023</t>
        </is>
      </c>
      <c r="B1059" s="1" t="n">
        <v>45187</v>
      </c>
      <c r="C1059" s="1" t="n">
        <v>45349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43750-2023</t>
        </is>
      </c>
      <c r="B1060" s="1" t="n">
        <v>45187</v>
      </c>
      <c r="C1060" s="1" t="n">
        <v>45349</v>
      </c>
      <c r="D1060" t="inlineStr">
        <is>
          <t>GÄVLEBORGS LÄN</t>
        </is>
      </c>
      <c r="E1060" t="inlineStr">
        <is>
          <t>BOLLNÄS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43734-2023</t>
        </is>
      </c>
      <c r="B1061" s="1" t="n">
        <v>45187</v>
      </c>
      <c r="C1061" s="1" t="n">
        <v>45349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44058-2023</t>
        </is>
      </c>
      <c r="B1062" s="1" t="n">
        <v>45188</v>
      </c>
      <c r="C1062" s="1" t="n">
        <v>45349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44055-2023</t>
        </is>
      </c>
      <c r="B1063" s="1" t="n">
        <v>45188</v>
      </c>
      <c r="C1063" s="1" t="n">
        <v>45349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44538-2023</t>
        </is>
      </c>
      <c r="B1064" s="1" t="n">
        <v>45189</v>
      </c>
      <c r="C1064" s="1" t="n">
        <v>45349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44617-2023</t>
        </is>
      </c>
      <c r="B1065" s="1" t="n">
        <v>45189</v>
      </c>
      <c r="C1065" s="1" t="n">
        <v>45349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44620-2023</t>
        </is>
      </c>
      <c r="B1066" s="1" t="n">
        <v>45189</v>
      </c>
      <c r="C1066" s="1" t="n">
        <v>45349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44625-2023</t>
        </is>
      </c>
      <c r="B1067" s="1" t="n">
        <v>45189</v>
      </c>
      <c r="C1067" s="1" t="n">
        <v>45349</v>
      </c>
      <c r="D1067" t="inlineStr">
        <is>
          <t>GÄVLEBORGS LÄN</t>
        </is>
      </c>
      <c r="E1067" t="inlineStr">
        <is>
          <t>BOLLNÄS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45248-2023</t>
        </is>
      </c>
      <c r="B1068" s="1" t="n">
        <v>45191</v>
      </c>
      <c r="C1068" s="1" t="n">
        <v>45349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45258-2023</t>
        </is>
      </c>
      <c r="B1069" s="1" t="n">
        <v>45191</v>
      </c>
      <c r="C1069" s="1" t="n">
        <v>45349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45241-2023</t>
        </is>
      </c>
      <c r="B1070" s="1" t="n">
        <v>45191</v>
      </c>
      <c r="C1070" s="1" t="n">
        <v>45349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45557-2023</t>
        </is>
      </c>
      <c r="B1071" s="1" t="n">
        <v>45194</v>
      </c>
      <c r="C1071" s="1" t="n">
        <v>45349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45582-2023</t>
        </is>
      </c>
      <c r="B1072" s="1" t="n">
        <v>45194</v>
      </c>
      <c r="C1072" s="1" t="n">
        <v>45349</v>
      </c>
      <c r="D1072" t="inlineStr">
        <is>
          <t>GÄVLEBORGS LÄN</t>
        </is>
      </c>
      <c r="E1072" t="inlineStr">
        <is>
          <t>BOLLNÄS</t>
        </is>
      </c>
      <c r="G1072" t="n">
        <v>18.1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45604-2023</t>
        </is>
      </c>
      <c r="B1073" s="1" t="n">
        <v>45194</v>
      </c>
      <c r="C1073" s="1" t="n">
        <v>45349</v>
      </c>
      <c r="D1073" t="inlineStr">
        <is>
          <t>GÄVLEBORGS LÄN</t>
        </is>
      </c>
      <c r="E1073" t="inlineStr">
        <is>
          <t>BOLLNÄS</t>
        </is>
      </c>
      <c r="G1073" t="n">
        <v>42.9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45629-2023</t>
        </is>
      </c>
      <c r="B1074" s="1" t="n">
        <v>45194</v>
      </c>
      <c r="C1074" s="1" t="n">
        <v>45349</v>
      </c>
      <c r="D1074" t="inlineStr">
        <is>
          <t>GÄVLEBORGS LÄN</t>
        </is>
      </c>
      <c r="E1074" t="inlineStr">
        <is>
          <t>BOLLNÄS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45639-2023</t>
        </is>
      </c>
      <c r="B1075" s="1" t="n">
        <v>45194</v>
      </c>
      <c r="C1075" s="1" t="n">
        <v>45349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45842-2023</t>
        </is>
      </c>
      <c r="B1076" s="1" t="n">
        <v>45195</v>
      </c>
      <c r="C1076" s="1" t="n">
        <v>45349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45840-2023</t>
        </is>
      </c>
      <c r="B1077" s="1" t="n">
        <v>45195</v>
      </c>
      <c r="C1077" s="1" t="n">
        <v>45349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46713-2023</t>
        </is>
      </c>
      <c r="B1078" s="1" t="n">
        <v>45198</v>
      </c>
      <c r="C1078" s="1" t="n">
        <v>45349</v>
      </c>
      <c r="D1078" t="inlineStr">
        <is>
          <t>GÄVLEBORGS LÄN</t>
        </is>
      </c>
      <c r="E1078" t="inlineStr">
        <is>
          <t>BOLLNÄS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47273-2023</t>
        </is>
      </c>
      <c r="B1079" s="1" t="n">
        <v>45202</v>
      </c>
      <c r="C1079" s="1" t="n">
        <v>45349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47438-2023</t>
        </is>
      </c>
      <c r="B1080" s="1" t="n">
        <v>45202</v>
      </c>
      <c r="C1080" s="1" t="n">
        <v>45349</v>
      </c>
      <c r="D1080" t="inlineStr">
        <is>
          <t>GÄVLEBORGS LÄN</t>
        </is>
      </c>
      <c r="E1080" t="inlineStr">
        <is>
          <t>BOLLNÄS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47701-2023</t>
        </is>
      </c>
      <c r="B1081" s="1" t="n">
        <v>45203</v>
      </c>
      <c r="C1081" s="1" t="n">
        <v>45349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47575-2023</t>
        </is>
      </c>
      <c r="B1082" s="1" t="n">
        <v>45203</v>
      </c>
      <c r="C1082" s="1" t="n">
        <v>45349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47852-2023</t>
        </is>
      </c>
      <c r="B1083" s="1" t="n">
        <v>45204</v>
      </c>
      <c r="C1083" s="1" t="n">
        <v>45349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48293-2023</t>
        </is>
      </c>
      <c r="B1084" s="1" t="n">
        <v>45205</v>
      </c>
      <c r="C1084" s="1" t="n">
        <v>45349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48301-2023</t>
        </is>
      </c>
      <c r="B1085" s="1" t="n">
        <v>45205</v>
      </c>
      <c r="C1085" s="1" t="n">
        <v>45349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48307-2023</t>
        </is>
      </c>
      <c r="B1086" s="1" t="n">
        <v>45205</v>
      </c>
      <c r="C1086" s="1" t="n">
        <v>45349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48310-2023</t>
        </is>
      </c>
      <c r="B1087" s="1" t="n">
        <v>45205</v>
      </c>
      <c r="C1087" s="1" t="n">
        <v>45349</v>
      </c>
      <c r="D1087" t="inlineStr">
        <is>
          <t>GÄVLEBORGS LÄN</t>
        </is>
      </c>
      <c r="E1087" t="inlineStr">
        <is>
          <t>BOLLNÄS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48336-2023</t>
        </is>
      </c>
      <c r="B1088" s="1" t="n">
        <v>45205</v>
      </c>
      <c r="C1088" s="1" t="n">
        <v>45349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48591-2023</t>
        </is>
      </c>
      <c r="B1089" s="1" t="n">
        <v>45208</v>
      </c>
      <c r="C1089" s="1" t="n">
        <v>45349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48605-2023</t>
        </is>
      </c>
      <c r="B1090" s="1" t="n">
        <v>45208</v>
      </c>
      <c r="C1090" s="1" t="n">
        <v>45349</v>
      </c>
      <c r="D1090" t="inlineStr">
        <is>
          <t>GÄVLEBORGS LÄN</t>
        </is>
      </c>
      <c r="E1090" t="inlineStr">
        <is>
          <t>BOLLNÄS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48712-2023</t>
        </is>
      </c>
      <c r="B1091" s="1" t="n">
        <v>45208</v>
      </c>
      <c r="C1091" s="1" t="n">
        <v>45349</v>
      </c>
      <c r="D1091" t="inlineStr">
        <is>
          <t>GÄVLEBORGS LÄN</t>
        </is>
      </c>
      <c r="E1091" t="inlineStr">
        <is>
          <t>BOLLNÄS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48603-2023</t>
        </is>
      </c>
      <c r="B1092" s="1" t="n">
        <v>45208</v>
      </c>
      <c r="C1092" s="1" t="n">
        <v>45349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48808-2023</t>
        </is>
      </c>
      <c r="B1093" s="1" t="n">
        <v>45209</v>
      </c>
      <c r="C1093" s="1" t="n">
        <v>45349</v>
      </c>
      <c r="D1093" t="inlineStr">
        <is>
          <t>GÄVLEBORGS LÄN</t>
        </is>
      </c>
      <c r="E1093" t="inlineStr">
        <is>
          <t>BOLLNÄS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50329-2023</t>
        </is>
      </c>
      <c r="B1094" s="1" t="n">
        <v>45209</v>
      </c>
      <c r="C1094" s="1" t="n">
        <v>45349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49273-2023</t>
        </is>
      </c>
      <c r="B1095" s="1" t="n">
        <v>45210</v>
      </c>
      <c r="C1095" s="1" t="n">
        <v>45349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49277-2023</t>
        </is>
      </c>
      <c r="B1096" s="1" t="n">
        <v>45210</v>
      </c>
      <c r="C1096" s="1" t="n">
        <v>45349</v>
      </c>
      <c r="D1096" t="inlineStr">
        <is>
          <t>GÄVLEBORGS LÄN</t>
        </is>
      </c>
      <c r="E1096" t="inlineStr">
        <is>
          <t>BOLLNÄS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49401-2023</t>
        </is>
      </c>
      <c r="B1097" s="1" t="n">
        <v>45211</v>
      </c>
      <c r="C1097" s="1" t="n">
        <v>45349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49392-2023</t>
        </is>
      </c>
      <c r="B1098" s="1" t="n">
        <v>45211</v>
      </c>
      <c r="C1098" s="1" t="n">
        <v>45349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49413-2023</t>
        </is>
      </c>
      <c r="B1099" s="1" t="n">
        <v>45211</v>
      </c>
      <c r="C1099" s="1" t="n">
        <v>45349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49713-2023</t>
        </is>
      </c>
      <c r="B1100" s="1" t="n">
        <v>45212</v>
      </c>
      <c r="C1100" s="1" t="n">
        <v>45349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51156-2023</t>
        </is>
      </c>
      <c r="B1101" s="1" t="n">
        <v>45212</v>
      </c>
      <c r="C1101" s="1" t="n">
        <v>45349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51149-2023</t>
        </is>
      </c>
      <c r="B1102" s="1" t="n">
        <v>45212</v>
      </c>
      <c r="C1102" s="1" t="n">
        <v>45349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51158-2023</t>
        </is>
      </c>
      <c r="B1103" s="1" t="n">
        <v>45212</v>
      </c>
      <c r="C1103" s="1" t="n">
        <v>45349</v>
      </c>
      <c r="D1103" t="inlineStr">
        <is>
          <t>GÄVLEBORGS LÄN</t>
        </is>
      </c>
      <c r="E1103" t="inlineStr">
        <is>
          <t>BOLLNÄS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49883-2023</t>
        </is>
      </c>
      <c r="B1104" s="1" t="n">
        <v>45213</v>
      </c>
      <c r="C1104" s="1" t="n">
        <v>45349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49931-2023</t>
        </is>
      </c>
      <c r="B1105" s="1" t="n">
        <v>45215</v>
      </c>
      <c r="C1105" s="1" t="n">
        <v>45349</v>
      </c>
      <c r="D1105" t="inlineStr">
        <is>
          <t>GÄVLEBORGS LÄN</t>
        </is>
      </c>
      <c r="E1105" t="inlineStr">
        <is>
          <t>BOLLNÄS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49930-2023</t>
        </is>
      </c>
      <c r="B1106" s="1" t="n">
        <v>45215</v>
      </c>
      <c r="C1106" s="1" t="n">
        <v>45349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50561-2023</t>
        </is>
      </c>
      <c r="B1107" s="1" t="n">
        <v>45217</v>
      </c>
      <c r="C1107" s="1" t="n">
        <v>45349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50544-2023</t>
        </is>
      </c>
      <c r="B1108" s="1" t="n">
        <v>45217</v>
      </c>
      <c r="C1108" s="1" t="n">
        <v>45349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51033-2023</t>
        </is>
      </c>
      <c r="B1109" s="1" t="n">
        <v>45218</v>
      </c>
      <c r="C1109" s="1" t="n">
        <v>45349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51044-2023</t>
        </is>
      </c>
      <c r="B1110" s="1" t="n">
        <v>45218</v>
      </c>
      <c r="C1110" s="1" t="n">
        <v>45349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51052-2023</t>
        </is>
      </c>
      <c r="B1111" s="1" t="n">
        <v>45218</v>
      </c>
      <c r="C1111" s="1" t="n">
        <v>45349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51300-2023</t>
        </is>
      </c>
      <c r="B1112" s="1" t="n">
        <v>45219</v>
      </c>
      <c r="C1112" s="1" t="n">
        <v>45349</v>
      </c>
      <c r="D1112" t="inlineStr">
        <is>
          <t>GÄVLEBORGS LÄN</t>
        </is>
      </c>
      <c r="E1112" t="inlineStr">
        <is>
          <t>BOLLNÄS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51346-2023</t>
        </is>
      </c>
      <c r="B1113" s="1" t="n">
        <v>45219</v>
      </c>
      <c r="C1113" s="1" t="n">
        <v>45349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51246-2023</t>
        </is>
      </c>
      <c r="B1114" s="1" t="n">
        <v>45219</v>
      </c>
      <c r="C1114" s="1" t="n">
        <v>45349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51137-2023</t>
        </is>
      </c>
      <c r="B1115" s="1" t="n">
        <v>45219</v>
      </c>
      <c r="C1115" s="1" t="n">
        <v>45349</v>
      </c>
      <c r="D1115" t="inlineStr">
        <is>
          <t>GÄVLEBORGS LÄN</t>
        </is>
      </c>
      <c r="E1115" t="inlineStr">
        <is>
          <t>BOLLNÄS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51310-2023</t>
        </is>
      </c>
      <c r="B1116" s="1" t="n">
        <v>45219</v>
      </c>
      <c r="C1116" s="1" t="n">
        <v>45349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51153-2023</t>
        </is>
      </c>
      <c r="B1117" s="1" t="n">
        <v>45219</v>
      </c>
      <c r="C1117" s="1" t="n">
        <v>45349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51133-2023</t>
        </is>
      </c>
      <c r="B1118" s="1" t="n">
        <v>45219</v>
      </c>
      <c r="C1118" s="1" t="n">
        <v>45349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51211-2023</t>
        </is>
      </c>
      <c r="B1119" s="1" t="n">
        <v>45219</v>
      </c>
      <c r="C1119" s="1" t="n">
        <v>45349</v>
      </c>
      <c r="D1119" t="inlineStr">
        <is>
          <t>GÄVLEBORGS LÄN</t>
        </is>
      </c>
      <c r="E1119" t="inlineStr">
        <is>
          <t>BOLLNÄS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51259-2023</t>
        </is>
      </c>
      <c r="B1120" s="1" t="n">
        <v>45219</v>
      </c>
      <c r="C1120" s="1" t="n">
        <v>45349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51306-2023</t>
        </is>
      </c>
      <c r="B1121" s="1" t="n">
        <v>45219</v>
      </c>
      <c r="C1121" s="1" t="n">
        <v>45349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51338-2023</t>
        </is>
      </c>
      <c r="B1122" s="1" t="n">
        <v>45219</v>
      </c>
      <c r="C1122" s="1" t="n">
        <v>45349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51244-2023</t>
        </is>
      </c>
      <c r="B1123" s="1" t="n">
        <v>45219</v>
      </c>
      <c r="C1123" s="1" t="n">
        <v>45349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HYPERLINK("https://klasma.github.io/Logging_2183/knärot/A 51244-2023 karta knärot.png", "A 51244-2023")</f>
        <v/>
      </c>
      <c r="V1123">
        <f>HYPERLINK("https://klasma.github.io/Logging_2183/klagomål/A 51244-2023 FSC-klagomål.docx", "A 51244-2023")</f>
        <v/>
      </c>
      <c r="W1123">
        <f>HYPERLINK("https://klasma.github.io/Logging_2183/klagomålsmail/A 51244-2023 FSC-klagomål mail.docx", "A 51244-2023")</f>
        <v/>
      </c>
      <c r="X1123">
        <f>HYPERLINK("https://klasma.github.io/Logging_2183/tillsyn/A 51244-2023 tillsynsbegäran.docx", "A 51244-2023")</f>
        <v/>
      </c>
      <c r="Y1123">
        <f>HYPERLINK("https://klasma.github.io/Logging_2183/tillsynsmail/A 51244-2023 tillsynsbegäran mail.docx", "A 51244-2023")</f>
        <v/>
      </c>
    </row>
    <row r="1124" ht="15" customHeight="1">
      <c r="A1124" t="inlineStr">
        <is>
          <t>A 51247-2023</t>
        </is>
      </c>
      <c r="B1124" s="1" t="n">
        <v>45219</v>
      </c>
      <c r="C1124" s="1" t="n">
        <v>45349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51355-2023</t>
        </is>
      </c>
      <c r="B1125" s="1" t="n">
        <v>45219</v>
      </c>
      <c r="C1125" s="1" t="n">
        <v>45349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51257-2023</t>
        </is>
      </c>
      <c r="B1126" s="1" t="n">
        <v>45219</v>
      </c>
      <c r="C1126" s="1" t="n">
        <v>45349</v>
      </c>
      <c r="D1126" t="inlineStr">
        <is>
          <t>GÄVLEBORGS LÄN</t>
        </is>
      </c>
      <c r="E1126" t="inlineStr">
        <is>
          <t>BOLLNÄS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51261-2023</t>
        </is>
      </c>
      <c r="B1127" s="1" t="n">
        <v>45219</v>
      </c>
      <c r="C1127" s="1" t="n">
        <v>45349</v>
      </c>
      <c r="D1127" t="inlineStr">
        <is>
          <t>GÄVLEBORGS LÄN</t>
        </is>
      </c>
      <c r="E1127" t="inlineStr">
        <is>
          <t>BOLLNÄS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51322-2023</t>
        </is>
      </c>
      <c r="B1128" s="1" t="n">
        <v>45219</v>
      </c>
      <c r="C1128" s="1" t="n">
        <v>45349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51483-2023</t>
        </is>
      </c>
      <c r="B1129" s="1" t="n">
        <v>45222</v>
      </c>
      <c r="C1129" s="1" t="n">
        <v>45349</v>
      </c>
      <c r="D1129" t="inlineStr">
        <is>
          <t>GÄVLEBORGS LÄN</t>
        </is>
      </c>
      <c r="E1129" t="inlineStr">
        <is>
          <t>BOLLNÄS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51797-2023</t>
        </is>
      </c>
      <c r="B1130" s="1" t="n">
        <v>45222</v>
      </c>
      <c r="C1130" s="1" t="n">
        <v>45349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51949-2023</t>
        </is>
      </c>
      <c r="B1131" s="1" t="n">
        <v>45223</v>
      </c>
      <c r="C1131" s="1" t="n">
        <v>45349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51952-2023</t>
        </is>
      </c>
      <c r="B1132" s="1" t="n">
        <v>45223</v>
      </c>
      <c r="C1132" s="1" t="n">
        <v>45349</v>
      </c>
      <c r="D1132" t="inlineStr">
        <is>
          <t>GÄVLEBORGS LÄN</t>
        </is>
      </c>
      <c r="E1132" t="inlineStr">
        <is>
          <t>BOLLNÄS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51866-2023</t>
        </is>
      </c>
      <c r="B1133" s="1" t="n">
        <v>45223</v>
      </c>
      <c r="C1133" s="1" t="n">
        <v>45349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51965-2023</t>
        </is>
      </c>
      <c r="B1134" s="1" t="n">
        <v>45223</v>
      </c>
      <c r="C1134" s="1" t="n">
        <v>45349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51894-2023</t>
        </is>
      </c>
      <c r="B1135" s="1" t="n">
        <v>45223</v>
      </c>
      <c r="C1135" s="1" t="n">
        <v>45349</v>
      </c>
      <c r="D1135" t="inlineStr">
        <is>
          <t>GÄVLEBORGS LÄN</t>
        </is>
      </c>
      <c r="E1135" t="inlineStr">
        <is>
          <t>BOLLNÄS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52045-2023</t>
        </is>
      </c>
      <c r="B1136" s="1" t="n">
        <v>45223</v>
      </c>
      <c r="C1136" s="1" t="n">
        <v>45349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53384-2023</t>
        </is>
      </c>
      <c r="B1137" s="1" t="n">
        <v>45223</v>
      </c>
      <c r="C1137" s="1" t="n">
        <v>45349</v>
      </c>
      <c r="D1137" t="inlineStr">
        <is>
          <t>GÄVLEBORGS LÄN</t>
        </is>
      </c>
      <c r="E1137" t="inlineStr">
        <is>
          <t>BOLLNÄS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53871-2023</t>
        </is>
      </c>
      <c r="B1138" s="1" t="n">
        <v>45224</v>
      </c>
      <c r="C1138" s="1" t="n">
        <v>45349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Kommuner</t>
        </is>
      </c>
      <c r="G1138" t="n">
        <v>10.7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53298-2023</t>
        </is>
      </c>
      <c r="B1139" s="1" t="n">
        <v>45229</v>
      </c>
      <c r="C1139" s="1" t="n">
        <v>45349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53330-2023</t>
        </is>
      </c>
      <c r="B1140" s="1" t="n">
        <v>45229</v>
      </c>
      <c r="C1140" s="1" t="n">
        <v>45349</v>
      </c>
      <c r="D1140" t="inlineStr">
        <is>
          <t>GÄVLEBORGS LÄN</t>
        </is>
      </c>
      <c r="E1140" t="inlineStr">
        <is>
          <t>BOLLNÄS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53321-2023</t>
        </is>
      </c>
      <c r="B1141" s="1" t="n">
        <v>45229</v>
      </c>
      <c r="C1141" s="1" t="n">
        <v>45349</v>
      </c>
      <c r="D1141" t="inlineStr">
        <is>
          <t>GÄVLEBORGS LÄN</t>
        </is>
      </c>
      <c r="E1141" t="inlineStr">
        <is>
          <t>BOLLNÄS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53301-2023</t>
        </is>
      </c>
      <c r="B1142" s="1" t="n">
        <v>45229</v>
      </c>
      <c r="C1142" s="1" t="n">
        <v>45349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53314-2023</t>
        </is>
      </c>
      <c r="B1143" s="1" t="n">
        <v>45229</v>
      </c>
      <c r="C1143" s="1" t="n">
        <v>45349</v>
      </c>
      <c r="D1143" t="inlineStr">
        <is>
          <t>GÄVLEBORGS LÄN</t>
        </is>
      </c>
      <c r="E1143" t="inlineStr">
        <is>
          <t>BOLLNÄS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53325-2023</t>
        </is>
      </c>
      <c r="B1144" s="1" t="n">
        <v>45229</v>
      </c>
      <c r="C1144" s="1" t="n">
        <v>45349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53494-2023</t>
        </is>
      </c>
      <c r="B1145" s="1" t="n">
        <v>45230</v>
      </c>
      <c r="C1145" s="1" t="n">
        <v>45349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53644-2023</t>
        </is>
      </c>
      <c r="B1146" s="1" t="n">
        <v>45230</v>
      </c>
      <c r="C1146" s="1" t="n">
        <v>45349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53687-2023</t>
        </is>
      </c>
      <c r="B1147" s="1" t="n">
        <v>45230</v>
      </c>
      <c r="C1147" s="1" t="n">
        <v>45349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53526-2023</t>
        </is>
      </c>
      <c r="B1148" s="1" t="n">
        <v>45230</v>
      </c>
      <c r="C1148" s="1" t="n">
        <v>45349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53483-2023</t>
        </is>
      </c>
      <c r="B1149" s="1" t="n">
        <v>45230</v>
      </c>
      <c r="C1149" s="1" t="n">
        <v>45349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53692-2023</t>
        </is>
      </c>
      <c r="B1150" s="1" t="n">
        <v>45230</v>
      </c>
      <c r="C1150" s="1" t="n">
        <v>45349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53673-2023</t>
        </is>
      </c>
      <c r="B1151" s="1" t="n">
        <v>45230</v>
      </c>
      <c r="C1151" s="1" t="n">
        <v>45349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53663-2023</t>
        </is>
      </c>
      <c r="B1152" s="1" t="n">
        <v>45230</v>
      </c>
      <c r="C1152" s="1" t="n">
        <v>45349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53790-2023</t>
        </is>
      </c>
      <c r="B1153" s="1" t="n">
        <v>45231</v>
      </c>
      <c r="C1153" s="1" t="n">
        <v>45349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53828-2023</t>
        </is>
      </c>
      <c r="B1154" s="1" t="n">
        <v>45231</v>
      </c>
      <c r="C1154" s="1" t="n">
        <v>45349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53783-2023</t>
        </is>
      </c>
      <c r="B1155" s="1" t="n">
        <v>45231</v>
      </c>
      <c r="C1155" s="1" t="n">
        <v>45349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54203-2023</t>
        </is>
      </c>
      <c r="B1156" s="1" t="n">
        <v>45232</v>
      </c>
      <c r="C1156" s="1" t="n">
        <v>45349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54209-2023</t>
        </is>
      </c>
      <c r="B1157" s="1" t="n">
        <v>45232</v>
      </c>
      <c r="C1157" s="1" t="n">
        <v>45349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54236-2023</t>
        </is>
      </c>
      <c r="B1158" s="1" t="n">
        <v>45232</v>
      </c>
      <c r="C1158" s="1" t="n">
        <v>45349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54248-2023</t>
        </is>
      </c>
      <c r="B1159" s="1" t="n">
        <v>45232</v>
      </c>
      <c r="C1159" s="1" t="n">
        <v>45349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54426-2023</t>
        </is>
      </c>
      <c r="B1160" s="1" t="n">
        <v>45233</v>
      </c>
      <c r="C1160" s="1" t="n">
        <v>45349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54425-2023</t>
        </is>
      </c>
      <c r="B1161" s="1" t="n">
        <v>45233</v>
      </c>
      <c r="C1161" s="1" t="n">
        <v>45349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54705-2023</t>
        </is>
      </c>
      <c r="B1162" s="1" t="n">
        <v>45236</v>
      </c>
      <c r="C1162" s="1" t="n">
        <v>45349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55199-2023</t>
        </is>
      </c>
      <c r="B1163" s="1" t="n">
        <v>45237</v>
      </c>
      <c r="C1163" s="1" t="n">
        <v>45349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55179-2023</t>
        </is>
      </c>
      <c r="B1164" s="1" t="n">
        <v>45237</v>
      </c>
      <c r="C1164" s="1" t="n">
        <v>45349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55475-2023</t>
        </is>
      </c>
      <c r="B1165" s="1" t="n">
        <v>45238</v>
      </c>
      <c r="C1165" s="1" t="n">
        <v>45349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55558-2023</t>
        </is>
      </c>
      <c r="B1166" s="1" t="n">
        <v>45238</v>
      </c>
      <c r="C1166" s="1" t="n">
        <v>45349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55367-2023</t>
        </is>
      </c>
      <c r="B1167" s="1" t="n">
        <v>45238</v>
      </c>
      <c r="C1167" s="1" t="n">
        <v>45349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55520-2023</t>
        </is>
      </c>
      <c r="B1168" s="1" t="n">
        <v>45238</v>
      </c>
      <c r="C1168" s="1" t="n">
        <v>45349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57250-2023</t>
        </is>
      </c>
      <c r="B1169" s="1" t="n">
        <v>45239</v>
      </c>
      <c r="C1169" s="1" t="n">
        <v>45349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Kommuner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57260-2023</t>
        </is>
      </c>
      <c r="B1170" s="1" t="n">
        <v>45239</v>
      </c>
      <c r="C1170" s="1" t="n">
        <v>45349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Kommuner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56209-2023</t>
        </is>
      </c>
      <c r="B1171" s="1" t="n">
        <v>45240</v>
      </c>
      <c r="C1171" s="1" t="n">
        <v>45349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56165-2023</t>
        </is>
      </c>
      <c r="B1172" s="1" t="n">
        <v>45240</v>
      </c>
      <c r="C1172" s="1" t="n">
        <v>45349</v>
      </c>
      <c r="D1172" t="inlineStr">
        <is>
          <t>GÄVLEBORGS LÄN</t>
        </is>
      </c>
      <c r="E1172" t="inlineStr">
        <is>
          <t>BOLLNÄS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56208-2023</t>
        </is>
      </c>
      <c r="B1173" s="1" t="n">
        <v>45240</v>
      </c>
      <c r="C1173" s="1" t="n">
        <v>45349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56461-2023</t>
        </is>
      </c>
      <c r="B1174" s="1" t="n">
        <v>45243</v>
      </c>
      <c r="C1174" s="1" t="n">
        <v>45349</v>
      </c>
      <c r="D1174" t="inlineStr">
        <is>
          <t>GÄVLEBORGS LÄN</t>
        </is>
      </c>
      <c r="E1174" t="inlineStr">
        <is>
          <t>BOLLNÄS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56542-2023</t>
        </is>
      </c>
      <c r="B1175" s="1" t="n">
        <v>45243</v>
      </c>
      <c r="C1175" s="1" t="n">
        <v>45349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56547-2023</t>
        </is>
      </c>
      <c r="B1176" s="1" t="n">
        <v>45243</v>
      </c>
      <c r="C1176" s="1" t="n">
        <v>45349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56453-2023</t>
        </is>
      </c>
      <c r="B1177" s="1" t="n">
        <v>45243</v>
      </c>
      <c r="C1177" s="1" t="n">
        <v>45349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56503-2023</t>
        </is>
      </c>
      <c r="B1178" s="1" t="n">
        <v>45243</v>
      </c>
      <c r="C1178" s="1" t="n">
        <v>45349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56508-2023</t>
        </is>
      </c>
      <c r="B1179" s="1" t="n">
        <v>45243</v>
      </c>
      <c r="C1179" s="1" t="n">
        <v>45349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56704-2023</t>
        </is>
      </c>
      <c r="B1180" s="1" t="n">
        <v>45244</v>
      </c>
      <c r="C1180" s="1" t="n">
        <v>45349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56945-2023</t>
        </is>
      </c>
      <c r="B1181" s="1" t="n">
        <v>45244</v>
      </c>
      <c r="C1181" s="1" t="n">
        <v>45349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57510-2023</t>
        </is>
      </c>
      <c r="B1182" s="1" t="n">
        <v>45246</v>
      </c>
      <c r="C1182" s="1" t="n">
        <v>45349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57505-2023</t>
        </is>
      </c>
      <c r="B1183" s="1" t="n">
        <v>45246</v>
      </c>
      <c r="C1183" s="1" t="n">
        <v>45349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57546-2023</t>
        </is>
      </c>
      <c r="B1184" s="1" t="n">
        <v>45246</v>
      </c>
      <c r="C1184" s="1" t="n">
        <v>45349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57714-2023</t>
        </is>
      </c>
      <c r="B1185" s="1" t="n">
        <v>45246</v>
      </c>
      <c r="C1185" s="1" t="n">
        <v>45349</v>
      </c>
      <c r="D1185" t="inlineStr">
        <is>
          <t>GÄVLEBORGS LÄN</t>
        </is>
      </c>
      <c r="E1185" t="inlineStr">
        <is>
          <t>BOLLNÄS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58166-2023</t>
        </is>
      </c>
      <c r="B1186" s="1" t="n">
        <v>45250</v>
      </c>
      <c r="C1186" s="1" t="n">
        <v>45349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58239-2023</t>
        </is>
      </c>
      <c r="B1187" s="1" t="n">
        <v>45250</v>
      </c>
      <c r="C1187" s="1" t="n">
        <v>45349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58506-2023</t>
        </is>
      </c>
      <c r="B1188" s="1" t="n">
        <v>45251</v>
      </c>
      <c r="C1188" s="1" t="n">
        <v>45349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58630-2023</t>
        </is>
      </c>
      <c r="B1189" s="1" t="n">
        <v>45251</v>
      </c>
      <c r="C1189" s="1" t="n">
        <v>45349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58638-2023</t>
        </is>
      </c>
      <c r="B1190" s="1" t="n">
        <v>45251</v>
      </c>
      <c r="C1190" s="1" t="n">
        <v>45349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58716-2023</t>
        </is>
      </c>
      <c r="B1191" s="1" t="n">
        <v>45251</v>
      </c>
      <c r="C1191" s="1" t="n">
        <v>45349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58811-2023</t>
        </is>
      </c>
      <c r="B1192" s="1" t="n">
        <v>45252</v>
      </c>
      <c r="C1192" s="1" t="n">
        <v>45349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58929-2023</t>
        </is>
      </c>
      <c r="B1193" s="1" t="n">
        <v>45252</v>
      </c>
      <c r="C1193" s="1" t="n">
        <v>45349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59049-2023</t>
        </is>
      </c>
      <c r="B1194" s="1" t="n">
        <v>45252</v>
      </c>
      <c r="C1194" s="1" t="n">
        <v>45349</v>
      </c>
      <c r="D1194" t="inlineStr">
        <is>
          <t>GÄVLEBORGS LÄN</t>
        </is>
      </c>
      <c r="E1194" t="inlineStr">
        <is>
          <t>BOLLNÄS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58952-2023</t>
        </is>
      </c>
      <c r="B1195" s="1" t="n">
        <v>45252</v>
      </c>
      <c r="C1195" s="1" t="n">
        <v>45349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59744-2023</t>
        </is>
      </c>
      <c r="B1196" s="1" t="n">
        <v>45257</v>
      </c>
      <c r="C1196" s="1" t="n">
        <v>45349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59740-2023</t>
        </is>
      </c>
      <c r="B1197" s="1" t="n">
        <v>45257</v>
      </c>
      <c r="C1197" s="1" t="n">
        <v>45349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59950-2023</t>
        </is>
      </c>
      <c r="B1198" s="1" t="n">
        <v>45257</v>
      </c>
      <c r="C1198" s="1" t="n">
        <v>45349</v>
      </c>
      <c r="D1198" t="inlineStr">
        <is>
          <t>GÄVLEBORGS LÄN</t>
        </is>
      </c>
      <c r="E1198" t="inlineStr">
        <is>
          <t>BOLLNÄS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60090-2023</t>
        </is>
      </c>
      <c r="B1199" s="1" t="n">
        <v>45258</v>
      </c>
      <c r="C1199" s="1" t="n">
        <v>45349</v>
      </c>
      <c r="D1199" t="inlineStr">
        <is>
          <t>GÄVLEBORGS LÄN</t>
        </is>
      </c>
      <c r="E1199" t="inlineStr">
        <is>
          <t>BOLLNÄS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60476-2023</t>
        </is>
      </c>
      <c r="B1200" s="1" t="n">
        <v>45258</v>
      </c>
      <c r="C1200" s="1" t="n">
        <v>45349</v>
      </c>
      <c r="D1200" t="inlineStr">
        <is>
          <t>GÄVLEBORGS LÄN</t>
        </is>
      </c>
      <c r="E1200" t="inlineStr">
        <is>
          <t>BOLLNÄS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60491-2023</t>
        </is>
      </c>
      <c r="B1201" s="1" t="n">
        <v>45258</v>
      </c>
      <c r="C1201" s="1" t="n">
        <v>45349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60490-2023</t>
        </is>
      </c>
      <c r="B1202" s="1" t="n">
        <v>45258</v>
      </c>
      <c r="C1202" s="1" t="n">
        <v>45349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60495-2023</t>
        </is>
      </c>
      <c r="B1203" s="1" t="n">
        <v>45258</v>
      </c>
      <c r="C1203" s="1" t="n">
        <v>45349</v>
      </c>
      <c r="D1203" t="inlineStr">
        <is>
          <t>GÄVLEBORGS LÄN</t>
        </is>
      </c>
      <c r="E1203" t="inlineStr">
        <is>
          <t>BOLLNÄS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60452-2023</t>
        </is>
      </c>
      <c r="B1204" s="1" t="n">
        <v>45259</v>
      </c>
      <c r="C1204" s="1" t="n">
        <v>45349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60454-2023</t>
        </is>
      </c>
      <c r="B1205" s="1" t="n">
        <v>45259</v>
      </c>
      <c r="C1205" s="1" t="n">
        <v>45349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60449-2023</t>
        </is>
      </c>
      <c r="B1206" s="1" t="n">
        <v>45259</v>
      </c>
      <c r="C1206" s="1" t="n">
        <v>45349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61065-2023</t>
        </is>
      </c>
      <c r="B1207" s="1" t="n">
        <v>45261</v>
      </c>
      <c r="C1207" s="1" t="n">
        <v>45349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61060-2023</t>
        </is>
      </c>
      <c r="B1208" s="1" t="n">
        <v>45261</v>
      </c>
      <c r="C1208" s="1" t="n">
        <v>45349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61098-2023</t>
        </is>
      </c>
      <c r="B1209" s="1" t="n">
        <v>45261</v>
      </c>
      <c r="C1209" s="1" t="n">
        <v>45349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61215-2023</t>
        </is>
      </c>
      <c r="B1210" s="1" t="n">
        <v>45264</v>
      </c>
      <c r="C1210" s="1" t="n">
        <v>45349</v>
      </c>
      <c r="D1210" t="inlineStr">
        <is>
          <t>GÄVLEBORGS LÄN</t>
        </is>
      </c>
      <c r="E1210" t="inlineStr">
        <is>
          <t>BOLLNÄS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61399-2023</t>
        </is>
      </c>
      <c r="B1211" s="1" t="n">
        <v>45264</v>
      </c>
      <c r="C1211" s="1" t="n">
        <v>45349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61711-2023</t>
        </is>
      </c>
      <c r="B1212" s="1" t="n">
        <v>45265</v>
      </c>
      <c r="C1212" s="1" t="n">
        <v>45349</v>
      </c>
      <c r="D1212" t="inlineStr">
        <is>
          <t>GÄVLEBORGS LÄN</t>
        </is>
      </c>
      <c r="E1212" t="inlineStr">
        <is>
          <t>BOLLNÄS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61968-2023</t>
        </is>
      </c>
      <c r="B1213" s="1" t="n">
        <v>45266</v>
      </c>
      <c r="C1213" s="1" t="n">
        <v>45349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61979-2023</t>
        </is>
      </c>
      <c r="B1214" s="1" t="n">
        <v>45266</v>
      </c>
      <c r="C1214" s="1" t="n">
        <v>45349</v>
      </c>
      <c r="D1214" t="inlineStr">
        <is>
          <t>GÄVLEBORGS LÄN</t>
        </is>
      </c>
      <c r="E1214" t="inlineStr">
        <is>
          <t>BOLLNÄS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62438-2023</t>
        </is>
      </c>
      <c r="B1215" s="1" t="n">
        <v>45268</v>
      </c>
      <c r="C1215" s="1" t="n">
        <v>45349</v>
      </c>
      <c r="D1215" t="inlineStr">
        <is>
          <t>GÄVLEBORGS LÄN</t>
        </is>
      </c>
      <c r="E1215" t="inlineStr">
        <is>
          <t>BOLLNÄS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62469-2023</t>
        </is>
      </c>
      <c r="B1216" s="1" t="n">
        <v>45268</v>
      </c>
      <c r="C1216" s="1" t="n">
        <v>45349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62433-2023</t>
        </is>
      </c>
      <c r="B1217" s="1" t="n">
        <v>45268</v>
      </c>
      <c r="C1217" s="1" t="n">
        <v>45349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62685-2023</t>
        </is>
      </c>
      <c r="B1218" s="1" t="n">
        <v>45271</v>
      </c>
      <c r="C1218" s="1" t="n">
        <v>45349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62946-2023</t>
        </is>
      </c>
      <c r="B1219" s="1" t="n">
        <v>45272</v>
      </c>
      <c r="C1219" s="1" t="n">
        <v>45349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62956-2023</t>
        </is>
      </c>
      <c r="B1220" s="1" t="n">
        <v>45272</v>
      </c>
      <c r="C1220" s="1" t="n">
        <v>45349</v>
      </c>
      <c r="D1220" t="inlineStr">
        <is>
          <t>GÄVLEBORGS LÄN</t>
        </is>
      </c>
      <c r="E1220" t="inlineStr">
        <is>
          <t>BOLLNÄS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62952-2023</t>
        </is>
      </c>
      <c r="B1221" s="1" t="n">
        <v>45272</v>
      </c>
      <c r="C1221" s="1" t="n">
        <v>45349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63220-2023</t>
        </is>
      </c>
      <c r="B1222" s="1" t="n">
        <v>45273</v>
      </c>
      <c r="C1222" s="1" t="n">
        <v>45349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63629-2023</t>
        </is>
      </c>
      <c r="B1223" s="1" t="n">
        <v>45275</v>
      </c>
      <c r="C1223" s="1" t="n">
        <v>45349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63853-2023</t>
        </is>
      </c>
      <c r="B1224" s="1" t="n">
        <v>45278</v>
      </c>
      <c r="C1224" s="1" t="n">
        <v>45349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63865-2023</t>
        </is>
      </c>
      <c r="B1225" s="1" t="n">
        <v>45278</v>
      </c>
      <c r="C1225" s="1" t="n">
        <v>45349</v>
      </c>
      <c r="D1225" t="inlineStr">
        <is>
          <t>GÄVLEBORGS LÄN</t>
        </is>
      </c>
      <c r="E1225" t="inlineStr">
        <is>
          <t>BOLLNÄS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63868-2023</t>
        </is>
      </c>
      <c r="B1226" s="1" t="n">
        <v>45278</v>
      </c>
      <c r="C1226" s="1" t="n">
        <v>45349</v>
      </c>
      <c r="D1226" t="inlineStr">
        <is>
          <t>GÄVLEBORGS LÄN</t>
        </is>
      </c>
      <c r="E1226" t="inlineStr">
        <is>
          <t>BOLLNÄS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63862-2023</t>
        </is>
      </c>
      <c r="B1227" s="1" t="n">
        <v>45278</v>
      </c>
      <c r="C1227" s="1" t="n">
        <v>45349</v>
      </c>
      <c r="D1227" t="inlineStr">
        <is>
          <t>GÄVLEBORGS LÄN</t>
        </is>
      </c>
      <c r="E1227" t="inlineStr">
        <is>
          <t>BOLLNÄS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64422-2023</t>
        </is>
      </c>
      <c r="B1228" s="1" t="n">
        <v>45280</v>
      </c>
      <c r="C1228" s="1" t="n">
        <v>45349</v>
      </c>
      <c r="D1228" t="inlineStr">
        <is>
          <t>GÄVLEBORGS LÄN</t>
        </is>
      </c>
      <c r="E1228" t="inlineStr">
        <is>
          <t>BOLLNÄS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65166-2023</t>
        </is>
      </c>
      <c r="B1229" s="1" t="n">
        <v>45288</v>
      </c>
      <c r="C1229" s="1" t="n">
        <v>45349</v>
      </c>
      <c r="D1229" t="inlineStr">
        <is>
          <t>GÄVLEBORGS LÄN</t>
        </is>
      </c>
      <c r="E1229" t="inlineStr">
        <is>
          <t>BOLLNÄS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65189-2023</t>
        </is>
      </c>
      <c r="B1230" s="1" t="n">
        <v>45289</v>
      </c>
      <c r="C1230" s="1" t="n">
        <v>45349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289-2024</t>
        </is>
      </c>
      <c r="B1231" s="1" t="n">
        <v>45295</v>
      </c>
      <c r="C1231" s="1" t="n">
        <v>45349</v>
      </c>
      <c r="D1231" t="inlineStr">
        <is>
          <t>GÄVLEBORGS LÄN</t>
        </is>
      </c>
      <c r="E1231" t="inlineStr">
        <is>
          <t>BOLLNÄS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383-2024</t>
        </is>
      </c>
      <c r="B1232" s="1" t="n">
        <v>45296</v>
      </c>
      <c r="C1232" s="1" t="n">
        <v>45349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433-2024</t>
        </is>
      </c>
      <c r="B1233" s="1" t="n">
        <v>45296</v>
      </c>
      <c r="C1233" s="1" t="n">
        <v>45349</v>
      </c>
      <c r="D1233" t="inlineStr">
        <is>
          <t>GÄVLEBORGS LÄN</t>
        </is>
      </c>
      <c r="E1233" t="inlineStr">
        <is>
          <t>BOLLNÄS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430-2024</t>
        </is>
      </c>
      <c r="B1234" s="1" t="n">
        <v>45296</v>
      </c>
      <c r="C1234" s="1" t="n">
        <v>45349</v>
      </c>
      <c r="D1234" t="inlineStr">
        <is>
          <t>GÄVLEBORGS LÄN</t>
        </is>
      </c>
      <c r="E1234" t="inlineStr">
        <is>
          <t>BOLLNÄS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549-2024</t>
        </is>
      </c>
      <c r="B1235" s="1" t="n">
        <v>45299</v>
      </c>
      <c r="C1235" s="1" t="n">
        <v>45349</v>
      </c>
      <c r="D1235" t="inlineStr">
        <is>
          <t>GÄVLEBORGS LÄN</t>
        </is>
      </c>
      <c r="E1235" t="inlineStr">
        <is>
          <t>BOLLNÄS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521-2024</t>
        </is>
      </c>
      <c r="B1236" s="1" t="n">
        <v>45299</v>
      </c>
      <c r="C1236" s="1" t="n">
        <v>45349</v>
      </c>
      <c r="D1236" t="inlineStr">
        <is>
          <t>GÄVLEBORGS LÄN</t>
        </is>
      </c>
      <c r="E1236" t="inlineStr">
        <is>
          <t>BOLLNÄS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1183-2024</t>
        </is>
      </c>
      <c r="B1237" s="1" t="n">
        <v>45302</v>
      </c>
      <c r="C1237" s="1" t="n">
        <v>45349</v>
      </c>
      <c r="D1237" t="inlineStr">
        <is>
          <t>GÄVLEBORGS LÄN</t>
        </is>
      </c>
      <c r="E1237" t="inlineStr">
        <is>
          <t>BOLLNÄS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1213-2024</t>
        </is>
      </c>
      <c r="B1238" s="1" t="n">
        <v>45302</v>
      </c>
      <c r="C1238" s="1" t="n">
        <v>45349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1283-2024</t>
        </is>
      </c>
      <c r="B1239" s="1" t="n">
        <v>45303</v>
      </c>
      <c r="C1239" s="1" t="n">
        <v>45349</v>
      </c>
      <c r="D1239" t="inlineStr">
        <is>
          <t>GÄVLEBORGS LÄN</t>
        </is>
      </c>
      <c r="E1239" t="inlineStr">
        <is>
          <t>BOLLNÄS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1642-2024</t>
        </is>
      </c>
      <c r="B1240" s="1" t="n">
        <v>45306</v>
      </c>
      <c r="C1240" s="1" t="n">
        <v>45349</v>
      </c>
      <c r="D1240" t="inlineStr">
        <is>
          <t>GÄVLEBORGS LÄN</t>
        </is>
      </c>
      <c r="E1240" t="inlineStr">
        <is>
          <t>BOLLNÄS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1655-2024</t>
        </is>
      </c>
      <c r="B1241" s="1" t="n">
        <v>45306</v>
      </c>
      <c r="C1241" s="1" t="n">
        <v>45349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1759-2024</t>
        </is>
      </c>
      <c r="B1242" s="1" t="n">
        <v>45307</v>
      </c>
      <c r="C1242" s="1" t="n">
        <v>45349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1735-2024</t>
        </is>
      </c>
      <c r="B1243" s="1" t="n">
        <v>45307</v>
      </c>
      <c r="C1243" s="1" t="n">
        <v>45349</v>
      </c>
      <c r="D1243" t="inlineStr">
        <is>
          <t>GÄVLEBORGS LÄN</t>
        </is>
      </c>
      <c r="E1243" t="inlineStr">
        <is>
          <t>BOLLNÄS</t>
        </is>
      </c>
      <c r="G1243" t="n">
        <v>9.9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1728-2024</t>
        </is>
      </c>
      <c r="B1244" s="1" t="n">
        <v>45307</v>
      </c>
      <c r="C1244" s="1" t="n">
        <v>45349</v>
      </c>
      <c r="D1244" t="inlineStr">
        <is>
          <t>GÄVLEBORGS LÄN</t>
        </is>
      </c>
      <c r="E1244" t="inlineStr">
        <is>
          <t>BOLLNÄS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2254-2024</t>
        </is>
      </c>
      <c r="B1245" s="1" t="n">
        <v>45310</v>
      </c>
      <c r="C1245" s="1" t="n">
        <v>45349</v>
      </c>
      <c r="D1245" t="inlineStr">
        <is>
          <t>GÄVLEBORGS LÄN</t>
        </is>
      </c>
      <c r="E1245" t="inlineStr">
        <is>
          <t>BOLLNÄS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2311-2024</t>
        </is>
      </c>
      <c r="B1246" s="1" t="n">
        <v>45310</v>
      </c>
      <c r="C1246" s="1" t="n">
        <v>45349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Övriga statliga verk och myndigheter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2297-2024</t>
        </is>
      </c>
      <c r="B1247" s="1" t="n">
        <v>45310</v>
      </c>
      <c r="C1247" s="1" t="n">
        <v>45349</v>
      </c>
      <c r="D1247" t="inlineStr">
        <is>
          <t>GÄVLEBORGS LÄN</t>
        </is>
      </c>
      <c r="E1247" t="inlineStr">
        <is>
          <t>BOLLNÄS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2348-2024</t>
        </is>
      </c>
      <c r="B1248" s="1" t="n">
        <v>45310</v>
      </c>
      <c r="C1248" s="1" t="n">
        <v>45349</v>
      </c>
      <c r="D1248" t="inlineStr">
        <is>
          <t>GÄVLEBORGS LÄN</t>
        </is>
      </c>
      <c r="E1248" t="inlineStr">
        <is>
          <t>BOLLNÄS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2345-2024</t>
        </is>
      </c>
      <c r="B1249" s="1" t="n">
        <v>45310</v>
      </c>
      <c r="C1249" s="1" t="n">
        <v>45349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2932-2024</t>
        </is>
      </c>
      <c r="B1250" s="1" t="n">
        <v>45315</v>
      </c>
      <c r="C1250" s="1" t="n">
        <v>45349</v>
      </c>
      <c r="D1250" t="inlineStr">
        <is>
          <t>GÄVLEBORGS LÄN</t>
        </is>
      </c>
      <c r="E1250" t="inlineStr">
        <is>
          <t>BOLLNÄS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3424-2024</t>
        </is>
      </c>
      <c r="B1251" s="1" t="n">
        <v>45319</v>
      </c>
      <c r="C1251" s="1" t="n">
        <v>45349</v>
      </c>
      <c r="D1251" t="inlineStr">
        <is>
          <t>GÄVLEBORGS LÄN</t>
        </is>
      </c>
      <c r="E1251" t="inlineStr">
        <is>
          <t>BOLLNÄS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3486-2024</t>
        </is>
      </c>
      <c r="B1252" s="1" t="n">
        <v>45320</v>
      </c>
      <c r="C1252" s="1" t="n">
        <v>45349</v>
      </c>
      <c r="D1252" t="inlineStr">
        <is>
          <t>GÄVLEBORGS LÄN</t>
        </is>
      </c>
      <c r="E1252" t="inlineStr">
        <is>
          <t>BOLLNÄS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3873-2024</t>
        </is>
      </c>
      <c r="B1253" s="1" t="n">
        <v>45322</v>
      </c>
      <c r="C1253" s="1" t="n">
        <v>45349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4517-2024</t>
        </is>
      </c>
      <c r="B1254" s="1" t="n">
        <v>45327</v>
      </c>
      <c r="C1254" s="1" t="n">
        <v>45349</v>
      </c>
      <c r="D1254" t="inlineStr">
        <is>
          <t>GÄVLEBORGS LÄN</t>
        </is>
      </c>
      <c r="E1254" t="inlineStr">
        <is>
          <t>BOLLNÄS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4912-2024</t>
        </is>
      </c>
      <c r="B1255" s="1" t="n">
        <v>45329</v>
      </c>
      <c r="C1255" s="1" t="n">
        <v>45349</v>
      </c>
      <c r="D1255" t="inlineStr">
        <is>
          <t>GÄVLEBORGS LÄN</t>
        </is>
      </c>
      <c r="E1255" t="inlineStr">
        <is>
          <t>BOLLNÄS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5081-2024</t>
        </is>
      </c>
      <c r="B1256" s="1" t="n">
        <v>45330</v>
      </c>
      <c r="C1256" s="1" t="n">
        <v>45349</v>
      </c>
      <c r="D1256" t="inlineStr">
        <is>
          <t>GÄVLEBORGS LÄN</t>
        </is>
      </c>
      <c r="E1256" t="inlineStr">
        <is>
          <t>BOLLNÄS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5388-2024</t>
        </is>
      </c>
      <c r="B1257" s="1" t="n">
        <v>45331</v>
      </c>
      <c r="C1257" s="1" t="n">
        <v>45349</v>
      </c>
      <c r="D1257" t="inlineStr">
        <is>
          <t>GÄVLEBORGS LÄN</t>
        </is>
      </c>
      <c r="E1257" t="inlineStr">
        <is>
          <t>BOLLNÄS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5481-2024</t>
        </is>
      </c>
      <c r="B1258" s="1" t="n">
        <v>45333</v>
      </c>
      <c r="C1258" s="1" t="n">
        <v>45349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5756-2024</t>
        </is>
      </c>
      <c r="B1259" s="1" t="n">
        <v>45335</v>
      </c>
      <c r="C1259" s="1" t="n">
        <v>45349</v>
      </c>
      <c r="D1259" t="inlineStr">
        <is>
          <t>GÄVLEBORGS LÄN</t>
        </is>
      </c>
      <c r="E1259" t="inlineStr">
        <is>
          <t>BOLLNÄS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5838-2024</t>
        </is>
      </c>
      <c r="B1260" s="1" t="n">
        <v>45335</v>
      </c>
      <c r="C1260" s="1" t="n">
        <v>45349</v>
      </c>
      <c r="D1260" t="inlineStr">
        <is>
          <t>GÄVLEBORGS LÄN</t>
        </is>
      </c>
      <c r="E1260" t="inlineStr">
        <is>
          <t>BOLLNÄS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5836-2024</t>
        </is>
      </c>
      <c r="B1261" s="1" t="n">
        <v>45335</v>
      </c>
      <c r="C1261" s="1" t="n">
        <v>45349</v>
      </c>
      <c r="D1261" t="inlineStr">
        <is>
          <t>GÄVLEBORGS LÄN</t>
        </is>
      </c>
      <c r="E1261" t="inlineStr">
        <is>
          <t>BOLLNÄS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6191-2024</t>
        </is>
      </c>
      <c r="B1262" s="1" t="n">
        <v>45337</v>
      </c>
      <c r="C1262" s="1" t="n">
        <v>45349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6752-2024</t>
        </is>
      </c>
      <c r="B1263" s="1" t="n">
        <v>45342</v>
      </c>
      <c r="C1263" s="1" t="n">
        <v>45349</v>
      </c>
      <c r="D1263" t="inlineStr">
        <is>
          <t>GÄVLEBORGS LÄN</t>
        </is>
      </c>
      <c r="E1263" t="inlineStr">
        <is>
          <t>BOLLNÄS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6755-2024</t>
        </is>
      </c>
      <c r="B1264" s="1" t="n">
        <v>45342</v>
      </c>
      <c r="C1264" s="1" t="n">
        <v>45349</v>
      </c>
      <c r="D1264" t="inlineStr">
        <is>
          <t>GÄVLEBORGS LÄN</t>
        </is>
      </c>
      <c r="E1264" t="inlineStr">
        <is>
          <t>BOLLNÄS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7560-2024</t>
        </is>
      </c>
      <c r="B1265" s="1" t="n">
        <v>45348</v>
      </c>
      <c r="C1265" s="1" t="n">
        <v>45349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7580-2024</t>
        </is>
      </c>
      <c r="B1266" s="1" t="n">
        <v>45348</v>
      </c>
      <c r="C1266" s="1" t="n">
        <v>45349</v>
      </c>
      <c r="D1266" t="inlineStr">
        <is>
          <t>GÄVLEBORGS LÄN</t>
        </is>
      </c>
      <c r="E1266" t="inlineStr">
        <is>
          <t>BOLLNÄS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>
      <c r="A1267" t="inlineStr">
        <is>
          <t>A 7614-2024</t>
        </is>
      </c>
      <c r="B1267" s="1" t="n">
        <v>45348</v>
      </c>
      <c r="C1267" s="1" t="n">
        <v>45349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Kommuner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2024-02-27T13:10:03Z</dcterms:created>
  <dcterms:modified xmlns:dcterms="http://purl.org/dc/terms/" xmlns:xsi="http://www.w3.org/2001/XMLSchema-instance" xsi:type="dcterms:W3CDTF">2024-02-27T13:10:04Z</dcterms:modified>
</cp:coreProperties>
</file>