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46256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46256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46256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46256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46256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46256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46256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46256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46256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46256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46256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46256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46256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46256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46256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46256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46256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46256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46256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46256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46256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46256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46256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46256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46256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46256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46256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46256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46256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46256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46256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46256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46256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46256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46256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8200-2026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46256</v>
      </c>
      <c r="F37" t="inlineStr">
        <is>
          <t>GÄVLEBORGS LÄN</t>
        </is>
      </c>
      <c r="G37" t="inlineStr">
        <is>
          <t>BOLLNÄS</t>
        </is>
      </c>
      <c r="I37" t="n">
        <v>28.4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Nordfladdermus</t>
        </is>
      </c>
      <c r="W37">
        <f>HYPERLINK("https://klasma.github.io/Logging_2183/artfynd/A 8200-2026 artfynd.xlsx", "A 8200-2026")</f>
        <v/>
      </c>
      <c r="X37">
        <f>HYPERLINK("https://klasma.github.io/Logging_2183/kartor/A 8200-2026 karta.png", "A 8200-2026")</f>
        <v/>
      </c>
      <c r="Y37">
        <f>HYPERLINK("https://klasma.github.io/Logging_2183/kartor_geotiff/A 8200-2026 georefererad karta.tif", "A 8200-2026")</f>
        <v/>
      </c>
      <c r="AA37">
        <f>HYPERLINK("https://klasma.github.io/Logging_2183/klagomål/A 8200-2026 FSC-klagomål.docx", "A 8200-2026")</f>
        <v/>
      </c>
      <c r="AB37">
        <f>HYPERLINK("https://klasma.github.io/Logging_2183/klagomålsmail/A 8200-2026 FSC-klagomål mail.docx", "A 8200-2026")</f>
        <v/>
      </c>
      <c r="AC37">
        <f>HYPERLINK("https://klasma.github.io/Logging_2183/tillsyn/A 8200-2026 tillsynsbegäran.docx", "A 8200-2026")</f>
        <v/>
      </c>
      <c r="AD37">
        <f>HYPERLINK("https://klasma.github.io/Logging_2183/tillsynsmail/A 8200-2026 tillsynsbegäran mail.docx", "A 8200-2026")</f>
        <v/>
      </c>
    </row>
    <row r="38" ht="15" customHeight="1">
      <c r="A38" t="inlineStr">
        <is>
          <t>A 16124-2026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46108</v>
      </c>
      <c r="E38" s="1" t="n">
        <v>46256</v>
      </c>
      <c r="F38" t="inlineStr">
        <is>
          <t>GÄVLEBORGS LÄN</t>
        </is>
      </c>
      <c r="G38" t="inlineStr">
        <is>
          <t>BOLLNÄS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Tallgråticka</t>
        </is>
      </c>
      <c r="W38">
        <f>HYPERLINK("https://klasma.github.io/Logging_2183/artfynd/A 16124-2026 artfynd.xlsx", "A 16124-2026")</f>
        <v/>
      </c>
      <c r="X38">
        <f>HYPERLINK("https://klasma.github.io/Logging_2183/kartor/A 16124-2026 karta.png", "A 16124-2026")</f>
        <v/>
      </c>
      <c r="Y38">
        <f>HYPERLINK("https://klasma.github.io/Logging_2183/kartor_geotiff/A 16124-2026 georefererad karta.tif", "A 16124-2026")</f>
        <v/>
      </c>
      <c r="AA38">
        <f>HYPERLINK("https://klasma.github.io/Logging_2183/klagomål/A 16124-2026 FSC-klagomål.docx", "A 16124-2026")</f>
        <v/>
      </c>
      <c r="AB38">
        <f>HYPERLINK("https://klasma.github.io/Logging_2183/klagomålsmail/A 16124-2026 FSC-klagomål mail.docx", "A 16124-2026")</f>
        <v/>
      </c>
      <c r="AC38">
        <f>HYPERLINK("https://klasma.github.io/Logging_2183/tillsyn/A 16124-2026 tillsynsbegäran.docx", "A 16124-2026")</f>
        <v/>
      </c>
      <c r="AD38">
        <f>HYPERLINK("https://klasma.github.io/Logging_2183/tillsynsmail/A 16124-2026 tillsynsbegäran mail.docx", "A 16124-2026")</f>
        <v/>
      </c>
    </row>
    <row r="39" ht="15" customHeight="1">
      <c r="A39" t="inlineStr">
        <is>
          <t>A 12815-2025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46256</v>
      </c>
      <c r="F39" t="inlineStr">
        <is>
          <t>GÄVLEBORGS LÄN</t>
        </is>
      </c>
      <c r="G39" t="inlineStr">
        <is>
          <t>BOLLNÄS</t>
        </is>
      </c>
      <c r="I39" t="n">
        <v>2.9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HYPERLINK("https://klasma.github.io/Logging_2183/artfynd/A 12815-2025 artfynd.xlsx", "A 12815-2025")</f>
        <v/>
      </c>
      <c r="X39">
        <f>HYPERLINK("https://klasma.github.io/Logging_2183/kartor/A 12815-2025 karta.png", "A 12815-2025")</f>
        <v/>
      </c>
      <c r="Y39">
        <f>HYPERLINK("https://klasma.github.io/Logging_2183/kartor_geotiff/A 12815-2025 georefererad karta.tif", "A 12815-2025")</f>
        <v/>
      </c>
      <c r="AA39">
        <f>HYPERLINK("https://klasma.github.io/Logging_2183/klagomål/A 12815-2025 FSC-klagomål.docx", "A 12815-2025")</f>
        <v/>
      </c>
      <c r="AB39">
        <f>HYPERLINK("https://klasma.github.io/Logging_2183/klagomålsmail/A 12815-2025 FSC-klagomål mail.docx", "A 12815-2025")</f>
        <v/>
      </c>
      <c r="AC39">
        <f>HYPERLINK("https://klasma.github.io/Logging_2183/tillsyn/A 12815-2025 tillsynsbegäran.docx", "A 12815-2025")</f>
        <v/>
      </c>
      <c r="AD39">
        <f>HYPERLINK("https://klasma.github.io/Logging_2183/tillsynsmail/A 12815-2025 tillsynsbegäran mail.docx", "A 12815-2025")</f>
        <v/>
      </c>
    </row>
    <row r="40" ht="15" customHeight="1">
      <c r="A40" t="inlineStr">
        <is>
          <t>A 12817-2025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46256</v>
      </c>
      <c r="F40" t="inlineStr">
        <is>
          <t>GÄVLEBORGS LÄN</t>
        </is>
      </c>
      <c r="G40" t="inlineStr">
        <is>
          <t>BOLLNÄS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HYPERLINK("https://klasma.github.io/Logging_2183/artfynd/A 12817-2025 artfynd.xlsx", "A 12817-2025")</f>
        <v/>
      </c>
      <c r="X40">
        <f>HYPERLINK("https://klasma.github.io/Logging_2183/kartor/A 12817-2025 karta.png", "A 12817-2025")</f>
        <v/>
      </c>
      <c r="Y40">
        <f>HYPERLINK("https://klasma.github.io/Logging_2183/kartor_geotiff/A 12817-2025 georefererad karta.tif", "A 12817-2025")</f>
        <v/>
      </c>
      <c r="AA40">
        <f>HYPERLINK("https://klasma.github.io/Logging_2183/klagomål/A 12817-2025 FSC-klagomål.docx", "A 12817-2025")</f>
        <v/>
      </c>
      <c r="AB40">
        <f>HYPERLINK("https://klasma.github.io/Logging_2183/klagomålsmail/A 12817-2025 FSC-klagomål mail.docx", "A 12817-2025")</f>
        <v/>
      </c>
      <c r="AC40">
        <f>HYPERLINK("https://klasma.github.io/Logging_2183/tillsyn/A 12817-2025 tillsynsbegäran.docx", "A 12817-2025")</f>
        <v/>
      </c>
      <c r="AD40">
        <f>HYPERLINK("https://klasma.github.io/Logging_2183/tillsynsmail/A 12817-2025 tillsynsbegäran mail.docx", "A 12817-2025")</f>
        <v/>
      </c>
    </row>
    <row r="41" ht="15" customHeight="1">
      <c r="A41" t="inlineStr">
        <is>
          <t>A 10894-2026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46256</v>
      </c>
      <c r="F41" t="inlineStr">
        <is>
          <t>GÄVLEBORGS LÄN</t>
        </is>
      </c>
      <c r="G41" t="inlineStr">
        <is>
          <t>BOLLNÄS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HYPERLINK("https://klasma.github.io/Logging_2183/artfynd/A 10894-2026 artfynd.xlsx", "A 10894-2026")</f>
        <v/>
      </c>
      <c r="X41">
        <f>HYPERLINK("https://klasma.github.io/Logging_2183/kartor/A 10894-2026 karta.png", "A 10894-2026")</f>
        <v/>
      </c>
      <c r="Y41">
        <f>HYPERLINK("https://klasma.github.io/Logging_2183/kartor_geotiff/A 10894-2026 georefererad karta.tif", "A 10894-2026")</f>
        <v/>
      </c>
      <c r="AA41">
        <f>HYPERLINK("https://klasma.github.io/Logging_2183/klagomål/A 10894-2026 FSC-klagomål.docx", "A 10894-2026")</f>
        <v/>
      </c>
      <c r="AB41">
        <f>HYPERLINK("https://klasma.github.io/Logging_2183/klagomålsmail/A 10894-2026 FSC-klagomål mail.docx", "A 10894-2026")</f>
        <v/>
      </c>
      <c r="AC41">
        <f>HYPERLINK("https://klasma.github.io/Logging_2183/tillsyn/A 10894-2026 tillsynsbegäran.docx", "A 10894-2026")</f>
        <v/>
      </c>
      <c r="AD41">
        <f>HYPERLINK("https://klasma.github.io/Logging_2183/tillsynsmail/A 10894-2026 tillsynsbegäran mail.docx", "A 10894-2026")</f>
        <v/>
      </c>
    </row>
    <row r="42" ht="15" customHeight="1">
      <c r="A42" t="inlineStr">
        <is>
          <t>A 38529-2022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44813</v>
      </c>
      <c r="E42" s="1" t="n">
        <v>46256</v>
      </c>
      <c r="F42" t="inlineStr">
        <is>
          <t>GÄVLEBORGS LÄN</t>
        </is>
      </c>
      <c r="G42" t="inlineStr">
        <is>
          <t>BOLLNÄS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Skrovlig taggsvamp</t>
        </is>
      </c>
      <c r="W42">
        <f>HYPERLINK("https://klasma.github.io/Logging_2183/artfynd/A 38529-2022 artfynd.xlsx", "A 38529-2022")</f>
        <v/>
      </c>
      <c r="X42">
        <f>HYPERLINK("https://klasma.github.io/Logging_2183/kartor/A 38529-2022 karta.png", "A 38529-2022")</f>
        <v/>
      </c>
      <c r="Y42">
        <f>HYPERLINK("https://klasma.github.io/Logging_2183/kartor_geotiff/A 38529-2022 georefererad karta.tif", "A 38529-2022")</f>
        <v/>
      </c>
      <c r="AA42">
        <f>HYPERLINK("https://klasma.github.io/Logging_2183/klagomål/A 38529-2022 FSC-klagomål.docx", "A 38529-2022")</f>
        <v/>
      </c>
      <c r="AB42">
        <f>HYPERLINK("https://klasma.github.io/Logging_2183/klagomålsmail/A 38529-2022 FSC-klagomål mail.docx", "A 38529-2022")</f>
        <v/>
      </c>
      <c r="AC42">
        <f>HYPERLINK("https://klasma.github.io/Logging_2183/tillsyn/A 38529-2022 tillsynsbegäran.docx", "A 38529-2022")</f>
        <v/>
      </c>
      <c r="AD42">
        <f>HYPERLINK("https://klasma.github.io/Logging_2183/tillsynsmail/A 38529-2022 tillsynsbegäran mail.docx", "A 38529-2022")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46256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46256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33032-2026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46244</v>
      </c>
      <c r="E45" s="1" t="n">
        <v>46256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4</v>
      </c>
      <c r="U45" t="n">
        <v>3</v>
      </c>
      <c r="V45" s="2" t="inlineStr">
        <is>
          <t>Lunglav</t>
        </is>
      </c>
      <c r="W45">
        <f>HYPERLINK("https://klasma.github.io/Logging_2183/artfynd/A 33032-2026 artfynd.xlsx", "A 33032-2026")</f>
        <v/>
      </c>
      <c r="X45">
        <f>HYPERLINK("https://klasma.github.io/Logging_2183/kartor/A 33032-2026 karta.png", "A 33032-2026")</f>
        <v/>
      </c>
      <c r="Y45">
        <f>HYPERLINK("https://klasma.github.io/Logging_2183/kartor_geotiff/A 33032-2026 georefererad karta.tif", "A 33032-2026")</f>
        <v/>
      </c>
      <c r="AA45">
        <f>HYPERLINK("https://klasma.github.io/Logging_2183/klagomål/A 33032-2026 FSC-klagomål.docx", "A 33032-2026")</f>
        <v/>
      </c>
      <c r="AB45">
        <f>HYPERLINK("https://klasma.github.io/Logging_2183/klagomålsmail/A 33032-2026 FSC-klagomål mail.docx", "A 33032-2026")</f>
        <v/>
      </c>
      <c r="AC45">
        <f>HYPERLINK("https://klasma.github.io/Logging_2183/tillsyn/A 33032-2026 tillsynsbegäran.docx", "A 33032-2026")</f>
        <v/>
      </c>
      <c r="AD45">
        <f>HYPERLINK("https://klasma.github.io/Logging_2183/tillsynsmail/A 33032-2026 tillsynsbegäran mail.docx", "A 33032-2026")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46256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3090-2026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46040</v>
      </c>
      <c r="E47" s="1" t="n">
        <v>46256</v>
      </c>
      <c r="F47" t="inlineStr">
        <is>
          <t>GÄVLEBORGS LÄN</t>
        </is>
      </c>
      <c r="G47" t="inlineStr">
        <is>
          <t>BOLLNÄS</t>
        </is>
      </c>
      <c r="I47" t="n">
        <v>11.8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HYPERLINK("https://klasma.github.io/Logging_2183/artfynd/A 3090-2026 artfynd.xlsx", "A 3090-2026")</f>
        <v/>
      </c>
      <c r="X47">
        <f>HYPERLINK("https://klasma.github.io/Logging_2183/kartor/A 3090-2026 karta.png", "A 3090-2026")</f>
        <v/>
      </c>
      <c r="Y47">
        <f>HYPERLINK("https://klasma.github.io/Logging_2183/kartor_geotiff/A 3090-2026 georefererad karta.tif", "A 3090-2026")</f>
        <v/>
      </c>
      <c r="AA47">
        <f>HYPERLINK("https://klasma.github.io/Logging_2183/klagomål/A 3090-2026 FSC-klagomål.docx", "A 3090-2026")</f>
        <v/>
      </c>
      <c r="AB47">
        <f>HYPERLINK("https://klasma.github.io/Logging_2183/klagomålsmail/A 3090-2026 FSC-klagomål mail.docx", "A 3090-2026")</f>
        <v/>
      </c>
      <c r="AC47">
        <f>HYPERLINK("https://klasma.github.io/Logging_2183/tillsyn/A 3090-2026 tillsynsbegäran.docx", "A 3090-2026")</f>
        <v/>
      </c>
      <c r="AD47">
        <f>HYPERLINK("https://klasma.github.io/Logging_2183/tillsynsmail/A 3090-2026 tillsynsbegäran mail.docx", "A 3090-2026")</f>
        <v/>
      </c>
      <c r="AE47">
        <f>HYPERLINK("https://klasma.github.io/Logging_2183/fåglar/A 3090-2026 prioriterade fågelarter.docx", "A 3090-2026")</f>
        <v/>
      </c>
    </row>
    <row r="48" ht="15" customHeight="1">
      <c r="A48" t="inlineStr">
        <is>
          <t>A 14979-2026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46256</v>
      </c>
      <c r="F48" t="inlineStr">
        <is>
          <t>GÄVLEBORGS LÄN</t>
        </is>
      </c>
      <c r="G48" t="inlineStr">
        <is>
          <t>BOLLNÄS</t>
        </is>
      </c>
      <c r="I48" t="n">
        <v>25.1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HYPERLINK("https://klasma.github.io/Logging_2183/artfynd/A 14979-2026 artfynd.xlsx", "A 14979-2026")</f>
        <v/>
      </c>
      <c r="X48">
        <f>HYPERLINK("https://klasma.github.io/Logging_2183/kartor/A 14979-2026 karta.png", "A 14979-2026")</f>
        <v/>
      </c>
      <c r="Y48">
        <f>HYPERLINK("https://klasma.github.io/Logging_2183/kartor_geotiff/A 14979-2026 georefererad karta.tif", "A 14979-2026")</f>
        <v/>
      </c>
      <c r="AA48">
        <f>HYPERLINK("https://klasma.github.io/Logging_2183/klagomål/A 14979-2026 FSC-klagomål.docx", "A 14979-2026")</f>
        <v/>
      </c>
      <c r="AB48">
        <f>HYPERLINK("https://klasma.github.io/Logging_2183/klagomålsmail/A 14979-2026 FSC-klagomål mail.docx", "A 14979-2026")</f>
        <v/>
      </c>
      <c r="AC48">
        <f>HYPERLINK("https://klasma.github.io/Logging_2183/tillsyn/A 14979-2026 tillsynsbegäran.docx", "A 14979-2026")</f>
        <v/>
      </c>
      <c r="AD48">
        <f>HYPERLINK("https://klasma.github.io/Logging_2183/tillsynsmail/A 14979-2026 tillsynsbegäran mail.docx", "A 14979-2026")</f>
        <v/>
      </c>
    </row>
    <row r="49" ht="15" customHeight="1">
      <c r="A49" t="inlineStr">
        <is>
          <t>A 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46029</v>
      </c>
      <c r="E49" s="1" t="n">
        <v>46256</v>
      </c>
      <c r="F49" t="inlineStr">
        <is>
          <t>GÄVLEBORGS LÄN</t>
        </is>
      </c>
      <c r="G49" t="inlineStr">
        <is>
          <t>BOLLNÄS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Slaguggla</t>
        </is>
      </c>
      <c r="W49">
        <f>HYPERLINK("https://klasma.github.io/Logging_2183/artfynd/A 510-2026 artfynd.xlsx", "A 510-2026")</f>
        <v/>
      </c>
      <c r="X49">
        <f>HYPERLINK("https://klasma.github.io/Logging_2183/kartor/A 510-2026 karta.png", "A 510-2026")</f>
        <v/>
      </c>
      <c r="Y49">
        <f>HYPERLINK("https://klasma.github.io/Logging_2183/kartor_geotiff/A 510-2026 georefererad karta.tif", "A 510-2026")</f>
        <v/>
      </c>
      <c r="AA49">
        <f>HYPERLINK("https://klasma.github.io/Logging_2183/klagomål/A 510-2026 FSC-klagomål.docx", "A 510-2026")</f>
        <v/>
      </c>
      <c r="AB49">
        <f>HYPERLINK("https://klasma.github.io/Logging_2183/klagomålsmail/A 510-2026 FSC-klagomål mail.docx", "A 510-2026")</f>
        <v/>
      </c>
      <c r="AC49">
        <f>HYPERLINK("https://klasma.github.io/Logging_2183/tillsyn/A 510-2026 tillsynsbegäran.docx", "A 510-2026")</f>
        <v/>
      </c>
      <c r="AD49">
        <f>HYPERLINK("https://klasma.github.io/Logging_2183/tillsynsmail/A 510-2026 tillsynsbegäran mail.docx", "A 510-2026")</f>
        <v/>
      </c>
      <c r="AE49">
        <f>HYPERLINK("https://klasma.github.io/Logging_2183/fåglar/A 510-2026 prioriterade fågelarter.docx", "A 510-2026")</f>
        <v/>
      </c>
    </row>
    <row r="50" ht="15" customHeight="1">
      <c r="A50" t="inlineStr">
        <is>
          <t>A 13034-2026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46093</v>
      </c>
      <c r="E50" s="1" t="n">
        <v>46256</v>
      </c>
      <c r="F50" t="inlineStr">
        <is>
          <t>GÄVLEBORGS LÄN</t>
        </is>
      </c>
      <c r="G50" t="inlineStr">
        <is>
          <t>BOLLNÄS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Skogsfru</t>
        </is>
      </c>
      <c r="W50">
        <f>HYPERLINK("https://klasma.github.io/Logging_2183/artfynd/A 13034-2026 artfynd.xlsx", "A 13034-2026")</f>
        <v/>
      </c>
      <c r="X50">
        <f>HYPERLINK("https://klasma.github.io/Logging_2183/kartor/A 13034-2026 karta.png", "A 13034-2026")</f>
        <v/>
      </c>
      <c r="Y50">
        <f>HYPERLINK("https://klasma.github.io/Logging_2183/kartor_geotiff/A 13034-2026 georefererad karta.tif", "A 13034-2026")</f>
        <v/>
      </c>
      <c r="AA50">
        <f>HYPERLINK("https://klasma.github.io/Logging_2183/klagomål/A 13034-2026 FSC-klagomål.docx", "A 13034-2026")</f>
        <v/>
      </c>
      <c r="AB50">
        <f>HYPERLINK("https://klasma.github.io/Logging_2183/klagomålsmail/A 13034-2026 FSC-klagomål mail.docx", "A 13034-2026")</f>
        <v/>
      </c>
      <c r="AC50">
        <f>HYPERLINK("https://klasma.github.io/Logging_2183/tillsyn/A 13034-2026 tillsynsbegäran.docx", "A 13034-2026")</f>
        <v/>
      </c>
      <c r="AD50">
        <f>HYPERLINK("https://klasma.github.io/Logging_2183/tillsynsmail/A 13034-2026 tillsynsbegäran mail.docx", "A 13034-2026")</f>
        <v/>
      </c>
    </row>
    <row r="51" ht="15" customHeight="1">
      <c r="A51" t="inlineStr">
        <is>
          <t>A 41663-2025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45902</v>
      </c>
      <c r="E51" s="1" t="n">
        <v>46256</v>
      </c>
      <c r="F51" t="inlineStr">
        <is>
          <t>GÄVLEBORGS LÄN</t>
        </is>
      </c>
      <c r="G51" t="inlineStr">
        <is>
          <t>BOLLNÄS</t>
        </is>
      </c>
      <c r="I51" t="n">
        <v>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41663-2025 artfynd.xlsx", "A 41663-2025")</f>
        <v/>
      </c>
      <c r="X51">
        <f>HYPERLINK("https://klasma.github.io/Logging_2183/kartor/A 41663-2025 karta.png", "A 41663-2025")</f>
        <v/>
      </c>
      <c r="Y51">
        <f>HYPERLINK("https://klasma.github.io/Logging_2183/kartor_geotiff/A 41663-2025 georefererad karta.tif", "A 41663-2025")</f>
        <v/>
      </c>
      <c r="AA51">
        <f>HYPERLINK("https://klasma.github.io/Logging_2183/klagomål/A 41663-2025 FSC-klagomål.docx", "A 41663-2025")</f>
        <v/>
      </c>
      <c r="AB51">
        <f>HYPERLINK("https://klasma.github.io/Logging_2183/klagomålsmail/A 41663-2025 FSC-klagomål mail.docx", "A 41663-2025")</f>
        <v/>
      </c>
      <c r="AC51">
        <f>HYPERLINK("https://klasma.github.io/Logging_2183/tillsyn/A 41663-2025 tillsynsbegäran.docx", "A 41663-2025")</f>
        <v/>
      </c>
      <c r="AD51">
        <f>HYPERLINK("https://klasma.github.io/Logging_2183/tillsynsmail/A 41663-2025 tillsynsbegäran mail.docx", "A 41663-2025")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46256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46256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46256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46256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46256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46256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46256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46256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46256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46256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46256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46256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46256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46256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46256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46256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46256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46256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46256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46256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46256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46256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46256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46256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46256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46256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46256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46256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46256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46256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46256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46256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46256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46256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46256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46256</v>
      </c>
      <c r="F87" t="inlineStr">
        <is>
          <t>GÄVLEBORGS LÄN</t>
        </is>
      </c>
      <c r="G87" t="inlineStr">
        <is>
          <t>BOLLNÄS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46256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46256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46256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46256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46256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46256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46256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46256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46256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46256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46256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46256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46256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46256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46256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46256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46256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46256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46256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46256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46256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46256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46256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46256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46256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46256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46256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46256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46256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46256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46256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46256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46256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46256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46256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46256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46256</v>
      </c>
      <c r="F124" t="inlineStr">
        <is>
          <t>GÄVLEBORGS LÄN</t>
        </is>
      </c>
      <c r="G124" t="inlineStr">
        <is>
          <t>BOLLNÄS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44151-2022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44839</v>
      </c>
      <c r="E125" s="1" t="n">
        <v>46256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65403-2021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46256</v>
      </c>
      <c r="F126" t="inlineStr">
        <is>
          <t>GÄVLEBORGS LÄN</t>
        </is>
      </c>
      <c r="G126" t="inlineStr">
        <is>
          <t>BOLLNÄS</t>
        </is>
      </c>
      <c r="H126" t="inlineStr">
        <is>
          <t>Bergvik skog väst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46256</v>
      </c>
      <c r="F127" t="inlineStr">
        <is>
          <t>GÄVLEBORGS LÄN</t>
        </is>
      </c>
      <c r="G127" t="inlineStr">
        <is>
          <t>BOLLNÄS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46256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46256</v>
      </c>
      <c r="F129" t="inlineStr">
        <is>
          <t>GÄVLEBORGS LÄN</t>
        </is>
      </c>
      <c r="G129" t="inlineStr">
        <is>
          <t>BOLLNÄS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58112-2021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44487</v>
      </c>
      <c r="E130" s="1" t="n">
        <v>46256</v>
      </c>
      <c r="F130" t="inlineStr">
        <is>
          <t>GÄVLEBORGS LÄN</t>
        </is>
      </c>
      <c r="G130" t="inlineStr">
        <is>
          <t>BOLLNÄS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46256</v>
      </c>
      <c r="F131" t="inlineStr">
        <is>
          <t>GÄVLEBORGS LÄN</t>
        </is>
      </c>
      <c r="G131" t="inlineStr">
        <is>
          <t>BOLLNÄS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46256</v>
      </c>
      <c r="F132" t="inlineStr">
        <is>
          <t>GÄVLEBORGS LÄN</t>
        </is>
      </c>
      <c r="G132" t="inlineStr">
        <is>
          <t>BOLLNÄS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46256</v>
      </c>
      <c r="F133" t="inlineStr">
        <is>
          <t>GÄVLEBORGS LÄN</t>
        </is>
      </c>
      <c r="G133" t="inlineStr">
        <is>
          <t>BOLLNÄS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46256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46256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46256</v>
      </c>
      <c r="F136" t="inlineStr">
        <is>
          <t>GÄVLEBORGS LÄN</t>
        </is>
      </c>
      <c r="G136" t="inlineStr">
        <is>
          <t>BOLLNÄS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46256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46256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71678-2021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46256</v>
      </c>
      <c r="F139" t="inlineStr">
        <is>
          <t>GÄVLEBORGS LÄN</t>
        </is>
      </c>
      <c r="G139" t="inlineStr">
        <is>
          <t>BOLLNÄS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46256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46256</v>
      </c>
      <c r="F141" t="inlineStr">
        <is>
          <t>GÄVLEBORGS LÄN</t>
        </is>
      </c>
      <c r="G141" t="inlineStr">
        <is>
          <t>BOLLNÄS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46256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46256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46256</v>
      </c>
      <c r="F144" t="inlineStr">
        <is>
          <t>GÄVLEBORGS LÄN</t>
        </is>
      </c>
      <c r="G144" t="inlineStr">
        <is>
          <t>BOLLNÄS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45246</v>
      </c>
      <c r="E145" s="1" t="n">
        <v>46256</v>
      </c>
      <c r="F145" t="inlineStr">
        <is>
          <t>GÄVLEBORGS LÄN</t>
        </is>
      </c>
      <c r="G145" t="inlineStr">
        <is>
          <t>BOLLNÄS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44729</v>
      </c>
      <c r="E146" s="1" t="n">
        <v>46256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44712</v>
      </c>
      <c r="E147" s="1" t="n">
        <v>46256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46256</v>
      </c>
      <c r="F148" t="inlineStr">
        <is>
          <t>GÄVLEBORGS LÄN</t>
        </is>
      </c>
      <c r="G148" t="inlineStr">
        <is>
          <t>BOLLNÄS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46256</v>
      </c>
      <c r="F149" t="inlineStr">
        <is>
          <t>GÄVLEBORGS LÄN</t>
        </is>
      </c>
      <c r="G149" t="inlineStr">
        <is>
          <t>BOLLNÄS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46256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46256</v>
      </c>
      <c r="F151" t="inlineStr">
        <is>
          <t>GÄVLEBORGS LÄN</t>
        </is>
      </c>
      <c r="G151" t="inlineStr">
        <is>
          <t>BOLLNÄS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46256</v>
      </c>
      <c r="F152" t="inlineStr">
        <is>
          <t>GÄVLEBORGS LÄN</t>
        </is>
      </c>
      <c r="G152" t="inlineStr">
        <is>
          <t>BOLLNÄS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46256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46256</v>
      </c>
      <c r="F154" t="inlineStr">
        <is>
          <t>GÄVLEBORGS LÄN</t>
        </is>
      </c>
      <c r="G154" t="inlineStr">
        <is>
          <t>BOLLNÄS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46256</v>
      </c>
      <c r="F155" t="inlineStr">
        <is>
          <t>GÄVLEBORGS LÄN</t>
        </is>
      </c>
      <c r="G155" t="inlineStr">
        <is>
          <t>BOLLNÄS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46256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46256</v>
      </c>
      <c r="F157" t="inlineStr">
        <is>
          <t>GÄVLEBORGS LÄN</t>
        </is>
      </c>
      <c r="G157" t="inlineStr">
        <is>
          <t>BOLLNÄS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46256</v>
      </c>
      <c r="F158" t="inlineStr">
        <is>
          <t>GÄVLEBORGS LÄN</t>
        </is>
      </c>
      <c r="G158" t="inlineStr">
        <is>
          <t>BOLLNÄS</t>
        </is>
      </c>
      <c r="H158" t="inlineStr">
        <is>
          <t>Bergvik skog väst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46256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46256</v>
      </c>
      <c r="F160" t="inlineStr">
        <is>
          <t>GÄVLEBORGS LÄN</t>
        </is>
      </c>
      <c r="G160" t="inlineStr">
        <is>
          <t>BOLLNÄS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46256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46256</v>
      </c>
      <c r="F162" t="inlineStr">
        <is>
          <t>GÄVLEBORGS LÄN</t>
        </is>
      </c>
      <c r="G162" t="inlineStr">
        <is>
          <t>BOLLNÄS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60426-2024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45643</v>
      </c>
      <c r="E163" s="1" t="n">
        <v>46256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45443</v>
      </c>
      <c r="E164" s="1" t="n">
        <v>46256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46256</v>
      </c>
      <c r="F165" t="inlineStr">
        <is>
          <t>GÄVLEBORGS LÄN</t>
        </is>
      </c>
      <c r="G165" t="inlineStr">
        <is>
          <t>BOLLNÄS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46256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46256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46256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46256</v>
      </c>
      <c r="F169" t="inlineStr">
        <is>
          <t>GÄVLEBORGS LÄN</t>
        </is>
      </c>
      <c r="G169" t="inlineStr">
        <is>
          <t>BOLLNÄS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46256</v>
      </c>
      <c r="F170" t="inlineStr">
        <is>
          <t>GÄVLEBORGS LÄN</t>
        </is>
      </c>
      <c r="G170" t="inlineStr">
        <is>
          <t>BOLLNÄS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46256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46256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46256</v>
      </c>
      <c r="F173" t="inlineStr">
        <is>
          <t>GÄVLEBORGS LÄN</t>
        </is>
      </c>
      <c r="G173" t="inlineStr">
        <is>
          <t>BOLLNÄS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46256</v>
      </c>
      <c r="F174" t="inlineStr">
        <is>
          <t>GÄVLEBORGS LÄN</t>
        </is>
      </c>
      <c r="G174" t="inlineStr">
        <is>
          <t>BOLLNÄS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46256</v>
      </c>
      <c r="F175" t="inlineStr">
        <is>
          <t>GÄVLEBORGS LÄN</t>
        </is>
      </c>
      <c r="G175" t="inlineStr">
        <is>
          <t>BOLLNÄS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46256</v>
      </c>
      <c r="F176" t="inlineStr">
        <is>
          <t>GÄVLEBORGS LÄN</t>
        </is>
      </c>
      <c r="G176" t="inlineStr">
        <is>
          <t>BOLLNÄS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46256</v>
      </c>
      <c r="F177" t="inlineStr">
        <is>
          <t>GÄVLEBORGS LÄN</t>
        </is>
      </c>
      <c r="G177" t="inlineStr">
        <is>
          <t>BOLLNÄS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46256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46256</v>
      </c>
      <c r="F179" t="inlineStr">
        <is>
          <t>GÄVLEBORGS LÄN</t>
        </is>
      </c>
      <c r="G179" t="inlineStr">
        <is>
          <t>BOLLNÄS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46256</v>
      </c>
      <c r="F180" t="inlineStr">
        <is>
          <t>GÄVLEBORGS LÄN</t>
        </is>
      </c>
      <c r="G180" t="inlineStr">
        <is>
          <t>BOLLNÄS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46256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46256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46256</v>
      </c>
      <c r="F183" t="inlineStr">
        <is>
          <t>GÄVLEBORGS LÄN</t>
        </is>
      </c>
      <c r="G183" t="inlineStr">
        <is>
          <t>BOLLNÄS</t>
        </is>
      </c>
      <c r="H183" t="inlineStr">
        <is>
          <t>Bergvik skog väst AB</t>
        </is>
      </c>
      <c r="I183" t="n">
        <v>11.7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46256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46256</v>
      </c>
      <c r="F185" t="inlineStr">
        <is>
          <t>GÄVLEBORGS LÄN</t>
        </is>
      </c>
      <c r="G185" t="inlineStr">
        <is>
          <t>BOLLNÄS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46256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46256</v>
      </c>
      <c r="F187" t="inlineStr">
        <is>
          <t>GÄVLEBORGS LÄN</t>
        </is>
      </c>
      <c r="G187" t="inlineStr">
        <is>
          <t>BOLLNÄS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46256</v>
      </c>
      <c r="F188" t="inlineStr">
        <is>
          <t>GÄVLEBORGS LÄN</t>
        </is>
      </c>
      <c r="G188" t="inlineStr">
        <is>
          <t>BOLLNÄS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46256</v>
      </c>
      <c r="F189" t="inlineStr">
        <is>
          <t>GÄVLEBORGS LÄN</t>
        </is>
      </c>
      <c r="G189" t="inlineStr">
        <is>
          <t>BOLLNÄS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44580</v>
      </c>
      <c r="E190" s="1" t="n">
        <v>46256</v>
      </c>
      <c r="F190" t="inlineStr">
        <is>
          <t>GÄVLEBORGS LÄN</t>
        </is>
      </c>
      <c r="G190" t="inlineStr">
        <is>
          <t>BOLLNÄS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46256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45643</v>
      </c>
      <c r="E192" s="1" t="n">
        <v>46256</v>
      </c>
      <c r="F192" t="inlineStr">
        <is>
          <t>GÄVLEBORGS LÄN</t>
        </is>
      </c>
      <c r="G192" t="inlineStr">
        <is>
          <t>BOLLNÄS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46256</v>
      </c>
      <c r="F193" t="inlineStr">
        <is>
          <t>GÄVLEBORGS LÄN</t>
        </is>
      </c>
      <c r="G193" t="inlineStr">
        <is>
          <t>BOLLNÄS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46256</v>
      </c>
      <c r="F194" t="inlineStr">
        <is>
          <t>GÄVLEBORGS LÄN</t>
        </is>
      </c>
      <c r="G194" t="inlineStr">
        <is>
          <t>BOLLNÄS</t>
        </is>
      </c>
      <c r="H194" t="inlineStr">
        <is>
          <t>Kyrkan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46256</v>
      </c>
      <c r="F195" t="inlineStr">
        <is>
          <t>GÄVLEBORGS LÄN</t>
        </is>
      </c>
      <c r="G195" t="inlineStr">
        <is>
          <t>BOLLNÄS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46256</v>
      </c>
      <c r="F196" t="inlineStr">
        <is>
          <t>GÄVLEBORGS LÄN</t>
        </is>
      </c>
      <c r="G196" t="inlineStr">
        <is>
          <t>BOLLNÄS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46256</v>
      </c>
      <c r="F197" t="inlineStr">
        <is>
          <t>GÄVLEBORGS LÄN</t>
        </is>
      </c>
      <c r="G197" t="inlineStr">
        <is>
          <t>BOLLNÄS</t>
        </is>
      </c>
      <c r="H197" t="inlineStr">
        <is>
          <t>Sveaskog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46256</v>
      </c>
      <c r="F198" t="inlineStr">
        <is>
          <t>GÄVLEBORGS LÄN</t>
        </is>
      </c>
      <c r="G198" t="inlineStr">
        <is>
          <t>BOLLNÄS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46256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67547-2021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44524</v>
      </c>
      <c r="E200" s="1" t="n">
        <v>46256</v>
      </c>
      <c r="F200" t="inlineStr">
        <is>
          <t>GÄVLEBORGS LÄN</t>
        </is>
      </c>
      <c r="G200" t="inlineStr">
        <is>
          <t>BOLLNÄS</t>
        </is>
      </c>
      <c r="H200" t="inlineStr">
        <is>
          <t>Övriga statliga verk och myndigheter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46256</v>
      </c>
      <c r="F201" t="inlineStr">
        <is>
          <t>GÄVLEBORGS LÄN</t>
        </is>
      </c>
      <c r="G201" t="inlineStr">
        <is>
          <t>BOLLNÄS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46256</v>
      </c>
      <c r="F202" t="inlineStr">
        <is>
          <t>GÄVLEBORGS LÄN</t>
        </is>
      </c>
      <c r="G202" t="inlineStr">
        <is>
          <t>BOLLNÄS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46256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42340-2025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45904</v>
      </c>
      <c r="E204" s="1" t="n">
        <v>46256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46256</v>
      </c>
      <c r="F205" t="inlineStr">
        <is>
          <t>GÄVLEBORGS LÄN</t>
        </is>
      </c>
      <c r="G205" t="inlineStr">
        <is>
          <t>BOLLNÄS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46256</v>
      </c>
      <c r="F206" t="inlineStr">
        <is>
          <t>GÄVLEBORGS LÄN</t>
        </is>
      </c>
      <c r="G206" t="inlineStr">
        <is>
          <t>BOLLNÄS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46256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46256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46256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46256</v>
      </c>
      <c r="F210" t="inlineStr">
        <is>
          <t>GÄVLEBORGS LÄN</t>
        </is>
      </c>
      <c r="G210" t="inlineStr">
        <is>
          <t>BOLLNÄS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44526</v>
      </c>
      <c r="E211" s="1" t="n">
        <v>46256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46256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46256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46256</v>
      </c>
      <c r="F214" t="inlineStr">
        <is>
          <t>GÄVLEBORGS LÄN</t>
        </is>
      </c>
      <c r="G214" t="inlineStr">
        <is>
          <t>BOLLNÄS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46256</v>
      </c>
      <c r="F215" t="inlineStr">
        <is>
          <t>GÄVLEBORGS LÄN</t>
        </is>
      </c>
      <c r="G215" t="inlineStr">
        <is>
          <t>BOLLNÄS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44858</v>
      </c>
      <c r="E216" s="1" t="n">
        <v>46256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46256</v>
      </c>
      <c r="F217" t="inlineStr">
        <is>
          <t>GÄVLEBORGS LÄN</t>
        </is>
      </c>
      <c r="G217" t="inlineStr">
        <is>
          <t>BOLLNÄS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46256</v>
      </c>
      <c r="F218" t="inlineStr">
        <is>
          <t>GÄVLEBORGS LÄN</t>
        </is>
      </c>
      <c r="G218" t="inlineStr">
        <is>
          <t>BOLLNÄS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46256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45740</v>
      </c>
      <c r="E220" s="1" t="n">
        <v>46256</v>
      </c>
      <c r="F220" t="inlineStr">
        <is>
          <t>GÄVLEBORGS LÄN</t>
        </is>
      </c>
      <c r="G220" t="inlineStr">
        <is>
          <t>BOLLNÄS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46256</v>
      </c>
      <c r="F221" t="inlineStr">
        <is>
          <t>GÄVLEBORGS LÄN</t>
        </is>
      </c>
      <c r="G221" t="inlineStr">
        <is>
          <t>BOLLNÄS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46256</v>
      </c>
      <c r="F222" t="inlineStr">
        <is>
          <t>GÄVLEBORGS LÄN</t>
        </is>
      </c>
      <c r="G222" t="inlineStr">
        <is>
          <t>BOLLNÄS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46256</v>
      </c>
      <c r="F223" t="inlineStr">
        <is>
          <t>GÄVLEBORGS LÄN</t>
        </is>
      </c>
      <c r="G223" t="inlineStr">
        <is>
          <t>BOLLNÄS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46256</v>
      </c>
      <c r="F224" t="inlineStr">
        <is>
          <t>GÄVLEBORGS LÄN</t>
        </is>
      </c>
      <c r="G224" t="inlineStr">
        <is>
          <t>BOLLNÄS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46256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46256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46256</v>
      </c>
      <c r="F227" t="inlineStr">
        <is>
          <t>GÄVLEBORGS LÄN</t>
        </is>
      </c>
      <c r="G227" t="inlineStr">
        <is>
          <t>BOLLNÄS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46256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45875</v>
      </c>
      <c r="E229" s="1" t="n">
        <v>46256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46256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46256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46256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45061</v>
      </c>
      <c r="E233" s="1" t="n">
        <v>46256</v>
      </c>
      <c r="F233" t="inlineStr">
        <is>
          <t>GÄVLEBORGS LÄN</t>
        </is>
      </c>
      <c r="G233" t="inlineStr">
        <is>
          <t>BOLLNÄS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45351</v>
      </c>
      <c r="E234" s="1" t="n">
        <v>46256</v>
      </c>
      <c r="F234" t="inlineStr">
        <is>
          <t>GÄVLEBORGS LÄN</t>
        </is>
      </c>
      <c r="G234" t="inlineStr">
        <is>
          <t>BOLLNÄS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46256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46256</v>
      </c>
      <c r="F236" t="inlineStr">
        <is>
          <t>GÄVLEBORGS LÄN</t>
        </is>
      </c>
      <c r="G236" t="inlineStr">
        <is>
          <t>BOLLNÄS</t>
        </is>
      </c>
      <c r="H236" t="inlineStr">
        <is>
          <t>Kyrkan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46256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46256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46256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46256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46256</v>
      </c>
      <c r="F241" t="inlineStr">
        <is>
          <t>GÄVLEBORGS LÄN</t>
        </is>
      </c>
      <c r="G241" t="inlineStr">
        <is>
          <t>BOLLNÄS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46256</v>
      </c>
      <c r="F242" t="inlineStr">
        <is>
          <t>GÄVLEBORGS LÄN</t>
        </is>
      </c>
      <c r="G242" t="inlineStr">
        <is>
          <t>BOLLNÄS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46256</v>
      </c>
      <c r="F243" t="inlineStr">
        <is>
          <t>GÄVLEBORGS LÄN</t>
        </is>
      </c>
      <c r="G243" t="inlineStr">
        <is>
          <t>BOLLNÄS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46256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46256</v>
      </c>
      <c r="F245" t="inlineStr">
        <is>
          <t>GÄVLEBORGS LÄN</t>
        </is>
      </c>
      <c r="G245" t="inlineStr">
        <is>
          <t>BOLLNÄS</t>
        </is>
      </c>
      <c r="H245" t="inlineStr">
        <is>
          <t>Kyrkan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46256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46256</v>
      </c>
      <c r="F247" t="inlineStr">
        <is>
          <t>GÄVLEBORGS LÄN</t>
        </is>
      </c>
      <c r="G247" t="inlineStr">
        <is>
          <t>BOLLNÄS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46256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46256</v>
      </c>
      <c r="F249" t="inlineStr">
        <is>
          <t>GÄVLEBORGS LÄN</t>
        </is>
      </c>
      <c r="G249" t="inlineStr">
        <is>
          <t>BOLLNÄS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45672</v>
      </c>
      <c r="E250" s="1" t="n">
        <v>46256</v>
      </c>
      <c r="F250" t="inlineStr">
        <is>
          <t>GÄVLEBORGS LÄN</t>
        </is>
      </c>
      <c r="G250" t="inlineStr">
        <is>
          <t>BOLLNÄS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44749</v>
      </c>
      <c r="E251" s="1" t="n">
        <v>46256</v>
      </c>
      <c r="F251" t="inlineStr">
        <is>
          <t>GÄVLEBORGS LÄN</t>
        </is>
      </c>
      <c r="G251" t="inlineStr">
        <is>
          <t>BOLLNÄS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46256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46256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46256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46256</v>
      </c>
      <c r="F255" t="inlineStr">
        <is>
          <t>GÄVLEBORGS LÄN</t>
        </is>
      </c>
      <c r="G255" t="inlineStr">
        <is>
          <t>BOLLNÄS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46256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60956-2022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44914</v>
      </c>
      <c r="E257" s="1" t="n">
        <v>46256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46256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45299</v>
      </c>
      <c r="E259" s="1" t="n">
        <v>46256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46256</v>
      </c>
      <c r="F260" t="inlineStr">
        <is>
          <t>GÄVLEBORGS LÄN</t>
        </is>
      </c>
      <c r="G260" t="inlineStr">
        <is>
          <t>BOLLNÄS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46256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46256</v>
      </c>
      <c r="F262" t="inlineStr">
        <is>
          <t>GÄVLEBORGS LÄN</t>
        </is>
      </c>
      <c r="G262" t="inlineStr">
        <is>
          <t>BOLLNÄS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45922</v>
      </c>
      <c r="E263" s="1" t="n">
        <v>46256</v>
      </c>
      <c r="F263" t="inlineStr">
        <is>
          <t>GÄVLEBORGS LÄN</t>
        </is>
      </c>
      <c r="G263" t="inlineStr">
        <is>
          <t>BOLLNÄS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46256</v>
      </c>
      <c r="F264" t="inlineStr">
        <is>
          <t>GÄVLEBORGS LÄN</t>
        </is>
      </c>
      <c r="G264" t="inlineStr">
        <is>
          <t>BOLLNÄS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46256</v>
      </c>
      <c r="F265" t="inlineStr">
        <is>
          <t>GÄVLEBORGS LÄN</t>
        </is>
      </c>
      <c r="G265" t="inlineStr">
        <is>
          <t>BOLLNÄS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46256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46256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46256</v>
      </c>
      <c r="F268" t="inlineStr">
        <is>
          <t>GÄVLEBORGS LÄN</t>
        </is>
      </c>
      <c r="G268" t="inlineStr">
        <is>
          <t>BOLLNÄS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46256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46256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46256</v>
      </c>
      <c r="F271" t="inlineStr">
        <is>
          <t>GÄVLEBORGS LÄN</t>
        </is>
      </c>
      <c r="G271" t="inlineStr">
        <is>
          <t>BOLLNÄS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46256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46256</v>
      </c>
      <c r="F273" t="inlineStr">
        <is>
          <t>GÄVLEBORGS LÄN</t>
        </is>
      </c>
      <c r="G273" t="inlineStr">
        <is>
          <t>BOLLNÄS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46256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45377</v>
      </c>
      <c r="E275" s="1" t="n">
        <v>46256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45377</v>
      </c>
      <c r="E276" s="1" t="n">
        <v>46256</v>
      </c>
      <c r="F276" t="inlineStr">
        <is>
          <t>GÄVLEBORGS LÄN</t>
        </is>
      </c>
      <c r="G276" t="inlineStr">
        <is>
          <t>BOLLNÄS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46256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46256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46256</v>
      </c>
      <c r="F279" t="inlineStr">
        <is>
          <t>GÄVLEBORGS LÄN</t>
        </is>
      </c>
      <c r="G279" t="inlineStr">
        <is>
          <t>BOLLNÄS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46256</v>
      </c>
      <c r="F280" t="inlineStr">
        <is>
          <t>GÄVLEBORGS LÄN</t>
        </is>
      </c>
      <c r="G280" t="inlineStr">
        <is>
          <t>BOLLNÄS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35208-2025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45853</v>
      </c>
      <c r="E281" s="1" t="n">
        <v>46256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46256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44796</v>
      </c>
      <c r="E283" s="1" t="n">
        <v>46256</v>
      </c>
      <c r="F283" t="inlineStr">
        <is>
          <t>GÄVLEBORGS LÄN</t>
        </is>
      </c>
      <c r="G283" t="inlineStr">
        <is>
          <t>BOLLNÄS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46256</v>
      </c>
      <c r="F284" t="inlineStr">
        <is>
          <t>GÄVLEBORGS LÄN</t>
        </is>
      </c>
      <c r="G284" t="inlineStr">
        <is>
          <t>BOLLNÄS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46256</v>
      </c>
      <c r="F285" t="inlineStr">
        <is>
          <t>GÄVLEBORGS LÄN</t>
        </is>
      </c>
      <c r="G285" t="inlineStr">
        <is>
          <t>BOLLNÄS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46256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46256</v>
      </c>
      <c r="F287" t="inlineStr">
        <is>
          <t>GÄVLEBORGS LÄN</t>
        </is>
      </c>
      <c r="G287" t="inlineStr">
        <is>
          <t>BOLLNÄS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46256</v>
      </c>
      <c r="F288" t="inlineStr">
        <is>
          <t>GÄVLEBORGS LÄN</t>
        </is>
      </c>
      <c r="G288" t="inlineStr">
        <is>
          <t>BOLLNÄS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46256</v>
      </c>
      <c r="F289" t="inlineStr">
        <is>
          <t>GÄVLEBORGS LÄN</t>
        </is>
      </c>
      <c r="G289" t="inlineStr">
        <is>
          <t>BOLLNÄS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46256</v>
      </c>
      <c r="F290" t="inlineStr">
        <is>
          <t>GÄVLEBORGS LÄN</t>
        </is>
      </c>
      <c r="G290" t="inlineStr">
        <is>
          <t>BOLLNÄS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46256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46256</v>
      </c>
      <c r="F292" t="inlineStr">
        <is>
          <t>GÄVLEBORGS LÄN</t>
        </is>
      </c>
      <c r="G292" t="inlineStr">
        <is>
          <t>BOLLNÄS</t>
        </is>
      </c>
      <c r="H292" t="inlineStr">
        <is>
          <t>Kyrkan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46256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46256</v>
      </c>
      <c r="F294" t="inlineStr">
        <is>
          <t>GÄVLEBORGS LÄN</t>
        </is>
      </c>
      <c r="G294" t="inlineStr">
        <is>
          <t>BOLLNÄS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21616-2022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44706</v>
      </c>
      <c r="E295" s="1" t="n">
        <v>46256</v>
      </c>
      <c r="F295" t="inlineStr">
        <is>
          <t>GÄVLEBORGS LÄN</t>
        </is>
      </c>
      <c r="G295" t="inlineStr">
        <is>
          <t>BOLLNÄS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56547-2023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45243</v>
      </c>
      <c r="E296" s="1" t="n">
        <v>46256</v>
      </c>
      <c r="F296" t="inlineStr">
        <is>
          <t>GÄVLEBORGS LÄN</t>
        </is>
      </c>
      <c r="G296" t="inlineStr">
        <is>
          <t>BOLLNÄS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46256</v>
      </c>
      <c r="F297" t="inlineStr">
        <is>
          <t>GÄVLEBORGS LÄN</t>
        </is>
      </c>
      <c r="G297" t="inlineStr">
        <is>
          <t>BOLLNÄS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44631</v>
      </c>
      <c r="E298" s="1" t="n">
        <v>46256</v>
      </c>
      <c r="F298" t="inlineStr">
        <is>
          <t>GÄVLEBORGS LÄN</t>
        </is>
      </c>
      <c r="G298" t="inlineStr">
        <is>
          <t>BOLLNÄS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45041</v>
      </c>
      <c r="E299" s="1" t="n">
        <v>46256</v>
      </c>
      <c r="F299" t="inlineStr">
        <is>
          <t>GÄVLEBORGS LÄN</t>
        </is>
      </c>
      <c r="G299" t="inlineStr">
        <is>
          <t>BOLLNÄS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46256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46256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44732</v>
      </c>
      <c r="E302" s="1" t="n">
        <v>46256</v>
      </c>
      <c r="F302" t="inlineStr">
        <is>
          <t>GÄVLEBORGS LÄN</t>
        </is>
      </c>
      <c r="G302" t="inlineStr">
        <is>
          <t>BOLLNÄS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46256</v>
      </c>
      <c r="F303" t="inlineStr">
        <is>
          <t>GÄVLEBORGS LÄN</t>
        </is>
      </c>
      <c r="G303" t="inlineStr">
        <is>
          <t>BOLLNÄS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44806</v>
      </c>
      <c r="E304" s="1" t="n">
        <v>46256</v>
      </c>
      <c r="F304" t="inlineStr">
        <is>
          <t>GÄVLEBORGS LÄN</t>
        </is>
      </c>
      <c r="G304" t="inlineStr">
        <is>
          <t>BOLLNÄS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46256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46256</v>
      </c>
      <c r="F306" t="inlineStr">
        <is>
          <t>GÄVLEBORGS LÄN</t>
        </is>
      </c>
      <c r="G306" t="inlineStr">
        <is>
          <t>BOLLNÄS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45500</v>
      </c>
      <c r="E307" s="1" t="n">
        <v>46256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44728</v>
      </c>
      <c r="E308" s="1" t="n">
        <v>46256</v>
      </c>
      <c r="F308" t="inlineStr">
        <is>
          <t>GÄVLEBORGS LÄN</t>
        </is>
      </c>
      <c r="G308" t="inlineStr">
        <is>
          <t>BOLLNÄS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22646-2022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44714</v>
      </c>
      <c r="E309" s="1" t="n">
        <v>46256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46256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46256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46256</v>
      </c>
      <c r="F312" t="inlineStr">
        <is>
          <t>GÄVLEBORGS LÄN</t>
        </is>
      </c>
      <c r="G312" t="inlineStr">
        <is>
          <t>BOLLNÄS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46256</v>
      </c>
      <c r="F313" t="inlineStr">
        <is>
          <t>GÄVLEBORGS LÄN</t>
        </is>
      </c>
      <c r="G313" t="inlineStr">
        <is>
          <t>BOLLNÄS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46256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46256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46256</v>
      </c>
      <c r="F316" t="inlineStr">
        <is>
          <t>GÄVLEBORGS LÄN</t>
        </is>
      </c>
      <c r="G316" t="inlineStr">
        <is>
          <t>BOLLNÄS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32859-2024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45516</v>
      </c>
      <c r="E317" s="1" t="n">
        <v>46256</v>
      </c>
      <c r="F317" t="inlineStr">
        <is>
          <t>GÄVLEBORGS LÄN</t>
        </is>
      </c>
      <c r="G317" t="inlineStr">
        <is>
          <t>BOLLNÄS</t>
        </is>
      </c>
      <c r="H317" t="inlineStr">
        <is>
          <t>Sveaskog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44595</v>
      </c>
      <c r="E318" s="1" t="n">
        <v>46256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46256</v>
      </c>
      <c r="F319" t="inlineStr">
        <is>
          <t>GÄVLEBORGS LÄN</t>
        </is>
      </c>
      <c r="G319" t="inlineStr">
        <is>
          <t>BOLLNÄS</t>
        </is>
      </c>
      <c r="I319" t="n">
        <v>11.7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46256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59085-2021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46256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46256</v>
      </c>
      <c r="F322" t="inlineStr">
        <is>
          <t>GÄVLEBORGS LÄN</t>
        </is>
      </c>
      <c r="G322" t="inlineStr">
        <is>
          <t>BOLLNÄS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46256</v>
      </c>
      <c r="F323" t="inlineStr">
        <is>
          <t>GÄVLEBORGS LÄN</t>
        </is>
      </c>
      <c r="G323" t="inlineStr">
        <is>
          <t>BOLLNÄS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46256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46256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46256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46256</v>
      </c>
      <c r="F327" t="inlineStr">
        <is>
          <t>GÄVLEBORGS LÄN</t>
        </is>
      </c>
      <c r="G327" t="inlineStr">
        <is>
          <t>BOLLNÄS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46256</v>
      </c>
      <c r="F328" t="inlineStr">
        <is>
          <t>GÄVLEBORGS LÄN</t>
        </is>
      </c>
      <c r="G328" t="inlineStr">
        <is>
          <t>BOLLNÄS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46256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46256</v>
      </c>
      <c r="F330" t="inlineStr">
        <is>
          <t>GÄVLEBORGS LÄN</t>
        </is>
      </c>
      <c r="G330" t="inlineStr">
        <is>
          <t>BOLLNÄS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56453-2023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45243</v>
      </c>
      <c r="E331" s="1" t="n">
        <v>46256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46256</v>
      </c>
      <c r="F332" t="inlineStr">
        <is>
          <t>GÄVLEBORGS LÄN</t>
        </is>
      </c>
      <c r="G332" t="inlineStr">
        <is>
          <t>BOLLNÄS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46256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44720</v>
      </c>
      <c r="E334" s="1" t="n">
        <v>46256</v>
      </c>
      <c r="F334" t="inlineStr">
        <is>
          <t>GÄVLEBORGS LÄN</t>
        </is>
      </c>
      <c r="G334" t="inlineStr">
        <is>
          <t>BOLLNÄS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45490</v>
      </c>
      <c r="E335" s="1" t="n">
        <v>46256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46256</v>
      </c>
      <c r="F336" t="inlineStr">
        <is>
          <t>GÄVLEBORGS LÄN</t>
        </is>
      </c>
      <c r="G336" t="inlineStr">
        <is>
          <t>BOLLNÄS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46256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58333-2022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44901</v>
      </c>
      <c r="E338" s="1" t="n">
        <v>46256</v>
      </c>
      <c r="F338" t="inlineStr">
        <is>
          <t>GÄVLEBORGS LÄN</t>
        </is>
      </c>
      <c r="G338" t="inlineStr">
        <is>
          <t>BOLLNÄS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46256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46256</v>
      </c>
      <c r="F340" t="inlineStr">
        <is>
          <t>GÄVLEBORGS LÄN</t>
        </is>
      </c>
      <c r="G340" t="inlineStr">
        <is>
          <t>BOLLNÄS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46256</v>
      </c>
      <c r="F341" t="inlineStr">
        <is>
          <t>GÄVLEBORGS LÄN</t>
        </is>
      </c>
      <c r="G341" t="inlineStr">
        <is>
          <t>BOLLNÄS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46256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46256</v>
      </c>
      <c r="F343" t="inlineStr">
        <is>
          <t>GÄVLEBORGS LÄN</t>
        </is>
      </c>
      <c r="G343" t="inlineStr">
        <is>
          <t>BOLLNÄS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46256</v>
      </c>
      <c r="F344" t="inlineStr">
        <is>
          <t>GÄVLEBORGS LÄN</t>
        </is>
      </c>
      <c r="G344" t="inlineStr">
        <is>
          <t>BOLLNÄS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46256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46256</v>
      </c>
      <c r="F346" t="inlineStr">
        <is>
          <t>GÄVLEBORGS LÄN</t>
        </is>
      </c>
      <c r="G346" t="inlineStr">
        <is>
          <t>BOLLNÄS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46256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46256</v>
      </c>
      <c r="F348" t="inlineStr">
        <is>
          <t>GÄVLEBORGS LÄN</t>
        </is>
      </c>
      <c r="G348" t="inlineStr">
        <is>
          <t>BOLLNÄS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46256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46256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46256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46256</v>
      </c>
      <c r="F352" t="inlineStr">
        <is>
          <t>GÄVLEBORGS LÄN</t>
        </is>
      </c>
      <c r="G352" t="inlineStr">
        <is>
          <t>BOLLNÄS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46256</v>
      </c>
      <c r="F353" t="inlineStr">
        <is>
          <t>GÄVLEBORGS LÄN</t>
        </is>
      </c>
      <c r="G353" t="inlineStr">
        <is>
          <t>BOLLNÄS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53037-2025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46256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46256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46256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45961</v>
      </c>
      <c r="E357" s="1" t="n">
        <v>46256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46256</v>
      </c>
      <c r="F358" t="inlineStr">
        <is>
          <t>GÄVLEBORGS LÄN</t>
        </is>
      </c>
      <c r="G358" t="inlineStr">
        <is>
          <t>BOLLNÄS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46256</v>
      </c>
      <c r="F359" t="inlineStr">
        <is>
          <t>GÄVLEBORGS LÄN</t>
        </is>
      </c>
      <c r="G359" t="inlineStr">
        <is>
          <t>BOLLNÄS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51310-2023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46256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46256</v>
      </c>
      <c r="F361" t="inlineStr">
        <is>
          <t>GÄVLEBORGS LÄN</t>
        </is>
      </c>
      <c r="G361" t="inlineStr">
        <is>
          <t>BOLLNÄS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46256</v>
      </c>
      <c r="F362" t="inlineStr">
        <is>
          <t>GÄVLEBORGS LÄN</t>
        </is>
      </c>
      <c r="G362" t="inlineStr">
        <is>
          <t>BOLLNÄS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46256</v>
      </c>
      <c r="F363" t="inlineStr">
        <is>
          <t>GÄVLEBORGS LÄN</t>
        </is>
      </c>
      <c r="G363" t="inlineStr">
        <is>
          <t>BOLLNÄS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45637</v>
      </c>
      <c r="E364" s="1" t="n">
        <v>46256</v>
      </c>
      <c r="F364" t="inlineStr">
        <is>
          <t>GÄVLEBORGS LÄN</t>
        </is>
      </c>
      <c r="G364" t="inlineStr">
        <is>
          <t>BOLLNÄS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45613</v>
      </c>
      <c r="E365" s="1" t="n">
        <v>46256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45581</v>
      </c>
      <c r="E366" s="1" t="n">
        <v>46256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46256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46256</v>
      </c>
      <c r="F368" t="inlineStr">
        <is>
          <t>GÄVLEBORGS LÄN</t>
        </is>
      </c>
      <c r="G368" t="inlineStr">
        <is>
          <t>BOLLNÄS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46256</v>
      </c>
      <c r="F369" t="inlineStr">
        <is>
          <t>GÄVLEBORGS LÄN</t>
        </is>
      </c>
      <c r="G369" t="inlineStr">
        <is>
          <t>BOLLNÄS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46256</v>
      </c>
      <c r="F370" t="inlineStr">
        <is>
          <t>GÄVLEBORGS LÄN</t>
        </is>
      </c>
      <c r="G370" t="inlineStr">
        <is>
          <t>BOLLNÄS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46256</v>
      </c>
      <c r="F371" t="inlineStr">
        <is>
          <t>GÄVLEBORGS LÄN</t>
        </is>
      </c>
      <c r="G371" t="inlineStr">
        <is>
          <t>BOLLNÄS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46256</v>
      </c>
      <c r="F372" t="inlineStr">
        <is>
          <t>GÄVLEBORGS LÄN</t>
        </is>
      </c>
      <c r="G372" t="inlineStr">
        <is>
          <t>BOLLNÄS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46256</v>
      </c>
      <c r="F373" t="inlineStr">
        <is>
          <t>GÄVLEBORGS LÄN</t>
        </is>
      </c>
      <c r="G373" t="inlineStr">
        <is>
          <t>BOLLNÄS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46256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46256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45842</v>
      </c>
      <c r="E376" s="1" t="n">
        <v>46256</v>
      </c>
      <c r="F376" t="inlineStr">
        <is>
          <t>GÄVLEBORGS LÄN</t>
        </is>
      </c>
      <c r="G376" t="inlineStr">
        <is>
          <t>BOLLNÄS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45212</v>
      </c>
      <c r="E377" s="1" t="n">
        <v>46256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46256</v>
      </c>
      <c r="F378" t="inlineStr">
        <is>
          <t>GÄVLEBORGS LÄN</t>
        </is>
      </c>
      <c r="G378" t="inlineStr">
        <is>
          <t>BOLLNÄS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46256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46256</v>
      </c>
      <c r="F380" t="inlineStr">
        <is>
          <t>GÄVLEBORGS LÄN</t>
        </is>
      </c>
      <c r="G380" t="inlineStr">
        <is>
          <t>BOLLNÄS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46256</v>
      </c>
      <c r="F381" t="inlineStr">
        <is>
          <t>GÄVLEBORGS LÄN</t>
        </is>
      </c>
      <c r="G381" t="inlineStr">
        <is>
          <t>BOLLNÄS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46256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46256</v>
      </c>
      <c r="F383" t="inlineStr">
        <is>
          <t>GÄVLEBORGS LÄN</t>
        </is>
      </c>
      <c r="G383" t="inlineStr">
        <is>
          <t>BOLLNÄS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46256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öst AB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45145</v>
      </c>
      <c r="E385" s="1" t="n">
        <v>46256</v>
      </c>
      <c r="F385" t="inlineStr">
        <is>
          <t>GÄVLEBORGS LÄN</t>
        </is>
      </c>
      <c r="G385" t="inlineStr">
        <is>
          <t>BOLLNÄS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46256</v>
      </c>
      <c r="F386" t="inlineStr">
        <is>
          <t>GÄVLEBORGS LÄN</t>
        </is>
      </c>
      <c r="G386" t="inlineStr">
        <is>
          <t>BOLLNÄS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46256</v>
      </c>
      <c r="F387" t="inlineStr">
        <is>
          <t>GÄVLEBORGS LÄN</t>
        </is>
      </c>
      <c r="G387" t="inlineStr">
        <is>
          <t>BOLLNÄS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44897</v>
      </c>
      <c r="E388" s="1" t="n">
        <v>46256</v>
      </c>
      <c r="F388" t="inlineStr">
        <is>
          <t>GÄVLEBORGS LÄN</t>
        </is>
      </c>
      <c r="G388" t="inlineStr">
        <is>
          <t>BOLLNÄS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45968</v>
      </c>
      <c r="E389" s="1" t="n">
        <v>46256</v>
      </c>
      <c r="F389" t="inlineStr">
        <is>
          <t>GÄVLEBORGS LÄN</t>
        </is>
      </c>
      <c r="G389" t="inlineStr">
        <is>
          <t>BOLLNÄS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45968</v>
      </c>
      <c r="E390" s="1" t="n">
        <v>46256</v>
      </c>
      <c r="F390" t="inlineStr">
        <is>
          <t>GÄVLEBORGS LÄN</t>
        </is>
      </c>
      <c r="G390" t="inlineStr">
        <is>
          <t>BOLLNÄS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24994-2024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45461</v>
      </c>
      <c r="E391" s="1" t="n">
        <v>46256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46256</v>
      </c>
      <c r="F392" t="inlineStr">
        <is>
          <t>GÄVLEBORGS LÄN</t>
        </is>
      </c>
      <c r="G392" t="inlineStr">
        <is>
          <t>BOLLNÄS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34481-2025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45847</v>
      </c>
      <c r="E393" s="1" t="n">
        <v>46256</v>
      </c>
      <c r="F393" t="inlineStr">
        <is>
          <t>GÄVLEBORGS LÄN</t>
        </is>
      </c>
      <c r="G393" t="inlineStr">
        <is>
          <t>BOLLNÄS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46256</v>
      </c>
      <c r="F394" t="inlineStr">
        <is>
          <t>GÄVLEBORGS LÄN</t>
        </is>
      </c>
      <c r="G394" t="inlineStr">
        <is>
          <t>BOLLNÄS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46256</v>
      </c>
      <c r="F395" t="inlineStr">
        <is>
          <t>GÄVLEBORGS LÄN</t>
        </is>
      </c>
      <c r="G395" t="inlineStr">
        <is>
          <t>BOLLNÄS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46256</v>
      </c>
      <c r="F396" t="inlineStr">
        <is>
          <t>GÄVLEBORGS LÄN</t>
        </is>
      </c>
      <c r="G396" t="inlineStr">
        <is>
          <t>BOLLNÄS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46256</v>
      </c>
      <c r="F397" t="inlineStr">
        <is>
          <t>GÄVLEBORGS LÄN</t>
        </is>
      </c>
      <c r="G397" t="inlineStr">
        <is>
          <t>BOLLNÄS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44594</v>
      </c>
      <c r="E398" s="1" t="n">
        <v>46256</v>
      </c>
      <c r="F398" t="inlineStr">
        <is>
          <t>GÄVLEBORGS LÄN</t>
        </is>
      </c>
      <c r="G398" t="inlineStr">
        <is>
          <t>BOLLNÄS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46256</v>
      </c>
      <c r="F399" t="inlineStr">
        <is>
          <t>GÄVLEBORGS LÄN</t>
        </is>
      </c>
      <c r="G399" t="inlineStr">
        <is>
          <t>BOLLNÄS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45040</v>
      </c>
      <c r="E400" s="1" t="n">
        <v>46256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46256</v>
      </c>
      <c r="F401" t="inlineStr">
        <is>
          <t>GÄVLEBORGS LÄN</t>
        </is>
      </c>
      <c r="G401" t="inlineStr">
        <is>
          <t>BOLLNÄS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46256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44595</v>
      </c>
      <c r="E403" s="1" t="n">
        <v>46256</v>
      </c>
      <c r="F403" t="inlineStr">
        <is>
          <t>GÄVLEBORGS LÄN</t>
        </is>
      </c>
      <c r="G403" t="inlineStr">
        <is>
          <t>BOLLNÄS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46256</v>
      </c>
      <c r="F404" t="inlineStr">
        <is>
          <t>GÄVLEBORGS LÄN</t>
        </is>
      </c>
      <c r="G404" t="inlineStr">
        <is>
          <t>BOLLNÄS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46256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46256</v>
      </c>
      <c r="F406" t="inlineStr">
        <is>
          <t>GÄVLEBORGS LÄN</t>
        </is>
      </c>
      <c r="G406" t="inlineStr">
        <is>
          <t>BOLLNÄS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45092</v>
      </c>
      <c r="E407" s="1" t="n">
        <v>46256</v>
      </c>
      <c r="F407" t="inlineStr">
        <is>
          <t>GÄVLEBORGS LÄN</t>
        </is>
      </c>
      <c r="G407" t="inlineStr">
        <is>
          <t>BOLLNÄS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63865-2023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46256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46256</v>
      </c>
      <c r="F409" t="inlineStr">
        <is>
          <t>GÄVLEBORGS LÄN</t>
        </is>
      </c>
      <c r="G409" t="inlineStr">
        <is>
          <t>BOLLNÄS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46256</v>
      </c>
      <c r="F410" t="inlineStr">
        <is>
          <t>GÄVLEBORGS LÄN</t>
        </is>
      </c>
      <c r="G410" t="inlineStr">
        <is>
          <t>BOLLNÄS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45848</v>
      </c>
      <c r="E411" s="1" t="n">
        <v>46256</v>
      </c>
      <c r="F411" t="inlineStr">
        <is>
          <t>GÄVLEBORGS LÄN</t>
        </is>
      </c>
      <c r="G411" t="inlineStr">
        <is>
          <t>BOLLNÄS</t>
        </is>
      </c>
      <c r="H411" t="inlineStr">
        <is>
          <t>Holmen skog AB</t>
        </is>
      </c>
      <c r="I411" t="n">
        <v>32.6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46256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46256</v>
      </c>
      <c r="F413" t="inlineStr">
        <is>
          <t>GÄVLEBORGS LÄN</t>
        </is>
      </c>
      <c r="G413" t="inlineStr">
        <is>
          <t>BOLLNÄS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46256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46256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46256</v>
      </c>
      <c r="F416" t="inlineStr">
        <is>
          <t>GÄVLEBORGS LÄN</t>
        </is>
      </c>
      <c r="G416" t="inlineStr">
        <is>
          <t>BOLLNÄS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46256</v>
      </c>
      <c r="F417" t="inlineStr">
        <is>
          <t>GÄVLEBORGS LÄN</t>
        </is>
      </c>
      <c r="G417" t="inlineStr">
        <is>
          <t>BOLLNÄS</t>
        </is>
      </c>
      <c r="I417" t="n">
        <v>10.8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46256</v>
      </c>
      <c r="F418" t="inlineStr">
        <is>
          <t>GÄVLEBORGS LÄN</t>
        </is>
      </c>
      <c r="G418" t="inlineStr">
        <is>
          <t>BOLLNÄS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46256</v>
      </c>
      <c r="F419" t="inlineStr">
        <is>
          <t>GÄVLEBORGS LÄN</t>
        </is>
      </c>
      <c r="G419" t="inlineStr">
        <is>
          <t>BOLLNÄS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45624</v>
      </c>
      <c r="E420" s="1" t="n">
        <v>46256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46256</v>
      </c>
      <c r="F421" t="inlineStr">
        <is>
          <t>GÄVLEBORGS LÄN</t>
        </is>
      </c>
      <c r="G421" t="inlineStr">
        <is>
          <t>BOLLNÄS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46256</v>
      </c>
      <c r="F422" t="inlineStr">
        <is>
          <t>GÄVLEBORGS LÄN</t>
        </is>
      </c>
      <c r="G422" t="inlineStr">
        <is>
          <t>BOLLNÄS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46256</v>
      </c>
      <c r="F423" t="inlineStr">
        <is>
          <t>GÄVLEBORGS LÄN</t>
        </is>
      </c>
      <c r="G423" t="inlineStr">
        <is>
          <t>BOLLNÄS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46256</v>
      </c>
      <c r="F424" t="inlineStr">
        <is>
          <t>GÄVLEBORGS LÄN</t>
        </is>
      </c>
      <c r="G424" t="inlineStr">
        <is>
          <t>BOLLNÄS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46256</v>
      </c>
      <c r="F425" t="inlineStr">
        <is>
          <t>GÄVLEBORGS LÄN</t>
        </is>
      </c>
      <c r="G425" t="inlineStr">
        <is>
          <t>BOLLNÄS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46256</v>
      </c>
      <c r="F426" t="inlineStr">
        <is>
          <t>GÄVLEBORGS LÄN</t>
        </is>
      </c>
      <c r="G426" t="inlineStr">
        <is>
          <t>BOLLNÄS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45757</v>
      </c>
      <c r="E427" s="1" t="n">
        <v>46256</v>
      </c>
      <c r="F427" t="inlineStr">
        <is>
          <t>GÄVLEBORGS LÄN</t>
        </is>
      </c>
      <c r="G427" t="inlineStr">
        <is>
          <t>BOLLNÄS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46256</v>
      </c>
      <c r="F428" t="inlineStr">
        <is>
          <t>GÄVLEBORGS LÄN</t>
        </is>
      </c>
      <c r="G428" t="inlineStr">
        <is>
          <t>BOLLNÄS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44999</v>
      </c>
      <c r="E429" s="1" t="n">
        <v>46256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46256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45982</v>
      </c>
      <c r="E431" s="1" t="n">
        <v>46256</v>
      </c>
      <c r="F431" t="inlineStr">
        <is>
          <t>GÄVLEBORGS LÄN</t>
        </is>
      </c>
      <c r="G431" t="inlineStr">
        <is>
          <t>BOLLNÄS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46256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46256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45748</v>
      </c>
      <c r="E434" s="1" t="n">
        <v>46256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45748</v>
      </c>
      <c r="E435" s="1" t="n">
        <v>46256</v>
      </c>
      <c r="F435" t="inlineStr">
        <is>
          <t>GÄVLEBORGS LÄN</t>
        </is>
      </c>
      <c r="G435" t="inlineStr">
        <is>
          <t>BOLLNÄS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46256</v>
      </c>
      <c r="F436" t="inlineStr">
        <is>
          <t>GÄVLEBORGS LÄN</t>
        </is>
      </c>
      <c r="G436" t="inlineStr">
        <is>
          <t>BOLLNÄS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46256</v>
      </c>
      <c r="F437" t="inlineStr">
        <is>
          <t>GÄVLEBORGS LÄN</t>
        </is>
      </c>
      <c r="G437" t="inlineStr">
        <is>
          <t>BOLLNÄS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46256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45448</v>
      </c>
      <c r="E439" s="1" t="n">
        <v>46256</v>
      </c>
      <c r="F439" t="inlineStr">
        <is>
          <t>GÄVLEBORGS LÄN</t>
        </is>
      </c>
      <c r="G439" t="inlineStr">
        <is>
          <t>BOLLNÄS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46256</v>
      </c>
      <c r="F440" t="inlineStr">
        <is>
          <t>GÄVLEBORGS LÄN</t>
        </is>
      </c>
      <c r="G440" t="inlineStr">
        <is>
          <t>BOLLNÄS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44454</v>
      </c>
      <c r="E441" s="1" t="n">
        <v>46256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45572</v>
      </c>
      <c r="E442" s="1" t="n">
        <v>46256</v>
      </c>
      <c r="F442" t="inlineStr">
        <is>
          <t>GÄVLEBORGS LÄN</t>
        </is>
      </c>
      <c r="G442" t="inlineStr">
        <is>
          <t>BOLLNÄS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46256</v>
      </c>
      <c r="F443" t="inlineStr">
        <is>
          <t>GÄVLEBORGS LÄN</t>
        </is>
      </c>
      <c r="G443" t="inlineStr">
        <is>
          <t>BOLLNÄS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6903-2025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45701</v>
      </c>
      <c r="E444" s="1" t="n">
        <v>46256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46256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45987</v>
      </c>
      <c r="E446" s="1" t="n">
        <v>46256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45989</v>
      </c>
      <c r="E447" s="1" t="n">
        <v>46256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45852</v>
      </c>
      <c r="E448" s="1" t="n">
        <v>46256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46256</v>
      </c>
      <c r="F449" t="inlineStr">
        <is>
          <t>GÄVLEBORGS LÄN</t>
        </is>
      </c>
      <c r="G449" t="inlineStr">
        <is>
          <t>BOLLNÄS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45174</v>
      </c>
      <c r="E450" s="1" t="n">
        <v>46256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46256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46256</v>
      </c>
      <c r="F452" t="inlineStr">
        <is>
          <t>GÄVLEBORGS LÄN</t>
        </is>
      </c>
      <c r="G452" t="inlineStr">
        <is>
          <t>BOLLNÄS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46256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46256</v>
      </c>
      <c r="F454" t="inlineStr">
        <is>
          <t>GÄVLEBORGS LÄN</t>
        </is>
      </c>
      <c r="G454" t="inlineStr">
        <is>
          <t>BOLLNÄS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45219</v>
      </c>
      <c r="E455" s="1" t="n">
        <v>46256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46256</v>
      </c>
      <c r="F456" t="inlineStr">
        <is>
          <t>GÄVLEBORGS LÄN</t>
        </is>
      </c>
      <c r="G456" t="inlineStr">
        <is>
          <t>BOLLNÄS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46256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57378-2024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46256</v>
      </c>
      <c r="F458" t="inlineStr">
        <is>
          <t>GÄVLEBORGS LÄN</t>
        </is>
      </c>
      <c r="G458" t="inlineStr">
        <is>
          <t>BOLLNÄS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46256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45638</v>
      </c>
      <c r="E460" s="1" t="n">
        <v>46256</v>
      </c>
      <c r="F460" t="inlineStr">
        <is>
          <t>GÄVLEBORGS LÄN</t>
        </is>
      </c>
      <c r="G460" t="inlineStr">
        <is>
          <t>BOLLNÄS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51970-2024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45607</v>
      </c>
      <c r="E461" s="1" t="n">
        <v>46256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60757-2025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45999</v>
      </c>
      <c r="E462" s="1" t="n">
        <v>46256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46256</v>
      </c>
      <c r="F463" t="inlineStr">
        <is>
          <t>GÄVLEBORGS LÄN</t>
        </is>
      </c>
      <c r="G463" t="inlineStr">
        <is>
          <t>BOLLNÄS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45996</v>
      </c>
      <c r="E464" s="1" t="n">
        <v>46256</v>
      </c>
      <c r="F464" t="inlineStr">
        <is>
          <t>GÄVLEBORGS LÄN</t>
        </is>
      </c>
      <c r="G464" t="inlineStr">
        <is>
          <t>BOLLNÄS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46256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46256</v>
      </c>
      <c r="F466" t="inlineStr">
        <is>
          <t>GÄVLEBORGS LÄN</t>
        </is>
      </c>
      <c r="G466" t="inlineStr">
        <is>
          <t>BOLLNÄS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42350-2022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46256</v>
      </c>
      <c r="F467" t="inlineStr">
        <is>
          <t>GÄVLEBORGS LÄN</t>
        </is>
      </c>
      <c r="G467" t="inlineStr">
        <is>
          <t>BOLLNÄS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60573-2025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45996</v>
      </c>
      <c r="E468" s="1" t="n">
        <v>46256</v>
      </c>
      <c r="F468" t="inlineStr">
        <is>
          <t>GÄVLEBORGS LÄN</t>
        </is>
      </c>
      <c r="G468" t="inlineStr">
        <is>
          <t>BOLLNÄS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46256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46256</v>
      </c>
      <c r="F470" t="inlineStr">
        <is>
          <t>GÄVLEBORGS LÄN</t>
        </is>
      </c>
      <c r="G470" t="inlineStr">
        <is>
          <t>BOLLNÄS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14261-2025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45740</v>
      </c>
      <c r="E471" s="1" t="n">
        <v>46256</v>
      </c>
      <c r="F471" t="inlineStr">
        <is>
          <t>GÄVLEBORGS LÄN</t>
        </is>
      </c>
      <c r="G471" t="inlineStr">
        <is>
          <t>BOLLNÄS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46256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45542</v>
      </c>
      <c r="E473" s="1" t="n">
        <v>46256</v>
      </c>
      <c r="F473" t="inlineStr">
        <is>
          <t>GÄVLEBORGS LÄN</t>
        </is>
      </c>
      <c r="G473" t="inlineStr">
        <is>
          <t>BOLLNÄS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46256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46256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46256</v>
      </c>
      <c r="F476" t="inlineStr">
        <is>
          <t>GÄVLEBORGS LÄN</t>
        </is>
      </c>
      <c r="G476" t="inlineStr">
        <is>
          <t>BOLLNÄS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46256</v>
      </c>
      <c r="F477" t="inlineStr">
        <is>
          <t>GÄVLEBORGS LÄN</t>
        </is>
      </c>
      <c r="G477" t="inlineStr">
        <is>
          <t>BOLLNÄS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44856</v>
      </c>
      <c r="E478" s="1" t="n">
        <v>46256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46256</v>
      </c>
      <c r="F479" t="inlineStr">
        <is>
          <t>GÄVLEBORGS LÄN</t>
        </is>
      </c>
      <c r="G479" t="inlineStr">
        <is>
          <t>BOLLNÄS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45085</v>
      </c>
      <c r="E480" s="1" t="n">
        <v>46256</v>
      </c>
      <c r="F480" t="inlineStr">
        <is>
          <t>GÄVLEBORGS LÄN</t>
        </is>
      </c>
      <c r="G480" t="inlineStr">
        <is>
          <t>BOLLNÄS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46256</v>
      </c>
      <c r="F481" t="inlineStr">
        <is>
          <t>GÄVLEBORGS LÄN</t>
        </is>
      </c>
      <c r="G481" t="inlineStr">
        <is>
          <t>BOLLNÄS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46256</v>
      </c>
      <c r="F482" t="inlineStr">
        <is>
          <t>GÄVLEBORGS LÄN</t>
        </is>
      </c>
      <c r="G482" t="inlineStr">
        <is>
          <t>BOLLNÄS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44505</v>
      </c>
      <c r="E483" s="1" t="n">
        <v>46256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43131-2024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45567</v>
      </c>
      <c r="E484" s="1" t="n">
        <v>46256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46256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45867</v>
      </c>
      <c r="E486" s="1" t="n">
        <v>46256</v>
      </c>
      <c r="F486" t="inlineStr">
        <is>
          <t>GÄVLEBORGS LÄN</t>
        </is>
      </c>
      <c r="G486" t="inlineStr">
        <is>
          <t>BOLLNÄS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46256</v>
      </c>
      <c r="F487" t="inlineStr">
        <is>
          <t>GÄVLEBORGS LÄN</t>
        </is>
      </c>
      <c r="G487" t="inlineStr">
        <is>
          <t>BOLLNÄS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46256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46256</v>
      </c>
      <c r="F489" t="inlineStr">
        <is>
          <t>GÄVLEBORGS LÄN</t>
        </is>
      </c>
      <c r="G489" t="inlineStr">
        <is>
          <t>BOLLNÄS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46256</v>
      </c>
      <c r="F490" t="inlineStr">
        <is>
          <t>GÄVLEBORGS LÄN</t>
        </is>
      </c>
      <c r="G490" t="inlineStr">
        <is>
          <t>BOLLNÄS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64109-2025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46256</v>
      </c>
      <c r="F491" t="inlineStr">
        <is>
          <t>GÄVLEBORGS LÄN</t>
        </is>
      </c>
      <c r="G491" t="inlineStr">
        <is>
          <t>BOLLNÄS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46256</v>
      </c>
      <c r="F492" t="inlineStr">
        <is>
          <t>GÄVLEBORGS LÄN</t>
        </is>
      </c>
      <c r="G492" t="inlineStr">
        <is>
          <t>BOLLNÄS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46256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46256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44749</v>
      </c>
      <c r="E495" s="1" t="n">
        <v>46256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46256</v>
      </c>
      <c r="F496" t="inlineStr">
        <is>
          <t>GÄVLEBORGS LÄN</t>
        </is>
      </c>
      <c r="G496" t="inlineStr">
        <is>
          <t>BOLLNÄS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46256</v>
      </c>
      <c r="F497" t="inlineStr">
        <is>
          <t>GÄVLEBORGS LÄN</t>
        </is>
      </c>
      <c r="G497" t="inlineStr">
        <is>
          <t>BOLLNÄS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46256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45624</v>
      </c>
      <c r="E499" s="1" t="n">
        <v>46256</v>
      </c>
      <c r="F499" t="inlineStr">
        <is>
          <t>GÄVLEBORGS LÄN</t>
        </is>
      </c>
      <c r="G499" t="inlineStr">
        <is>
          <t>BOLLNÄS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45867</v>
      </c>
      <c r="E500" s="1" t="n">
        <v>46256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63270-2025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46256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46256</v>
      </c>
      <c r="F502" t="inlineStr">
        <is>
          <t>GÄVLEBORGS LÄN</t>
        </is>
      </c>
      <c r="G502" t="inlineStr">
        <is>
          <t>BOLLNÄS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60335-2022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44910</v>
      </c>
      <c r="E503" s="1" t="n">
        <v>46256</v>
      </c>
      <c r="F503" t="inlineStr">
        <is>
          <t>GÄVLEBORGS LÄN</t>
        </is>
      </c>
      <c r="G503" t="inlineStr">
        <is>
          <t>BOLLNÄS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46256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45299</v>
      </c>
      <c r="E505" s="1" t="n">
        <v>46256</v>
      </c>
      <c r="F505" t="inlineStr">
        <is>
          <t>GÄVLEBORGS LÄN</t>
        </is>
      </c>
      <c r="G505" t="inlineStr">
        <is>
          <t>BOLLNÄS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46256</v>
      </c>
      <c r="F506" t="inlineStr">
        <is>
          <t>GÄVLEBORGS LÄN</t>
        </is>
      </c>
      <c r="G506" t="inlineStr">
        <is>
          <t>BOLLNÄS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46256</v>
      </c>
      <c r="F507" t="inlineStr">
        <is>
          <t>GÄVLEBORGS LÄN</t>
        </is>
      </c>
      <c r="G507" t="inlineStr">
        <is>
          <t>BOLLNÄS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45979</v>
      </c>
      <c r="E508" s="1" t="n">
        <v>46256</v>
      </c>
      <c r="F508" t="inlineStr">
        <is>
          <t>GÄVLEBORGS LÄN</t>
        </is>
      </c>
      <c r="G508" t="inlineStr">
        <is>
          <t>BOLLNÄS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45457</v>
      </c>
      <c r="E509" s="1" t="n">
        <v>46256</v>
      </c>
      <c r="F509" t="inlineStr">
        <is>
          <t>GÄVLEBORGS LÄN</t>
        </is>
      </c>
      <c r="G509" t="inlineStr">
        <is>
          <t>BOLLNÄS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46256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45153</v>
      </c>
      <c r="E511" s="1" t="n">
        <v>46256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36699-2023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46256</v>
      </c>
      <c r="F512" t="inlineStr">
        <is>
          <t>GÄVLEBORGS LÄN</t>
        </is>
      </c>
      <c r="G512" t="inlineStr">
        <is>
          <t>BOLLNÄS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46256</v>
      </c>
      <c r="F513" t="inlineStr">
        <is>
          <t>GÄVLEBORGS LÄN</t>
        </is>
      </c>
      <c r="G513" t="inlineStr">
        <is>
          <t>BOLLNÄS</t>
        </is>
      </c>
      <c r="I513" t="n">
        <v>12.2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51133-2023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46256</v>
      </c>
      <c r="F514" t="inlineStr">
        <is>
          <t>GÄVLEBORGS LÄN</t>
        </is>
      </c>
      <c r="G514" t="inlineStr">
        <is>
          <t>BOLLNÄS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63976-2025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46021</v>
      </c>
      <c r="E515" s="1" t="n">
        <v>46256</v>
      </c>
      <c r="F515" t="inlineStr">
        <is>
          <t>GÄVLEBORGS LÄN</t>
        </is>
      </c>
      <c r="G515" t="inlineStr">
        <is>
          <t>BOLLNÄS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45869</v>
      </c>
      <c r="E516" s="1" t="n">
        <v>46256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44869</v>
      </c>
      <c r="E517" s="1" t="n">
        <v>46256</v>
      </c>
      <c r="F517" t="inlineStr">
        <is>
          <t>GÄVLEBORGS LÄN</t>
        </is>
      </c>
      <c r="G517" t="inlineStr">
        <is>
          <t>BOLLNÄS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46256</v>
      </c>
      <c r="F518" t="inlineStr">
        <is>
          <t>GÄVLEBORGS LÄN</t>
        </is>
      </c>
      <c r="G518" t="inlineStr">
        <is>
          <t>BOLLNÄS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45183</v>
      </c>
      <c r="E519" s="1" t="n">
        <v>46256</v>
      </c>
      <c r="F519" t="inlineStr">
        <is>
          <t>GÄVLEBORGS LÄN</t>
        </is>
      </c>
      <c r="G519" t="inlineStr">
        <is>
          <t>BOLLNÄS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46256</v>
      </c>
      <c r="F520" t="inlineStr">
        <is>
          <t>GÄVLEBORGS LÄN</t>
        </is>
      </c>
      <c r="G520" t="inlineStr">
        <is>
          <t>BOLLNÄS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45635</v>
      </c>
      <c r="E521" s="1" t="n">
        <v>46256</v>
      </c>
      <c r="F521" t="inlineStr">
        <is>
          <t>GÄVLEBORGS LÄN</t>
        </is>
      </c>
      <c r="G521" t="inlineStr">
        <is>
          <t>BOLLNÄS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46002</v>
      </c>
      <c r="E522" s="1" t="n">
        <v>46256</v>
      </c>
      <c r="F522" t="inlineStr">
        <is>
          <t>GÄVLEBORGS LÄN</t>
        </is>
      </c>
      <c r="G522" t="inlineStr">
        <is>
          <t>BOLLNÄS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46256</v>
      </c>
      <c r="F523" t="inlineStr">
        <is>
          <t>GÄVLEBORGS LÄN</t>
        </is>
      </c>
      <c r="G523" t="inlineStr">
        <is>
          <t>BOLLNÄS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46256</v>
      </c>
      <c r="F524" t="inlineStr">
        <is>
          <t>GÄVLEBORGS LÄN</t>
        </is>
      </c>
      <c r="G524" t="inlineStr">
        <is>
          <t>BOLLNÄS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46002</v>
      </c>
      <c r="E525" s="1" t="n">
        <v>46256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46008</v>
      </c>
      <c r="E526" s="1" t="n">
        <v>46256</v>
      </c>
      <c r="F526" t="inlineStr">
        <is>
          <t>GÄVLEBORGS LÄN</t>
        </is>
      </c>
      <c r="G526" t="inlineStr">
        <is>
          <t>BOLLNÄS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46256</v>
      </c>
      <c r="F527" t="inlineStr">
        <is>
          <t>GÄVLEBORGS LÄN</t>
        </is>
      </c>
      <c r="G527" t="inlineStr">
        <is>
          <t>BOLLNÄS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46256</v>
      </c>
      <c r="F528" t="inlineStr">
        <is>
          <t>GÄVLEBORGS LÄN</t>
        </is>
      </c>
      <c r="G528" t="inlineStr">
        <is>
          <t>BOLLNÄS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46256</v>
      </c>
      <c r="F529" t="inlineStr">
        <is>
          <t>GÄVLEBORGS LÄN</t>
        </is>
      </c>
      <c r="G529" t="inlineStr">
        <is>
          <t>BOLLNÄS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54949-2022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44886</v>
      </c>
      <c r="E530" s="1" t="n">
        <v>46256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46256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46024</v>
      </c>
      <c r="E532" s="1" t="n">
        <v>46256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46256</v>
      </c>
      <c r="F533" t="inlineStr">
        <is>
          <t>GÄVLEBORGS LÄN</t>
        </is>
      </c>
      <c r="G533" t="inlineStr">
        <is>
          <t>BOLLNÄS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46256</v>
      </c>
      <c r="F534" t="inlineStr">
        <is>
          <t>GÄVLEBORGS LÄN</t>
        </is>
      </c>
      <c r="G534" t="inlineStr">
        <is>
          <t>BOLLNÄS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46256</v>
      </c>
      <c r="F535" t="inlineStr">
        <is>
          <t>GÄVLEBORGS LÄN</t>
        </is>
      </c>
      <c r="G535" t="inlineStr">
        <is>
          <t>BOLLNÄS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46256</v>
      </c>
      <c r="F536" t="inlineStr">
        <is>
          <t>GÄVLEBORGS LÄN</t>
        </is>
      </c>
      <c r="G536" t="inlineStr">
        <is>
          <t>BOLLNÄS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46256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46256</v>
      </c>
      <c r="F538" t="inlineStr">
        <is>
          <t>GÄVLEBORGS LÄN</t>
        </is>
      </c>
      <c r="G538" t="inlineStr">
        <is>
          <t>BOLLNÄS</t>
        </is>
      </c>
      <c r="I538" t="n">
        <v>15.2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46256</v>
      </c>
      <c r="F539" t="inlineStr">
        <is>
          <t>GÄVLEBORGS LÄN</t>
        </is>
      </c>
      <c r="G539" t="inlineStr">
        <is>
          <t>BOLLNÄS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46256</v>
      </c>
      <c r="F540" t="inlineStr">
        <is>
          <t>GÄVLEBORGS LÄN</t>
        </is>
      </c>
      <c r="G540" t="inlineStr">
        <is>
          <t>BOLLNÄS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45506</v>
      </c>
      <c r="E541" s="1" t="n">
        <v>46256</v>
      </c>
      <c r="F541" t="inlineStr">
        <is>
          <t>GÄVLEBORGS LÄN</t>
        </is>
      </c>
      <c r="G541" t="inlineStr">
        <is>
          <t>BOLLNÄS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46256</v>
      </c>
      <c r="F542" t="inlineStr">
        <is>
          <t>GÄVLEBORGS LÄN</t>
        </is>
      </c>
      <c r="G542" t="inlineStr">
        <is>
          <t>BOLLNÄS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46256</v>
      </c>
      <c r="F543" t="inlineStr">
        <is>
          <t>GÄVLEBORGS LÄN</t>
        </is>
      </c>
      <c r="G543" t="inlineStr">
        <is>
          <t>BOLLNÄS</t>
        </is>
      </c>
      <c r="I543" t="n">
        <v>16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45161</v>
      </c>
      <c r="E544" s="1" t="n">
        <v>46256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46256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46256</v>
      </c>
      <c r="F546" t="inlineStr">
        <is>
          <t>GÄVLEBORGS LÄN</t>
        </is>
      </c>
      <c r="G546" t="inlineStr">
        <is>
          <t>BOLLNÄS</t>
        </is>
      </c>
      <c r="I546" t="n">
        <v>13.2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46256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46256</v>
      </c>
      <c r="F548" t="inlineStr">
        <is>
          <t>GÄVLEBORGS LÄN</t>
        </is>
      </c>
      <c r="G548" t="inlineStr">
        <is>
          <t>BOLLNÄS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46256</v>
      </c>
      <c r="F549" t="inlineStr">
        <is>
          <t>GÄVLEBORGS LÄN</t>
        </is>
      </c>
      <c r="G549" t="inlineStr">
        <is>
          <t>BOLLNÄS</t>
        </is>
      </c>
      <c r="I549" t="n">
        <v>11.8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45497</v>
      </c>
      <c r="E550" s="1" t="n">
        <v>46256</v>
      </c>
      <c r="F550" t="inlineStr">
        <is>
          <t>GÄVLEBORGS LÄN</t>
        </is>
      </c>
      <c r="G550" t="inlineStr">
        <is>
          <t>BOLLNÄS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45497</v>
      </c>
      <c r="E551" s="1" t="n">
        <v>46256</v>
      </c>
      <c r="F551" t="inlineStr">
        <is>
          <t>GÄVLEBORGS LÄN</t>
        </is>
      </c>
      <c r="G551" t="inlineStr">
        <is>
          <t>BOLLNÄS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46256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46256</v>
      </c>
      <c r="F553" t="inlineStr">
        <is>
          <t>GÄVLEBORGS LÄN</t>
        </is>
      </c>
      <c r="G553" t="inlineStr">
        <is>
          <t>BOLLNÄS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46256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46256</v>
      </c>
      <c r="F555" t="inlineStr">
        <is>
          <t>GÄVLEBORGS LÄN</t>
        </is>
      </c>
      <c r="G555" t="inlineStr">
        <is>
          <t>BOLLNÄS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46256</v>
      </c>
      <c r="F556" t="inlineStr">
        <is>
          <t>GÄVLEBORGS LÄN</t>
        </is>
      </c>
      <c r="G556" t="inlineStr">
        <is>
          <t>BOLLNÄS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63268-2025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46256</v>
      </c>
      <c r="F557" t="inlineStr">
        <is>
          <t>GÄVLEBORGS LÄN</t>
        </is>
      </c>
      <c r="G557" t="inlineStr">
        <is>
          <t>BOLLNÄS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45310</v>
      </c>
      <c r="E558" s="1" t="n">
        <v>46256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45486</v>
      </c>
      <c r="E559" s="1" t="n">
        <v>46256</v>
      </c>
      <c r="F559" t="inlineStr">
        <is>
          <t>GÄVLEBORGS LÄN</t>
        </is>
      </c>
      <c r="G559" t="inlineStr">
        <is>
          <t>BOLLNÄS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46256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46256</v>
      </c>
      <c r="F561" t="inlineStr">
        <is>
          <t>GÄVLEBORGS LÄN</t>
        </is>
      </c>
      <c r="G561" t="inlineStr">
        <is>
          <t>BOLLNÄS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46256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46256</v>
      </c>
      <c r="F563" t="inlineStr">
        <is>
          <t>GÄVLEBORGS LÄN</t>
        </is>
      </c>
      <c r="G563" t="inlineStr">
        <is>
          <t>BOLLNÄS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46256</v>
      </c>
      <c r="F564" t="inlineStr">
        <is>
          <t>GÄVLEBORGS LÄN</t>
        </is>
      </c>
      <c r="G564" t="inlineStr">
        <is>
          <t>BOLLNÄS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46256</v>
      </c>
      <c r="F565" t="inlineStr">
        <is>
          <t>GÄVLEBORGS LÄN</t>
        </is>
      </c>
      <c r="G565" t="inlineStr">
        <is>
          <t>BOLLNÄS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46256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46256</v>
      </c>
      <c r="F567" t="inlineStr">
        <is>
          <t>GÄVLEBORGS LÄN</t>
        </is>
      </c>
      <c r="G567" t="inlineStr">
        <is>
          <t>BOLLNÄS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46256</v>
      </c>
      <c r="F568" t="inlineStr">
        <is>
          <t>GÄVLEBORGS LÄN</t>
        </is>
      </c>
      <c r="G568" t="inlineStr">
        <is>
          <t>BOLLNÄS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46256</v>
      </c>
      <c r="F569" t="inlineStr">
        <is>
          <t>GÄVLEBORGS LÄN</t>
        </is>
      </c>
      <c r="G569" t="inlineStr">
        <is>
          <t>BOLLNÄS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46256</v>
      </c>
      <c r="F570" t="inlineStr">
        <is>
          <t>GÄVLEBORGS LÄN</t>
        </is>
      </c>
      <c r="G570" t="inlineStr">
        <is>
          <t>BOLLNÄS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51137-2023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46256</v>
      </c>
      <c r="F571" t="inlineStr">
        <is>
          <t>GÄVLEBORGS LÄN</t>
        </is>
      </c>
      <c r="G571" t="inlineStr">
        <is>
          <t>BOLLNÄS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46256</v>
      </c>
      <c r="F572" t="inlineStr">
        <is>
          <t>GÄVLEBORGS LÄN</t>
        </is>
      </c>
      <c r="G572" t="inlineStr">
        <is>
          <t>BOLLNÄS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46036</v>
      </c>
      <c r="E573" s="1" t="n">
        <v>46256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46256</v>
      </c>
      <c r="F574" t="inlineStr">
        <is>
          <t>GÄVLEBORGS LÄN</t>
        </is>
      </c>
      <c r="G574" t="inlineStr">
        <is>
          <t>BOLLNÄS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46256</v>
      </c>
      <c r="F575" t="inlineStr">
        <is>
          <t>GÄVLEBORGS LÄN</t>
        </is>
      </c>
      <c r="G575" t="inlineStr">
        <is>
          <t>BOLLNÄS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46256</v>
      </c>
      <c r="F576" t="inlineStr">
        <is>
          <t>GÄVLEBORGS LÄN</t>
        </is>
      </c>
      <c r="G576" t="inlineStr">
        <is>
          <t>BOLLNÄS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46256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46038</v>
      </c>
      <c r="E578" s="1" t="n">
        <v>46256</v>
      </c>
      <c r="F578" t="inlineStr">
        <is>
          <t>GÄVLEBORGS LÄN</t>
        </is>
      </c>
      <c r="G578" t="inlineStr">
        <is>
          <t>BOLLNÄS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46256</v>
      </c>
      <c r="F579" t="inlineStr">
        <is>
          <t>GÄVLEBORGS LÄN</t>
        </is>
      </c>
      <c r="G579" t="inlineStr">
        <is>
          <t>BOLLNÄS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52613-2024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45609</v>
      </c>
      <c r="E580" s="1" t="n">
        <v>46256</v>
      </c>
      <c r="F580" t="inlineStr">
        <is>
          <t>GÄVLEBORGS LÄN</t>
        </is>
      </c>
      <c r="G580" t="inlineStr">
        <is>
          <t>BOLLNÄS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46040</v>
      </c>
      <c r="E581" s="1" t="n">
        <v>46256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46256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46040</v>
      </c>
      <c r="E583" s="1" t="n">
        <v>46256</v>
      </c>
      <c r="F583" t="inlineStr">
        <is>
          <t>GÄVLEBORGS LÄN</t>
        </is>
      </c>
      <c r="G583" t="inlineStr">
        <is>
          <t>BOLLNÄS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46256</v>
      </c>
      <c r="F584" t="inlineStr">
        <is>
          <t>GÄVLEBORGS LÄN</t>
        </is>
      </c>
      <c r="G584" t="inlineStr">
        <is>
          <t>BOLLNÄS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46040</v>
      </c>
      <c r="E585" s="1" t="n">
        <v>46256</v>
      </c>
      <c r="F585" t="inlineStr">
        <is>
          <t>GÄVLEBORGS LÄN</t>
        </is>
      </c>
      <c r="G585" t="inlineStr">
        <is>
          <t>BOLLNÄS</t>
        </is>
      </c>
      <c r="I585" t="n">
        <v>31.3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46040</v>
      </c>
      <c r="E586" s="1" t="n">
        <v>46256</v>
      </c>
      <c r="F586" t="inlineStr">
        <is>
          <t>GÄVLEBORGS LÄN</t>
        </is>
      </c>
      <c r="G586" t="inlineStr">
        <is>
          <t>BOLLNÄS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46256</v>
      </c>
      <c r="F587" t="inlineStr">
        <is>
          <t>GÄVLEBORGS LÄN</t>
        </is>
      </c>
      <c r="G587" t="inlineStr">
        <is>
          <t>BOLLNÄS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46256</v>
      </c>
      <c r="F588" t="inlineStr">
        <is>
          <t>GÄVLEBORGS LÄN</t>
        </is>
      </c>
      <c r="G588" t="inlineStr">
        <is>
          <t>BOLLNÄS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46256</v>
      </c>
      <c r="F589" t="inlineStr">
        <is>
          <t>GÄVLEBORGS LÄN</t>
        </is>
      </c>
      <c r="G589" t="inlineStr">
        <is>
          <t>BOLLNÄS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46256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46256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46256</v>
      </c>
      <c r="F592" t="inlineStr">
        <is>
          <t>GÄVLEBORGS LÄN</t>
        </is>
      </c>
      <c r="G592" t="inlineStr">
        <is>
          <t>BOLLNÄS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46256</v>
      </c>
      <c r="F593" t="inlineStr">
        <is>
          <t>GÄVLEBORGS LÄN</t>
        </is>
      </c>
      <c r="G593" t="inlineStr">
        <is>
          <t>BOLLNÄS</t>
        </is>
      </c>
      <c r="I593" t="n">
        <v>18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46256</v>
      </c>
      <c r="F594" t="inlineStr">
        <is>
          <t>GÄVLEBORGS LÄN</t>
        </is>
      </c>
      <c r="G594" t="inlineStr">
        <is>
          <t>BOLLNÄS</t>
        </is>
      </c>
      <c r="I594" t="n">
        <v>26.9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46040</v>
      </c>
      <c r="E595" s="1" t="n">
        <v>46256</v>
      </c>
      <c r="F595" t="inlineStr">
        <is>
          <t>GÄVLEBORGS LÄN</t>
        </is>
      </c>
      <c r="G595" t="inlineStr">
        <is>
          <t>BOLLNÄS</t>
        </is>
      </c>
      <c r="I595" t="n">
        <v>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46040</v>
      </c>
      <c r="E596" s="1" t="n">
        <v>46256</v>
      </c>
      <c r="F596" t="inlineStr">
        <is>
          <t>GÄVLEBORGS LÄN</t>
        </is>
      </c>
      <c r="G596" t="inlineStr">
        <is>
          <t>BOLLNÄS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46041</v>
      </c>
      <c r="E597" s="1" t="n">
        <v>46256</v>
      </c>
      <c r="F597" t="inlineStr">
        <is>
          <t>GÄVLEBORGS LÄN</t>
        </is>
      </c>
      <c r="G597" t="inlineStr">
        <is>
          <t>BOLLNÄS</t>
        </is>
      </c>
      <c r="I597" t="n">
        <v>34.3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46256</v>
      </c>
      <c r="F598" t="inlineStr">
        <is>
          <t>GÄVLEBORGS LÄN</t>
        </is>
      </c>
      <c r="G598" t="inlineStr">
        <is>
          <t>BOLLNÄS</t>
        </is>
      </c>
      <c r="I598" t="n">
        <v>8.800000000000001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46256</v>
      </c>
      <c r="F599" t="inlineStr">
        <is>
          <t>GÄVLEBORGS LÄN</t>
        </is>
      </c>
      <c r="G599" t="inlineStr">
        <is>
          <t>BOLLNÄS</t>
        </is>
      </c>
      <c r="I599" t="n">
        <v>17.7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46256</v>
      </c>
      <c r="F600" t="inlineStr">
        <is>
          <t>GÄVLEBORGS LÄN</t>
        </is>
      </c>
      <c r="G600" t="inlineStr">
        <is>
          <t>BOLLNÄS</t>
        </is>
      </c>
      <c r="I600" t="n">
        <v>12.9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46040</v>
      </c>
      <c r="E601" s="1" t="n">
        <v>46256</v>
      </c>
      <c r="F601" t="inlineStr">
        <is>
          <t>GÄVLEBORGS LÄN</t>
        </is>
      </c>
      <c r="G601" t="inlineStr">
        <is>
          <t>BOLLNÄS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46256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45733</v>
      </c>
      <c r="E603" s="1" t="n">
        <v>46256</v>
      </c>
      <c r="F603" t="inlineStr">
        <is>
          <t>GÄVLEBORGS LÄN</t>
        </is>
      </c>
      <c r="G603" t="inlineStr">
        <is>
          <t>BOLLNÄS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45733</v>
      </c>
      <c r="E604" s="1" t="n">
        <v>46256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45478</v>
      </c>
      <c r="E605" s="1" t="n">
        <v>46256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41962-2022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46256</v>
      </c>
      <c r="F606" t="inlineStr">
        <is>
          <t>GÄVLEBORGS LÄN</t>
        </is>
      </c>
      <c r="G606" t="inlineStr">
        <is>
          <t>BOLLNÄS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46256</v>
      </c>
      <c r="F607" t="inlineStr">
        <is>
          <t>GÄVLEBORGS LÄN</t>
        </is>
      </c>
      <c r="G607" t="inlineStr">
        <is>
          <t>BOLLNÄS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46256</v>
      </c>
      <c r="F608" t="inlineStr">
        <is>
          <t>GÄVLEBORGS LÄN</t>
        </is>
      </c>
      <c r="G608" t="inlineStr">
        <is>
          <t>BOLLNÄS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46042</v>
      </c>
      <c r="E609" s="1" t="n">
        <v>46256</v>
      </c>
      <c r="F609" t="inlineStr">
        <is>
          <t>GÄVLEBORGS LÄN</t>
        </is>
      </c>
      <c r="G609" t="inlineStr">
        <is>
          <t>BOLLNÄS</t>
        </is>
      </c>
      <c r="I609" t="n">
        <v>18.3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46256</v>
      </c>
      <c r="F610" t="inlineStr">
        <is>
          <t>GÄVLEBORGS LÄN</t>
        </is>
      </c>
      <c r="G610" t="inlineStr">
        <is>
          <t>BOLLNÄS</t>
        </is>
      </c>
      <c r="I610" t="n">
        <v>8.9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45455</v>
      </c>
      <c r="E611" s="1" t="n">
        <v>46256</v>
      </c>
      <c r="F611" t="inlineStr">
        <is>
          <t>GÄVLEBORGS LÄN</t>
        </is>
      </c>
      <c r="G611" t="inlineStr">
        <is>
          <t>BOLLNÄS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46042</v>
      </c>
      <c r="E612" s="1" t="n">
        <v>46256</v>
      </c>
      <c r="F612" t="inlineStr">
        <is>
          <t>GÄVLEBORGS LÄN</t>
        </is>
      </c>
      <c r="G612" t="inlineStr">
        <is>
          <t>BOLLNÄS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46256</v>
      </c>
      <c r="F613" t="inlineStr">
        <is>
          <t>GÄVLEBORGS LÄN</t>
        </is>
      </c>
      <c r="G613" t="inlineStr">
        <is>
          <t>BOLLNÄS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46256</v>
      </c>
      <c r="F614" t="inlineStr">
        <is>
          <t>GÄVLEBORGS LÄN</t>
        </is>
      </c>
      <c r="G614" t="inlineStr">
        <is>
          <t>BOLLNÄS</t>
        </is>
      </c>
      <c r="I614" t="n">
        <v>36.1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34613-2024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45526</v>
      </c>
      <c r="E615" s="1" t="n">
        <v>46256</v>
      </c>
      <c r="F615" t="inlineStr">
        <is>
          <t>GÄVLEBORGS LÄN</t>
        </is>
      </c>
      <c r="G615" t="inlineStr">
        <is>
          <t>BOLLNÄS</t>
        </is>
      </c>
      <c r="H615" t="inlineStr">
        <is>
          <t>Sveaskog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46256</v>
      </c>
      <c r="F616" t="inlineStr">
        <is>
          <t>GÄVLEBORGS LÄN</t>
        </is>
      </c>
      <c r="G616" t="inlineStr">
        <is>
          <t>BOLLNÄS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46256</v>
      </c>
      <c r="F617" t="inlineStr">
        <is>
          <t>GÄVLEBORGS LÄN</t>
        </is>
      </c>
      <c r="G617" t="inlineStr">
        <is>
          <t>BOLLNÄS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46256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46256</v>
      </c>
      <c r="F619" t="inlineStr">
        <is>
          <t>GÄVLEBORGS LÄN</t>
        </is>
      </c>
      <c r="G619" t="inlineStr">
        <is>
          <t>BOLLNÄS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51259-2023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45219</v>
      </c>
      <c r="E620" s="1" t="n">
        <v>46256</v>
      </c>
      <c r="F620" t="inlineStr">
        <is>
          <t>GÄVLEBORGS LÄN</t>
        </is>
      </c>
      <c r="G620" t="inlineStr">
        <is>
          <t>BOLLNÄS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46256</v>
      </c>
      <c r="F621" t="inlineStr">
        <is>
          <t>GÄVLEBORGS LÄN</t>
        </is>
      </c>
      <c r="G621" t="inlineStr">
        <is>
          <t>BOLLNÄS</t>
        </is>
      </c>
      <c r="I621" t="n">
        <v>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51261-2023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45219</v>
      </c>
      <c r="E622" s="1" t="n">
        <v>46256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46256</v>
      </c>
      <c r="F623" t="inlineStr">
        <is>
          <t>GÄVLEBORGS LÄN</t>
        </is>
      </c>
      <c r="G623" t="inlineStr">
        <is>
          <t>BOLLNÄS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44865</v>
      </c>
      <c r="E624" s="1" t="n">
        <v>46256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46256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46256</v>
      </c>
      <c r="F626" t="inlineStr">
        <is>
          <t>GÄVLEBORGS LÄN</t>
        </is>
      </c>
      <c r="G626" t="inlineStr">
        <is>
          <t>BOLLNÄS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46256</v>
      </c>
      <c r="F627" t="inlineStr">
        <is>
          <t>GÄVLEBORGS LÄN</t>
        </is>
      </c>
      <c r="G627" t="inlineStr">
        <is>
          <t>BOLLNÄS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46256</v>
      </c>
      <c r="F628" t="inlineStr">
        <is>
          <t>GÄVLEBORGS LÄN</t>
        </is>
      </c>
      <c r="G628" t="inlineStr">
        <is>
          <t>BOLLNÄS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46256</v>
      </c>
      <c r="F629" t="inlineStr">
        <is>
          <t>GÄVLEBORGS LÄN</t>
        </is>
      </c>
      <c r="G629" t="inlineStr">
        <is>
          <t>BOLLNÄS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46256</v>
      </c>
      <c r="F630" t="inlineStr">
        <is>
          <t>GÄVLEBORGS LÄN</t>
        </is>
      </c>
      <c r="G630" t="inlineStr">
        <is>
          <t>BOLLNÄS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46256</v>
      </c>
      <c r="F631" t="inlineStr">
        <is>
          <t>GÄVLEBORGS LÄN</t>
        </is>
      </c>
      <c r="G631" t="inlineStr">
        <is>
          <t>BOLLNÄS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46162</v>
      </c>
      <c r="E632" s="1" t="n">
        <v>46256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46256</v>
      </c>
      <c r="F633" t="inlineStr">
        <is>
          <t>GÄVLEBORGS LÄN</t>
        </is>
      </c>
      <c r="G633" t="inlineStr">
        <is>
          <t>BOLLNÄS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23288-2026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46162</v>
      </c>
      <c r="E634" s="1" t="n">
        <v>46256</v>
      </c>
      <c r="F634" t="inlineStr">
        <is>
          <t>GÄVLEBORGS LÄN</t>
        </is>
      </c>
      <c r="G634" t="inlineStr">
        <is>
          <t>BOLLNÄS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23387-2026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46256</v>
      </c>
      <c r="F635" t="inlineStr">
        <is>
          <t>GÄVLEBORGS LÄN</t>
        </is>
      </c>
      <c r="G635" t="inlineStr">
        <is>
          <t>BOLLNÄS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46256</v>
      </c>
      <c r="F636" t="inlineStr">
        <is>
          <t>GÄVLEBORGS LÄN</t>
        </is>
      </c>
      <c r="G636" t="inlineStr">
        <is>
          <t>BOLLNÄS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45734</v>
      </c>
      <c r="E637" s="1" t="n">
        <v>46256</v>
      </c>
      <c r="F637" t="inlineStr">
        <is>
          <t>GÄVLEBORGS LÄN</t>
        </is>
      </c>
      <c r="G637" t="inlineStr">
        <is>
          <t>BOLLNÄS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46256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46256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46256</v>
      </c>
      <c r="F640" t="inlineStr">
        <is>
          <t>GÄVLEBORGS LÄN</t>
        </is>
      </c>
      <c r="G640" t="inlineStr">
        <is>
          <t>BOLLNÄS</t>
        </is>
      </c>
      <c r="H640" t="inlineStr">
        <is>
          <t>Sveaskog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46256</v>
      </c>
      <c r="F641" t="inlineStr">
        <is>
          <t>GÄVLEBORGS LÄN</t>
        </is>
      </c>
      <c r="G641" t="inlineStr">
        <is>
          <t>BOLLNÄS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46256</v>
      </c>
      <c r="F642" t="inlineStr">
        <is>
          <t>GÄVLEBORGS LÄN</t>
        </is>
      </c>
      <c r="G642" t="inlineStr">
        <is>
          <t>BOLLNÄS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46256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46256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9758-2026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46256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46256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46256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45758</v>
      </c>
      <c r="E648" s="1" t="n">
        <v>46256</v>
      </c>
      <c r="F648" t="inlineStr">
        <is>
          <t>GÄVLEBORGS LÄN</t>
        </is>
      </c>
      <c r="G648" t="inlineStr">
        <is>
          <t>BOLLNÄS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46256</v>
      </c>
      <c r="F649" t="inlineStr">
        <is>
          <t>GÄVLEBORGS LÄN</t>
        </is>
      </c>
      <c r="G649" t="inlineStr">
        <is>
          <t>BOLLNÄS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46256</v>
      </c>
      <c r="F650" t="inlineStr">
        <is>
          <t>GÄVLEBORGS LÄN</t>
        </is>
      </c>
      <c r="G650" t="inlineStr">
        <is>
          <t>BOLLNÄS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46256</v>
      </c>
      <c r="F651" t="inlineStr">
        <is>
          <t>GÄVLEBORGS LÄN</t>
        </is>
      </c>
      <c r="G651" t="inlineStr">
        <is>
          <t>BOLLNÄS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46256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46044</v>
      </c>
      <c r="E653" s="1" t="n">
        <v>46256</v>
      </c>
      <c r="F653" t="inlineStr">
        <is>
          <t>GÄVLEBORGS LÄN</t>
        </is>
      </c>
      <c r="G653" t="inlineStr">
        <is>
          <t>BOLLNÄS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46167</v>
      </c>
      <c r="E654" s="1" t="n">
        <v>46256</v>
      </c>
      <c r="F654" t="inlineStr">
        <is>
          <t>GÄVLEBORGS LÄN</t>
        </is>
      </c>
      <c r="G654" t="inlineStr">
        <is>
          <t>BOLLNÄS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45629-2023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45194</v>
      </c>
      <c r="E655" s="1" t="n">
        <v>46256</v>
      </c>
      <c r="F655" t="inlineStr">
        <is>
          <t>GÄVLEBORGS LÄN</t>
        </is>
      </c>
      <c r="G655" t="inlineStr">
        <is>
          <t>BOLLNÄS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46256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46256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46256</v>
      </c>
      <c r="F658" t="inlineStr">
        <is>
          <t>GÄVLEBORGS LÄN</t>
        </is>
      </c>
      <c r="G658" t="inlineStr">
        <is>
          <t>BOLLNÄS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46256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45967</v>
      </c>
      <c r="E660" s="1" t="n">
        <v>46256</v>
      </c>
      <c r="F660" t="inlineStr">
        <is>
          <t>GÄVLEBORGS LÄN</t>
        </is>
      </c>
      <c r="G660" t="inlineStr">
        <is>
          <t>BOLLNÄS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46256</v>
      </c>
      <c r="F661" t="inlineStr">
        <is>
          <t>GÄVLEBORGS LÄN</t>
        </is>
      </c>
      <c r="G661" t="inlineStr">
        <is>
          <t>BOLLNÄS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46256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46167</v>
      </c>
      <c r="E663" s="1" t="n">
        <v>46256</v>
      </c>
      <c r="F663" t="inlineStr">
        <is>
          <t>GÄVLEBORGS LÄN</t>
        </is>
      </c>
      <c r="G663" t="inlineStr">
        <is>
          <t>BOLLNÄS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46256</v>
      </c>
      <c r="F664" t="inlineStr">
        <is>
          <t>GÄVLEBORGS LÄN</t>
        </is>
      </c>
      <c r="G664" t="inlineStr">
        <is>
          <t>BOLLNÄS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46256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46256</v>
      </c>
      <c r="F666" t="inlineStr">
        <is>
          <t>GÄVLEBORGS LÄN</t>
        </is>
      </c>
      <c r="G666" t="inlineStr">
        <is>
          <t>BOLLNÄS</t>
        </is>
      </c>
      <c r="I666" t="n">
        <v>20.9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46256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46256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4851-2026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46256</v>
      </c>
      <c r="F669" t="inlineStr">
        <is>
          <t>GÄVLEBORGS LÄN</t>
        </is>
      </c>
      <c r="G669" t="inlineStr">
        <is>
          <t>BOLLNÄS</t>
        </is>
      </c>
      <c r="H669" t="inlineStr">
        <is>
          <t>Kyrkan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46256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46256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45405</v>
      </c>
      <c r="E672" s="1" t="n">
        <v>46256</v>
      </c>
      <c r="F672" t="inlineStr">
        <is>
          <t>GÄVLEBORGS LÄN</t>
        </is>
      </c>
      <c r="G672" t="inlineStr">
        <is>
          <t>BOLLNÄS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46256</v>
      </c>
      <c r="F673" t="inlineStr">
        <is>
          <t>GÄVLEBORGS LÄN</t>
        </is>
      </c>
      <c r="G673" t="inlineStr">
        <is>
          <t>BOLLNÄS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46256</v>
      </c>
      <c r="F674" t="inlineStr">
        <is>
          <t>GÄVLEBORGS LÄN</t>
        </is>
      </c>
      <c r="G674" t="inlineStr">
        <is>
          <t>BOLLNÄS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20690-2026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46256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46256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46256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46256</v>
      </c>
      <c r="F678" t="inlineStr">
        <is>
          <t>GÄVLEBORGS LÄN</t>
        </is>
      </c>
      <c r="G678" t="inlineStr">
        <is>
          <t>BOLLNÄS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46256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46256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46256</v>
      </c>
      <c r="F681" t="inlineStr">
        <is>
          <t>GÄVLEBORGS LÄN</t>
        </is>
      </c>
      <c r="G681" t="inlineStr">
        <is>
          <t>BOLLNÄS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46256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46256</v>
      </c>
      <c r="F683" t="inlineStr">
        <is>
          <t>GÄVLEBORGS LÄN</t>
        </is>
      </c>
      <c r="G683" t="inlineStr">
        <is>
          <t>BOLLNÄS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46049</v>
      </c>
      <c r="E684" s="1" t="n">
        <v>46256</v>
      </c>
      <c r="F684" t="inlineStr">
        <is>
          <t>GÄVLEBORGS LÄN</t>
        </is>
      </c>
      <c r="G684" t="inlineStr">
        <is>
          <t>BOLLNÄS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46256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10.6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63953-2025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46020</v>
      </c>
      <c r="E686" s="1" t="n">
        <v>46256</v>
      </c>
      <c r="F686" t="inlineStr">
        <is>
          <t>GÄVLEBORGS LÄN</t>
        </is>
      </c>
      <c r="G686" t="inlineStr">
        <is>
          <t>BOLLNÄS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46256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10620-2026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46256</v>
      </c>
      <c r="F688" t="inlineStr">
        <is>
          <t>GÄVLEBORGS LÄN</t>
        </is>
      </c>
      <c r="G688" t="inlineStr">
        <is>
          <t>BOLLNÄS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24136-2026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46256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46256</v>
      </c>
      <c r="F690" t="inlineStr">
        <is>
          <t>GÄVLEBORGS LÄN</t>
        </is>
      </c>
      <c r="G690" t="inlineStr">
        <is>
          <t>BOLLNÄS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46256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46256</v>
      </c>
      <c r="F692" t="inlineStr">
        <is>
          <t>GÄVLEBORGS LÄN</t>
        </is>
      </c>
      <c r="G692" t="inlineStr">
        <is>
          <t>BOLLNÄS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46051</v>
      </c>
      <c r="E693" s="1" t="n">
        <v>46256</v>
      </c>
      <c r="F693" t="inlineStr">
        <is>
          <t>GÄVLEBORGS LÄN</t>
        </is>
      </c>
      <c r="G693" t="inlineStr">
        <is>
          <t>BOLLNÄS</t>
        </is>
      </c>
      <c r="I693" t="n">
        <v>12.3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46256</v>
      </c>
      <c r="F694" t="inlineStr">
        <is>
          <t>GÄVLEBORGS LÄN</t>
        </is>
      </c>
      <c r="G694" t="inlineStr">
        <is>
          <t>BOLLNÄS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46050</v>
      </c>
      <c r="E695" s="1" t="n">
        <v>46256</v>
      </c>
      <c r="F695" t="inlineStr">
        <is>
          <t>GÄVLEBORGS LÄN</t>
        </is>
      </c>
      <c r="G695" t="inlineStr">
        <is>
          <t>BOLLNÄS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46256</v>
      </c>
      <c r="F696" t="inlineStr">
        <is>
          <t>GÄVLEBORGS LÄN</t>
        </is>
      </c>
      <c r="G696" t="inlineStr">
        <is>
          <t>BOLLNÄS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46108</v>
      </c>
      <c r="E697" s="1" t="n">
        <v>46256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46256</v>
      </c>
      <c r="F698" t="inlineStr">
        <is>
          <t>GÄVLEBORGS LÄN</t>
        </is>
      </c>
      <c r="G698" t="inlineStr">
        <is>
          <t>BOLLNÄS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46256</v>
      </c>
      <c r="F699" t="inlineStr">
        <is>
          <t>GÄVLEBORGS LÄN</t>
        </is>
      </c>
      <c r="G699" t="inlineStr">
        <is>
          <t>BOLLNÄS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46050</v>
      </c>
      <c r="E700" s="1" t="n">
        <v>46256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46256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46051</v>
      </c>
      <c r="E702" s="1" t="n">
        <v>46256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46256</v>
      </c>
      <c r="F703" t="inlineStr">
        <is>
          <t>GÄVLEBORGS LÄN</t>
        </is>
      </c>
      <c r="G703" t="inlineStr">
        <is>
          <t>BOLLNÄS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46256</v>
      </c>
      <c r="F704" t="inlineStr">
        <is>
          <t>GÄVLEBORGS LÄN</t>
        </is>
      </c>
      <c r="G704" t="inlineStr">
        <is>
          <t>BOLLNÄS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46051</v>
      </c>
      <c r="E705" s="1" t="n">
        <v>46256</v>
      </c>
      <c r="F705" t="inlineStr">
        <is>
          <t>GÄVLEBORGS LÄN</t>
        </is>
      </c>
      <c r="G705" t="inlineStr">
        <is>
          <t>BOLLNÄS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46050</v>
      </c>
      <c r="E706" s="1" t="n">
        <v>46256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46153</v>
      </c>
      <c r="E707" s="1" t="n">
        <v>46256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46256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46256</v>
      </c>
      <c r="F709" t="inlineStr">
        <is>
          <t>GÄVLEBORGS LÄN</t>
        </is>
      </c>
      <c r="G709" t="inlineStr">
        <is>
          <t>BOLLNÄS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46034</v>
      </c>
      <c r="E710" s="1" t="n">
        <v>46256</v>
      </c>
      <c r="F710" t="inlineStr">
        <is>
          <t>GÄVLEBORGS LÄN</t>
        </is>
      </c>
      <c r="G710" t="inlineStr">
        <is>
          <t>BOLLNÄS</t>
        </is>
      </c>
      <c r="I710" t="n">
        <v>16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5262-2026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46256</v>
      </c>
      <c r="F711" t="inlineStr">
        <is>
          <t>GÄVLEBORGS LÄN</t>
        </is>
      </c>
      <c r="G711" t="inlineStr">
        <is>
          <t>BOLLNÄS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46256</v>
      </c>
      <c r="F712" t="inlineStr">
        <is>
          <t>GÄVLEBORGS LÄN</t>
        </is>
      </c>
      <c r="G712" t="inlineStr">
        <is>
          <t>BOLLNÄS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12275-2026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46087</v>
      </c>
      <c r="E713" s="1" t="n">
        <v>46256</v>
      </c>
      <c r="F713" t="inlineStr">
        <is>
          <t>GÄVLEBORGS LÄN</t>
        </is>
      </c>
      <c r="G713" t="inlineStr">
        <is>
          <t>BOLLNÄS</t>
        </is>
      </c>
      <c r="H713" t="inlineStr">
        <is>
          <t>Kyrkan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46256</v>
      </c>
      <c r="F714" t="inlineStr">
        <is>
          <t>GÄVLEBORGS LÄN</t>
        </is>
      </c>
      <c r="G714" t="inlineStr">
        <is>
          <t>BOLLNÄS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46256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46050</v>
      </c>
      <c r="E716" s="1" t="n">
        <v>46256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46051</v>
      </c>
      <c r="E717" s="1" t="n">
        <v>46256</v>
      </c>
      <c r="F717" t="inlineStr">
        <is>
          <t>GÄVLEBORGS LÄN</t>
        </is>
      </c>
      <c r="G717" t="inlineStr">
        <is>
          <t>BOLLNÄS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46256</v>
      </c>
      <c r="F718" t="inlineStr">
        <is>
          <t>GÄVLEBORGS LÄN</t>
        </is>
      </c>
      <c r="G718" t="inlineStr">
        <is>
          <t>BOLLNÄS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46256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46256</v>
      </c>
      <c r="F720" t="inlineStr">
        <is>
          <t>GÄVLEBORGS LÄN</t>
        </is>
      </c>
      <c r="G720" t="inlineStr">
        <is>
          <t>BOLLNÄS</t>
        </is>
      </c>
      <c r="I720" t="n">
        <v>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46256</v>
      </c>
      <c r="F721" t="inlineStr">
        <is>
          <t>GÄVLEBORGS LÄN</t>
        </is>
      </c>
      <c r="G721" t="inlineStr">
        <is>
          <t>BOLLNÄS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18664-2026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46128</v>
      </c>
      <c r="E722" s="1" t="n">
        <v>46256</v>
      </c>
      <c r="F722" t="inlineStr">
        <is>
          <t>GÄVLEBORGS LÄN</t>
        </is>
      </c>
      <c r="G722" t="inlineStr">
        <is>
          <t>BOLLNÄS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24081-2026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46256</v>
      </c>
      <c r="F723" t="inlineStr">
        <is>
          <t>GÄVLEBORGS LÄN</t>
        </is>
      </c>
      <c r="G723" t="inlineStr">
        <is>
          <t>BOLLNÄS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46256</v>
      </c>
      <c r="F724" t="inlineStr">
        <is>
          <t>GÄVLEBORGS LÄN</t>
        </is>
      </c>
      <c r="G724" t="inlineStr">
        <is>
          <t>BOLLNÄS</t>
        </is>
      </c>
      <c r="I724" t="n">
        <v>9.6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46256</v>
      </c>
      <c r="F725" t="inlineStr">
        <is>
          <t>GÄVLEBORGS LÄN</t>
        </is>
      </c>
      <c r="G725" t="inlineStr">
        <is>
          <t>BOLLNÄS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6153-2026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46256</v>
      </c>
      <c r="F726" t="inlineStr">
        <is>
          <t>GÄVLEBORGS LÄN</t>
        </is>
      </c>
      <c r="G726" t="inlineStr">
        <is>
          <t>BOLLNÄS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46256</v>
      </c>
      <c r="F727" t="inlineStr">
        <is>
          <t>GÄVLEBORGS LÄN</t>
        </is>
      </c>
      <c r="G727" t="inlineStr">
        <is>
          <t>BOLLNÄS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46055</v>
      </c>
      <c r="E728" s="1" t="n">
        <v>46256</v>
      </c>
      <c r="F728" t="inlineStr">
        <is>
          <t>GÄVLEBORGS LÄN</t>
        </is>
      </c>
      <c r="G728" t="inlineStr">
        <is>
          <t>BOLLNÄS</t>
        </is>
      </c>
      <c r="I728" t="n">
        <v>6.7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46256</v>
      </c>
      <c r="F729" t="inlineStr">
        <is>
          <t>GÄVLEBORGS LÄN</t>
        </is>
      </c>
      <c r="G729" t="inlineStr">
        <is>
          <t>BOLLNÄS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9816-2026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46072</v>
      </c>
      <c r="E730" s="1" t="n">
        <v>46256</v>
      </c>
      <c r="F730" t="inlineStr">
        <is>
          <t>GÄVLEBORGS LÄN</t>
        </is>
      </c>
      <c r="G730" t="inlineStr">
        <is>
          <t>BOLLNÄS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46256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46256</v>
      </c>
      <c r="F732" t="inlineStr">
        <is>
          <t>GÄVLEBORGS LÄN</t>
        </is>
      </c>
      <c r="G732" t="inlineStr">
        <is>
          <t>BOLLNÄS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46058</v>
      </c>
      <c r="E733" s="1" t="n">
        <v>46256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46256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46256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46256</v>
      </c>
      <c r="F736" t="inlineStr">
        <is>
          <t>GÄVLEBORGS LÄN</t>
        </is>
      </c>
      <c r="G736" t="inlineStr">
        <is>
          <t>BOLLNÄS</t>
        </is>
      </c>
      <c r="I736" t="n">
        <v>28.2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46256</v>
      </c>
      <c r="F737" t="inlineStr">
        <is>
          <t>GÄVLEBORGS LÄN</t>
        </is>
      </c>
      <c r="G737" t="inlineStr">
        <is>
          <t>BOLLNÄS</t>
        </is>
      </c>
      <c r="I737" t="n">
        <v>14.9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46256</v>
      </c>
      <c r="F738" t="inlineStr">
        <is>
          <t>GÄVLEBORGS LÄN</t>
        </is>
      </c>
      <c r="G738" t="inlineStr">
        <is>
          <t>BOLLNÄS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46256</v>
      </c>
      <c r="F739" t="inlineStr">
        <is>
          <t>GÄVLEBORGS LÄN</t>
        </is>
      </c>
      <c r="G739" t="inlineStr">
        <is>
          <t>BOLLNÄS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46256</v>
      </c>
      <c r="F740" t="inlineStr">
        <is>
          <t>GÄVLEBORGS LÄN</t>
        </is>
      </c>
      <c r="G740" t="inlineStr">
        <is>
          <t>BOLLNÄS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46055</v>
      </c>
      <c r="E741" s="1" t="n">
        <v>46256</v>
      </c>
      <c r="F741" t="inlineStr">
        <is>
          <t>GÄVLEBORGS LÄN</t>
        </is>
      </c>
      <c r="G741" t="inlineStr">
        <is>
          <t>BOLLNÄS</t>
        </is>
      </c>
      <c r="I741" t="n">
        <v>16.2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46256</v>
      </c>
      <c r="F742" t="inlineStr">
        <is>
          <t>GÄVLEBORGS LÄN</t>
        </is>
      </c>
      <c r="G742" t="inlineStr">
        <is>
          <t>BOLLNÄS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46256</v>
      </c>
      <c r="F743" t="inlineStr">
        <is>
          <t>GÄVLEBORGS LÄN</t>
        </is>
      </c>
      <c r="G743" t="inlineStr">
        <is>
          <t>BOLLNÄS</t>
        </is>
      </c>
      <c r="I743" t="n">
        <v>16.9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46055</v>
      </c>
      <c r="E744" s="1" t="n">
        <v>46256</v>
      </c>
      <c r="F744" t="inlineStr">
        <is>
          <t>GÄVLEBORGS LÄN</t>
        </is>
      </c>
      <c r="G744" t="inlineStr">
        <is>
          <t>BOLLNÄS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46055</v>
      </c>
      <c r="E745" s="1" t="n">
        <v>46256</v>
      </c>
      <c r="F745" t="inlineStr">
        <is>
          <t>GÄVLEBORGS LÄN</t>
        </is>
      </c>
      <c r="G745" t="inlineStr">
        <is>
          <t>BOLLNÄS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46256</v>
      </c>
      <c r="F746" t="inlineStr">
        <is>
          <t>GÄVLEBORGS LÄN</t>
        </is>
      </c>
      <c r="G746" t="inlineStr">
        <is>
          <t>BOLLNÄS</t>
        </is>
      </c>
      <c r="I746" t="n">
        <v>10.2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46052</v>
      </c>
      <c r="E747" s="1" t="n">
        <v>46256</v>
      </c>
      <c r="F747" t="inlineStr">
        <is>
          <t>GÄVLEBORGS LÄN</t>
        </is>
      </c>
      <c r="G747" t="inlineStr">
        <is>
          <t>BOLLNÄS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46063</v>
      </c>
      <c r="E748" s="1" t="n">
        <v>46256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46055</v>
      </c>
      <c r="E749" s="1" t="n">
        <v>46256</v>
      </c>
      <c r="F749" t="inlineStr">
        <is>
          <t>GÄVLEBORGS LÄN</t>
        </is>
      </c>
      <c r="G749" t="inlineStr">
        <is>
          <t>BOLLNÄS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46055</v>
      </c>
      <c r="E750" s="1" t="n">
        <v>46256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46256</v>
      </c>
      <c r="F751" t="inlineStr">
        <is>
          <t>GÄVLEBORGS LÄN</t>
        </is>
      </c>
      <c r="G751" t="inlineStr">
        <is>
          <t>BOLLNÄS</t>
        </is>
      </c>
      <c r="I751" t="n">
        <v>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46256</v>
      </c>
      <c r="F752" t="inlineStr">
        <is>
          <t>GÄVLEBORGS LÄN</t>
        </is>
      </c>
      <c r="G752" t="inlineStr">
        <is>
          <t>BOLLNÄS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46256</v>
      </c>
      <c r="F753" t="inlineStr">
        <is>
          <t>GÄVLEBORGS LÄN</t>
        </is>
      </c>
      <c r="G753" t="inlineStr">
        <is>
          <t>BOLLNÄS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24557-2026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46256</v>
      </c>
      <c r="F754" t="inlineStr">
        <is>
          <t>GÄVLEBORGS LÄN</t>
        </is>
      </c>
      <c r="G754" t="inlineStr">
        <is>
          <t>BOLLNÄS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46256</v>
      </c>
      <c r="F755" t="inlineStr">
        <is>
          <t>GÄVLEBORGS LÄN</t>
        </is>
      </c>
      <c r="G755" t="inlineStr">
        <is>
          <t>BOLLNÄS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37987-2025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45881</v>
      </c>
      <c r="E756" s="1" t="n">
        <v>46256</v>
      </c>
      <c r="F756" t="inlineStr">
        <is>
          <t>GÄVLEBORGS LÄN</t>
        </is>
      </c>
      <c r="G756" t="inlineStr">
        <is>
          <t>BOLLNÄS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19153-2026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46132</v>
      </c>
      <c r="E757" s="1" t="n">
        <v>46256</v>
      </c>
      <c r="F757" t="inlineStr">
        <is>
          <t>GÄVLEBORGS LÄN</t>
        </is>
      </c>
      <c r="G757" t="inlineStr">
        <is>
          <t>BOLLNÄS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46256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öst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46256</v>
      </c>
      <c r="F759" t="inlineStr">
        <is>
          <t>GÄVLEBORGS LÄN</t>
        </is>
      </c>
      <c r="G759" t="inlineStr">
        <is>
          <t>BOLLNÄS</t>
        </is>
      </c>
      <c r="H759" t="inlineStr">
        <is>
          <t>Kommuner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46256</v>
      </c>
      <c r="F760" t="inlineStr">
        <is>
          <t>GÄVLEBORGS LÄN</t>
        </is>
      </c>
      <c r="G760" t="inlineStr">
        <is>
          <t>BOLLNÄS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13346-2026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46256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37631-2025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45880</v>
      </c>
      <c r="E762" s="1" t="n">
        <v>46256</v>
      </c>
      <c r="F762" t="inlineStr">
        <is>
          <t>GÄVLEBORGS LÄN</t>
        </is>
      </c>
      <c r="G762" t="inlineStr">
        <is>
          <t>BOLLNÄS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69620-2021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44532</v>
      </c>
      <c r="E763" s="1" t="n">
        <v>46256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46256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46256</v>
      </c>
      <c r="F765" t="inlineStr">
        <is>
          <t>GÄVLEBORGS LÄN</t>
        </is>
      </c>
      <c r="G765" t="inlineStr">
        <is>
          <t>BOLLNÄS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46256</v>
      </c>
      <c r="F766" t="inlineStr">
        <is>
          <t>GÄVLEBORGS LÄN</t>
        </is>
      </c>
      <c r="G766" t="inlineStr">
        <is>
          <t>BOLLNÄS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24747-2026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46256</v>
      </c>
      <c r="F767" t="inlineStr">
        <is>
          <t>GÄVLEBORGS LÄN</t>
        </is>
      </c>
      <c r="G767" t="inlineStr">
        <is>
          <t>BOLLNÄS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24753-2026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46256</v>
      </c>
      <c r="F768" t="inlineStr">
        <is>
          <t>GÄVLEBORGS LÄN</t>
        </is>
      </c>
      <c r="G768" t="inlineStr">
        <is>
          <t>BOLLNÄS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37194-2023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45155</v>
      </c>
      <c r="E769" s="1" t="n">
        <v>46256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23939-2026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46256</v>
      </c>
      <c r="F770" t="inlineStr">
        <is>
          <t>GÄVLEBORGS LÄN</t>
        </is>
      </c>
      <c r="G770" t="inlineStr">
        <is>
          <t>BOLLNÄS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46256</v>
      </c>
      <c r="F771" t="inlineStr">
        <is>
          <t>GÄVLEBORGS LÄN</t>
        </is>
      </c>
      <c r="G771" t="inlineStr">
        <is>
          <t>BOLLNÄS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46256</v>
      </c>
      <c r="F772" t="inlineStr">
        <is>
          <t>GÄVLEBORGS LÄN</t>
        </is>
      </c>
      <c r="G772" t="inlineStr">
        <is>
          <t>BOLLNÄS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46256</v>
      </c>
      <c r="F773" t="inlineStr">
        <is>
          <t>GÄVLEBORGS LÄN</t>
        </is>
      </c>
      <c r="G773" t="inlineStr">
        <is>
          <t>BOLLNÄS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37233-2023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45155</v>
      </c>
      <c r="E774" s="1" t="n">
        <v>46256</v>
      </c>
      <c r="F774" t="inlineStr">
        <is>
          <t>GÄVLEBORGS LÄN</t>
        </is>
      </c>
      <c r="G774" t="inlineStr">
        <is>
          <t>BOLLNÄS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46057</v>
      </c>
      <c r="E775" s="1" t="n">
        <v>46256</v>
      </c>
      <c r="F775" t="inlineStr">
        <is>
          <t>GÄVLEBORGS LÄN</t>
        </is>
      </c>
      <c r="G775" t="inlineStr">
        <is>
          <t>BOLLNÄS</t>
        </is>
      </c>
      <c r="I775" t="n">
        <v>10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46057</v>
      </c>
      <c r="E776" s="1" t="n">
        <v>46256</v>
      </c>
      <c r="F776" t="inlineStr">
        <is>
          <t>GÄVLEBORGS LÄN</t>
        </is>
      </c>
      <c r="G776" t="inlineStr">
        <is>
          <t>BOLLNÄS</t>
        </is>
      </c>
      <c r="I776" t="n">
        <v>21.8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31030-2026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46256</v>
      </c>
      <c r="F777" t="inlineStr">
        <is>
          <t>GÄVLEBORGS LÄN</t>
        </is>
      </c>
      <c r="G777" t="inlineStr">
        <is>
          <t>BOLLNÄS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46256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46256</v>
      </c>
      <c r="F779" t="inlineStr">
        <is>
          <t>GÄVLEBORGS LÄN</t>
        </is>
      </c>
      <c r="G779" t="inlineStr">
        <is>
          <t>BOLLNÄS</t>
        </is>
      </c>
      <c r="I779" t="n">
        <v>18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6920-2026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46256</v>
      </c>
      <c r="F780" t="inlineStr">
        <is>
          <t>GÄVLEBORGS LÄN</t>
        </is>
      </c>
      <c r="G780" t="inlineStr">
        <is>
          <t>BOLLNÄS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46256</v>
      </c>
      <c r="F781" t="inlineStr">
        <is>
          <t>GÄVLEBORGS LÄN</t>
        </is>
      </c>
      <c r="G781" t="inlineStr">
        <is>
          <t>BOLLNÄS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46055</v>
      </c>
      <c r="E782" s="1" t="n">
        <v>46256</v>
      </c>
      <c r="F782" t="inlineStr">
        <is>
          <t>GÄVLEBORGS LÄN</t>
        </is>
      </c>
      <c r="G782" t="inlineStr">
        <is>
          <t>BOLLNÄS</t>
        </is>
      </c>
      <c r="H782" t="inlineStr">
        <is>
          <t>Kyrkan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46057</v>
      </c>
      <c r="E783" s="1" t="n">
        <v>46256</v>
      </c>
      <c r="F783" t="inlineStr">
        <is>
          <t>GÄVLEBORGS LÄN</t>
        </is>
      </c>
      <c r="G783" t="inlineStr">
        <is>
          <t>BOLLNÄS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46056</v>
      </c>
      <c r="E784" s="1" t="n">
        <v>46256</v>
      </c>
      <c r="F784" t="inlineStr">
        <is>
          <t>GÄVLEBORGS LÄN</t>
        </is>
      </c>
      <c r="G784" t="inlineStr">
        <is>
          <t>BOLLNÄS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46216</v>
      </c>
      <c r="E785" s="1" t="n">
        <v>46256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46055</v>
      </c>
      <c r="E786" s="1" t="n">
        <v>46256</v>
      </c>
      <c r="F786" t="inlineStr">
        <is>
          <t>GÄVLEBORGS LÄN</t>
        </is>
      </c>
      <c r="G786" t="inlineStr">
        <is>
          <t>BOLLNÄS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46055</v>
      </c>
      <c r="E787" s="1" t="n">
        <v>46256</v>
      </c>
      <c r="F787" t="inlineStr">
        <is>
          <t>GÄVLEBORGS LÄN</t>
        </is>
      </c>
      <c r="G787" t="inlineStr">
        <is>
          <t>BOLLNÄS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46256</v>
      </c>
      <c r="F788" t="inlineStr">
        <is>
          <t>GÄVLEBORGS LÄN</t>
        </is>
      </c>
      <c r="G788" t="inlineStr">
        <is>
          <t>BOLLNÄS</t>
        </is>
      </c>
      <c r="H788" t="inlineStr">
        <is>
          <t>Kyrkan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46256</v>
      </c>
      <c r="F789" t="inlineStr">
        <is>
          <t>GÄVLEBORGS LÄN</t>
        </is>
      </c>
      <c r="G789" t="inlineStr">
        <is>
          <t>BOLLNÄS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46174</v>
      </c>
      <c r="E790" s="1" t="n">
        <v>46256</v>
      </c>
      <c r="F790" t="inlineStr">
        <is>
          <t>GÄVLEBORGS LÄN</t>
        </is>
      </c>
      <c r="G790" t="inlineStr">
        <is>
          <t>BOLLNÄS</t>
        </is>
      </c>
      <c r="I790" t="n">
        <v>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46256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6853-2026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46057</v>
      </c>
      <c r="E792" s="1" t="n">
        <v>46256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46256</v>
      </c>
      <c r="F793" t="inlineStr">
        <is>
          <t>GÄVLEBORGS LÄN</t>
        </is>
      </c>
      <c r="G793" t="inlineStr">
        <is>
          <t>BOLLNÄS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46256</v>
      </c>
      <c r="F794" t="inlineStr">
        <is>
          <t>GÄVLEBORGS LÄN</t>
        </is>
      </c>
      <c r="G794" t="inlineStr">
        <is>
          <t>BOLLNÄS</t>
        </is>
      </c>
      <c r="I794" t="n">
        <v>9.4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46055</v>
      </c>
      <c r="E795" s="1" t="n">
        <v>46256</v>
      </c>
      <c r="F795" t="inlineStr">
        <is>
          <t>GÄVLEBORGS LÄN</t>
        </is>
      </c>
      <c r="G795" t="inlineStr">
        <is>
          <t>BOLLNÄS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46256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45238</v>
      </c>
      <c r="E797" s="1" t="n">
        <v>46256</v>
      </c>
      <c r="F797" t="inlineStr">
        <is>
          <t>GÄVLEBORGS LÄN</t>
        </is>
      </c>
      <c r="G797" t="inlineStr">
        <is>
          <t>BOLLNÄS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38074-2025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46256</v>
      </c>
      <c r="F798" t="inlineStr">
        <is>
          <t>GÄVLEBORGS LÄN</t>
        </is>
      </c>
      <c r="G798" t="inlineStr">
        <is>
          <t>BOLLNÄS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6759-2026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46056</v>
      </c>
      <c r="E799" s="1" t="n">
        <v>46256</v>
      </c>
      <c r="F799" t="inlineStr">
        <is>
          <t>GÄVLEBORGS LÄN</t>
        </is>
      </c>
      <c r="G799" t="inlineStr">
        <is>
          <t>BOLLNÄS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46256</v>
      </c>
      <c r="F800" t="inlineStr">
        <is>
          <t>GÄVLEBORGS LÄN</t>
        </is>
      </c>
      <c r="G800" t="inlineStr">
        <is>
          <t>BOLLNÄS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46256</v>
      </c>
      <c r="F801" t="inlineStr">
        <is>
          <t>GÄVLEBORGS LÄN</t>
        </is>
      </c>
      <c r="G801" t="inlineStr">
        <is>
          <t>BOLLNÄS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38837-2024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45547</v>
      </c>
      <c r="E802" s="1" t="n">
        <v>46256</v>
      </c>
      <c r="F802" t="inlineStr">
        <is>
          <t>GÄVLEBORGS LÄN</t>
        </is>
      </c>
      <c r="G802" t="inlineStr">
        <is>
          <t>BOLLNÄS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46256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46058</v>
      </c>
      <c r="E804" s="1" t="n">
        <v>46256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38248-2025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45883</v>
      </c>
      <c r="E805" s="1" t="n">
        <v>46256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46256</v>
      </c>
      <c r="F806" t="inlineStr">
        <is>
          <t>GÄVLEBORGS LÄN</t>
        </is>
      </c>
      <c r="G806" t="inlineStr">
        <is>
          <t>BOLLNÄS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46058</v>
      </c>
      <c r="E807" s="1" t="n">
        <v>46256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38251-2025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45883</v>
      </c>
      <c r="E808" s="1" t="n">
        <v>46256</v>
      </c>
      <c r="F808" t="inlineStr">
        <is>
          <t>GÄVLEBORGS LÄN</t>
        </is>
      </c>
      <c r="G808" t="inlineStr">
        <is>
          <t>BOLLNÄS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7411-2026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46059</v>
      </c>
      <c r="E809" s="1" t="n">
        <v>46256</v>
      </c>
      <c r="F809" t="inlineStr">
        <is>
          <t>GÄVLEBORGS LÄN</t>
        </is>
      </c>
      <c r="G809" t="inlineStr">
        <is>
          <t>BOLLNÄS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46256</v>
      </c>
      <c r="F810" t="inlineStr">
        <is>
          <t>GÄVLEBORGS LÄN</t>
        </is>
      </c>
      <c r="G810" t="inlineStr">
        <is>
          <t>BOLLNÄS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7261-2026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46256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38252-2025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46256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7340-2026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46058</v>
      </c>
      <c r="E813" s="1" t="n">
        <v>46256</v>
      </c>
      <c r="F813" t="inlineStr">
        <is>
          <t>GÄVLEBORGS LÄN</t>
        </is>
      </c>
      <c r="G813" t="inlineStr">
        <is>
          <t>BOLLNÄS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46256</v>
      </c>
      <c r="F814" t="inlineStr">
        <is>
          <t>GÄVLEBORGS LÄN</t>
        </is>
      </c>
      <c r="G814" t="inlineStr">
        <is>
          <t>BOLLNÄS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31125-2026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46256</v>
      </c>
      <c r="F815" t="inlineStr">
        <is>
          <t>GÄVLEBORGS LÄN</t>
        </is>
      </c>
      <c r="G815" t="inlineStr">
        <is>
          <t>BOLLNÄS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31127-2026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46216</v>
      </c>
      <c r="E816" s="1" t="n">
        <v>46256</v>
      </c>
      <c r="F816" t="inlineStr">
        <is>
          <t>GÄVLEBORGS LÄN</t>
        </is>
      </c>
      <c r="G816" t="inlineStr">
        <is>
          <t>BOLLNÄS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46216</v>
      </c>
      <c r="E817" s="1" t="n">
        <v>46256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46058</v>
      </c>
      <c r="E818" s="1" t="n">
        <v>46256</v>
      </c>
      <c r="F818" t="inlineStr">
        <is>
          <t>GÄVLEBORGS LÄN</t>
        </is>
      </c>
      <c r="G818" t="inlineStr">
        <is>
          <t>BOLLNÄS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46256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46256</v>
      </c>
      <c r="F820" t="inlineStr">
        <is>
          <t>GÄVLEBORGS LÄN</t>
        </is>
      </c>
      <c r="G820" t="inlineStr">
        <is>
          <t>BOLLNÄS</t>
        </is>
      </c>
      <c r="H820" t="inlineStr">
        <is>
          <t>Kommuner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46065</v>
      </c>
      <c r="E821" s="1" t="n">
        <v>46256</v>
      </c>
      <c r="F821" t="inlineStr">
        <is>
          <t>GÄVLEBORGS LÄN</t>
        </is>
      </c>
      <c r="G821" t="inlineStr">
        <is>
          <t>BOLLNÄS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8010-2026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46256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31130-2026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46216</v>
      </c>
      <c r="E823" s="1" t="n">
        <v>46256</v>
      </c>
      <c r="F823" t="inlineStr">
        <is>
          <t>GÄVLEBORGS LÄN</t>
        </is>
      </c>
      <c r="G823" t="inlineStr">
        <is>
          <t>BOLLNÄS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46062</v>
      </c>
      <c r="E824" s="1" t="n">
        <v>46256</v>
      </c>
      <c r="F824" t="inlineStr">
        <is>
          <t>GÄVLEBORGS LÄN</t>
        </is>
      </c>
      <c r="G824" t="inlineStr">
        <is>
          <t>BOLLNÄS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46256</v>
      </c>
      <c r="F825" t="inlineStr">
        <is>
          <t>GÄVLEBORGS LÄN</t>
        </is>
      </c>
      <c r="G825" t="inlineStr">
        <is>
          <t>BOLLNÄS</t>
        </is>
      </c>
      <c r="H825" t="inlineStr">
        <is>
          <t>Kyrkan</t>
        </is>
      </c>
      <c r="I825" t="n">
        <v>8.6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45660</v>
      </c>
      <c r="E826" s="1" t="n">
        <v>46256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7642-2026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46062</v>
      </c>
      <c r="E827" s="1" t="n">
        <v>46256</v>
      </c>
      <c r="F827" t="inlineStr">
        <is>
          <t>GÄVLEBORGS LÄN</t>
        </is>
      </c>
      <c r="G827" t="inlineStr">
        <is>
          <t>BOLLNÄS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8130-2026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46256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9187-2026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46070</v>
      </c>
      <c r="E829" s="1" t="n">
        <v>46256</v>
      </c>
      <c r="F829" t="inlineStr">
        <is>
          <t>GÄVLEBORGS LÄN</t>
        </is>
      </c>
      <c r="G829" t="inlineStr">
        <is>
          <t>BOLLNÄS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46029</v>
      </c>
      <c r="E830" s="1" t="n">
        <v>46256</v>
      </c>
      <c r="F830" t="inlineStr">
        <is>
          <t>GÄVLEBORGS LÄN</t>
        </is>
      </c>
      <c r="G830" t="inlineStr">
        <is>
          <t>BOLLNÄS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46256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46256</v>
      </c>
      <c r="F832" t="inlineStr">
        <is>
          <t>GÄVLEBORGS LÄN</t>
        </is>
      </c>
      <c r="G832" t="inlineStr">
        <is>
          <t>BOLLNÄS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8052-2026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46256</v>
      </c>
      <c r="F833" t="inlineStr">
        <is>
          <t>GÄVLEBORGS LÄN</t>
        </is>
      </c>
      <c r="G833" t="inlineStr">
        <is>
          <t>BOLLNÄS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46256</v>
      </c>
      <c r="F834" t="inlineStr">
        <is>
          <t>GÄVLEBORGS LÄN</t>
        </is>
      </c>
      <c r="G834" t="inlineStr">
        <is>
          <t>BOLLNÄS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7618-2026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46062</v>
      </c>
      <c r="E835" s="1" t="n">
        <v>46256</v>
      </c>
      <c r="F835" t="inlineStr">
        <is>
          <t>GÄVLEBORGS LÄN</t>
        </is>
      </c>
      <c r="G835" t="inlineStr">
        <is>
          <t>BOLLNÄS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7621-2026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46062</v>
      </c>
      <c r="E836" s="1" t="n">
        <v>46256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7798-2026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46256</v>
      </c>
      <c r="F837" t="inlineStr">
        <is>
          <t>GÄVLEBORGS LÄN</t>
        </is>
      </c>
      <c r="G837" t="inlineStr">
        <is>
          <t>BOLLNÄS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24652-2026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46256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15.7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24658-2026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46256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15.5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46216</v>
      </c>
      <c r="E840" s="1" t="n">
        <v>46256</v>
      </c>
      <c r="F840" t="inlineStr">
        <is>
          <t>GÄVLEBORGS LÄN</t>
        </is>
      </c>
      <c r="G840" t="inlineStr">
        <is>
          <t>BOLLNÄS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8070-2026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46256</v>
      </c>
      <c r="F841" t="inlineStr">
        <is>
          <t>GÄVLEBORGS LÄN</t>
        </is>
      </c>
      <c r="G841" t="inlineStr">
        <is>
          <t>BOLLNÄS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46216</v>
      </c>
      <c r="E842" s="1" t="n">
        <v>46256</v>
      </c>
      <c r="F842" t="inlineStr">
        <is>
          <t>GÄVLEBORGS LÄN</t>
        </is>
      </c>
      <c r="G842" t="inlineStr">
        <is>
          <t>BOLLNÄS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7569-2026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46060</v>
      </c>
      <c r="E843" s="1" t="n">
        <v>46256</v>
      </c>
      <c r="F843" t="inlineStr">
        <is>
          <t>GÄVLEBORGS LÄN</t>
        </is>
      </c>
      <c r="G843" t="inlineStr">
        <is>
          <t>BOLLNÄS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46174</v>
      </c>
      <c r="E844" s="1" t="n">
        <v>46256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46256</v>
      </c>
      <c r="F845" t="inlineStr">
        <is>
          <t>GÄVLEBORGS LÄN</t>
        </is>
      </c>
      <c r="G845" t="inlineStr">
        <is>
          <t>BOLLNÄS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46256</v>
      </c>
      <c r="F846" t="inlineStr">
        <is>
          <t>GÄVLEBORGS LÄN</t>
        </is>
      </c>
      <c r="G846" t="inlineStr">
        <is>
          <t>BOLLNÄS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46171</v>
      </c>
      <c r="E847" s="1" t="n">
        <v>46256</v>
      </c>
      <c r="F847" t="inlineStr">
        <is>
          <t>GÄVLEBORGS LÄN</t>
        </is>
      </c>
      <c r="G847" t="inlineStr">
        <is>
          <t>BOLLNÄS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46070</v>
      </c>
      <c r="E848" s="1" t="n">
        <v>46256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25474-2026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46256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46063</v>
      </c>
      <c r="E850" s="1" t="n">
        <v>46256</v>
      </c>
      <c r="F850" t="inlineStr">
        <is>
          <t>GÄVLEBORGS LÄN</t>
        </is>
      </c>
      <c r="G850" t="inlineStr">
        <is>
          <t>BOLLNÄS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7616-2026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46256</v>
      </c>
      <c r="F851" t="inlineStr">
        <is>
          <t>GÄVLEBORGS LÄN</t>
        </is>
      </c>
      <c r="G851" t="inlineStr">
        <is>
          <t>BOLLNÄS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8166-2026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46256</v>
      </c>
      <c r="F852" t="inlineStr">
        <is>
          <t>GÄVLEBORGS LÄN</t>
        </is>
      </c>
      <c r="G852" t="inlineStr">
        <is>
          <t>BOLLNÄS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46256</v>
      </c>
      <c r="F853" t="inlineStr">
        <is>
          <t>GÄVLEBORGS LÄN</t>
        </is>
      </c>
      <c r="G853" t="inlineStr">
        <is>
          <t>BOLLNÄS</t>
        </is>
      </c>
      <c r="I853" t="n">
        <v>10.1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8397-2026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46065</v>
      </c>
      <c r="E854" s="1" t="n">
        <v>46256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46256</v>
      </c>
      <c r="F855" t="inlineStr">
        <is>
          <t>GÄVLEBORGS LÄN</t>
        </is>
      </c>
      <c r="G855" t="inlineStr">
        <is>
          <t>BOLLNÄS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8218-2026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46064</v>
      </c>
      <c r="E856" s="1" t="n">
        <v>46256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19861-2026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46135</v>
      </c>
      <c r="E857" s="1" t="n">
        <v>46256</v>
      </c>
      <c r="F857" t="inlineStr">
        <is>
          <t>GÄVLEBORGS LÄN</t>
        </is>
      </c>
      <c r="G857" t="inlineStr">
        <is>
          <t>BOLLNÄS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46041</v>
      </c>
      <c r="E858" s="1" t="n">
        <v>46256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46256</v>
      </c>
      <c r="F859" t="inlineStr">
        <is>
          <t>GÄVLEBORGS LÄN</t>
        </is>
      </c>
      <c r="G859" t="inlineStr">
        <is>
          <t>BOLLNÄS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46048</v>
      </c>
      <c r="E860" s="1" t="n">
        <v>46256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15834-2026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46107</v>
      </c>
      <c r="E861" s="1" t="n">
        <v>46256</v>
      </c>
      <c r="F861" t="inlineStr">
        <is>
          <t>GÄVLEBORGS LÄN</t>
        </is>
      </c>
      <c r="G861" t="inlineStr">
        <is>
          <t>BOLLNÄS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46256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8174-2026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46064</v>
      </c>
      <c r="E863" s="1" t="n">
        <v>46256</v>
      </c>
      <c r="F863" t="inlineStr">
        <is>
          <t>GÄVLEBORGS LÄN</t>
        </is>
      </c>
      <c r="G863" t="inlineStr">
        <is>
          <t>BOLLNÄS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8181-2026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46064</v>
      </c>
      <c r="E864" s="1" t="n">
        <v>46256</v>
      </c>
      <c r="F864" t="inlineStr">
        <is>
          <t>GÄVLEBORGS LÄN</t>
        </is>
      </c>
      <c r="G864" t="inlineStr">
        <is>
          <t>BOLLNÄS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8184-2026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46064</v>
      </c>
      <c r="E865" s="1" t="n">
        <v>46256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25538-2026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46177</v>
      </c>
      <c r="E866" s="1" t="n">
        <v>46256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8669-2026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46066</v>
      </c>
      <c r="E867" s="1" t="n">
        <v>46256</v>
      </c>
      <c r="F867" t="inlineStr">
        <is>
          <t>GÄVLEBORGS LÄN</t>
        </is>
      </c>
      <c r="G867" t="inlineStr">
        <is>
          <t>BOLLNÄS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46066</v>
      </c>
      <c r="E868" s="1" t="n">
        <v>46256</v>
      </c>
      <c r="F868" t="inlineStr">
        <is>
          <t>GÄVLEBORGS LÄN</t>
        </is>
      </c>
      <c r="G868" t="inlineStr">
        <is>
          <t>BOLLNÄS</t>
        </is>
      </c>
      <c r="I868" t="n">
        <v>12.2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8700-2026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46066</v>
      </c>
      <c r="E869" s="1" t="n">
        <v>46256</v>
      </c>
      <c r="F869" t="inlineStr">
        <is>
          <t>GÄVLEBORGS LÄN</t>
        </is>
      </c>
      <c r="G869" t="inlineStr">
        <is>
          <t>BOLLNÄS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8702-2026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46066</v>
      </c>
      <c r="E870" s="1" t="n">
        <v>46256</v>
      </c>
      <c r="F870" t="inlineStr">
        <is>
          <t>GÄVLEBORGS LÄN</t>
        </is>
      </c>
      <c r="G870" t="inlineStr">
        <is>
          <t>BOLLNÄS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9004-2026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46069</v>
      </c>
      <c r="E871" s="1" t="n">
        <v>46256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9085-2026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46069</v>
      </c>
      <c r="E872" s="1" t="n">
        <v>46256</v>
      </c>
      <c r="F872" t="inlineStr">
        <is>
          <t>GÄVLEBORGS LÄN</t>
        </is>
      </c>
      <c r="G872" t="inlineStr">
        <is>
          <t>BOLLNÄS</t>
        </is>
      </c>
      <c r="H872" t="inlineStr">
        <is>
          <t>Kommuner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8761-2026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46066</v>
      </c>
      <c r="E873" s="1" t="n">
        <v>46256</v>
      </c>
      <c r="F873" t="inlineStr">
        <is>
          <t>GÄVLEBORGS LÄN</t>
        </is>
      </c>
      <c r="G873" t="inlineStr">
        <is>
          <t>BOLLNÄS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8660-2026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46066</v>
      </c>
      <c r="E874" s="1" t="n">
        <v>46256</v>
      </c>
      <c r="F874" t="inlineStr">
        <is>
          <t>GÄVLEBORGS LÄN</t>
        </is>
      </c>
      <c r="G874" t="inlineStr">
        <is>
          <t>BOLLNÄS</t>
        </is>
      </c>
      <c r="I874" t="n">
        <v>13.7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9022-2026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46069</v>
      </c>
      <c r="E875" s="1" t="n">
        <v>46256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20228-2026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46139</v>
      </c>
      <c r="E876" s="1" t="n">
        <v>46256</v>
      </c>
      <c r="F876" t="inlineStr">
        <is>
          <t>GÄVLEBORGS LÄN</t>
        </is>
      </c>
      <c r="G876" t="inlineStr">
        <is>
          <t>BOLLNÄS</t>
        </is>
      </c>
      <c r="I876" t="n">
        <v>13.5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8793-2026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46066</v>
      </c>
      <c r="E877" s="1" t="n">
        <v>46256</v>
      </c>
      <c r="F877" t="inlineStr">
        <is>
          <t>GÄVLEBORGS LÄN</t>
        </is>
      </c>
      <c r="G877" t="inlineStr">
        <is>
          <t>BOLLNÄS</t>
        </is>
      </c>
      <c r="H877" t="inlineStr">
        <is>
          <t>Sveaskog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8898-2026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46068</v>
      </c>
      <c r="E878" s="1" t="n">
        <v>46256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8799-2026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46256</v>
      </c>
      <c r="F879" t="inlineStr">
        <is>
          <t>GÄVLEBORGS LÄN</t>
        </is>
      </c>
      <c r="G879" t="inlineStr">
        <is>
          <t>BOLLNÄS</t>
        </is>
      </c>
      <c r="H879" t="inlineStr">
        <is>
          <t>Sveaskog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26440-2024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45469</v>
      </c>
      <c r="E880" s="1" t="n">
        <v>46256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8710-2026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46066</v>
      </c>
      <c r="E881" s="1" t="n">
        <v>46256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20086-2026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46136</v>
      </c>
      <c r="E882" s="1" t="n">
        <v>46256</v>
      </c>
      <c r="F882" t="inlineStr">
        <is>
          <t>GÄVLEBORGS LÄN</t>
        </is>
      </c>
      <c r="G882" t="inlineStr">
        <is>
          <t>BOLLNÄS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25209-2026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46175</v>
      </c>
      <c r="E883" s="1" t="n">
        <v>46256</v>
      </c>
      <c r="F883" t="inlineStr">
        <is>
          <t>GÄVLEBORGS LÄN</t>
        </is>
      </c>
      <c r="G883" t="inlineStr">
        <is>
          <t>BOLLNÄS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53566-2022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44879</v>
      </c>
      <c r="E884" s="1" t="n">
        <v>46256</v>
      </c>
      <c r="F884" t="inlineStr">
        <is>
          <t>GÄVLEBORGS LÄN</t>
        </is>
      </c>
      <c r="G884" t="inlineStr">
        <is>
          <t>BOLLNÄS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9043-2026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46069</v>
      </c>
      <c r="E885" s="1" t="n">
        <v>46256</v>
      </c>
      <c r="F885" t="inlineStr">
        <is>
          <t>GÄVLEBORGS LÄN</t>
        </is>
      </c>
      <c r="G885" t="inlineStr">
        <is>
          <t>BOLLNÄS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9059-2026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46069</v>
      </c>
      <c r="E886" s="1" t="n">
        <v>46256</v>
      </c>
      <c r="F886" t="inlineStr">
        <is>
          <t>GÄVLEBORGS LÄN</t>
        </is>
      </c>
      <c r="G886" t="inlineStr">
        <is>
          <t>BOLLNÄS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18311-2025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45762</v>
      </c>
      <c r="E887" s="1" t="n">
        <v>46256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12624-2025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45733</v>
      </c>
      <c r="E888" s="1" t="n">
        <v>46256</v>
      </c>
      <c r="F888" t="inlineStr">
        <is>
          <t>GÄVLEBORGS LÄN</t>
        </is>
      </c>
      <c r="G888" t="inlineStr">
        <is>
          <t>BOLLNÄS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9304-2026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46070</v>
      </c>
      <c r="E889" s="1" t="n">
        <v>46256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9184-2026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46070</v>
      </c>
      <c r="E890" s="1" t="n">
        <v>46256</v>
      </c>
      <c r="F890" t="inlineStr">
        <is>
          <t>GÄVLEBORGS LÄN</t>
        </is>
      </c>
      <c r="G890" t="inlineStr">
        <is>
          <t>BOLLNÄS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9188-2026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46070</v>
      </c>
      <c r="E891" s="1" t="n">
        <v>46256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9239-2026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46070</v>
      </c>
      <c r="E892" s="1" t="n">
        <v>46256</v>
      </c>
      <c r="F892" t="inlineStr">
        <is>
          <t>GÄVLEBORGS LÄN</t>
        </is>
      </c>
      <c r="G892" t="inlineStr">
        <is>
          <t>BOLLNÄS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44625-2023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45189</v>
      </c>
      <c r="E893" s="1" t="n">
        <v>46256</v>
      </c>
      <c r="F893" t="inlineStr">
        <is>
          <t>GÄVLEBORGS LÄN</t>
        </is>
      </c>
      <c r="G893" t="inlineStr">
        <is>
          <t>BOLLNÄS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25449-2026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46256</v>
      </c>
      <c r="F894" t="inlineStr">
        <is>
          <t>GÄVLEBORGS LÄN</t>
        </is>
      </c>
      <c r="G894" t="inlineStr">
        <is>
          <t>BOLLNÄS</t>
        </is>
      </c>
      <c r="I894" t="n">
        <v>7.5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46256</v>
      </c>
      <c r="F895" t="inlineStr">
        <is>
          <t>GÄVLEBORGS LÄN</t>
        </is>
      </c>
      <c r="G895" t="inlineStr">
        <is>
          <t>BOLLNÄS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9523-2026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46071</v>
      </c>
      <c r="E896" s="1" t="n">
        <v>46256</v>
      </c>
      <c r="F896" t="inlineStr">
        <is>
          <t>GÄVLEBORGS LÄN</t>
        </is>
      </c>
      <c r="G896" t="inlineStr">
        <is>
          <t>BOLLNÄS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9307-2026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46070</v>
      </c>
      <c r="E897" s="1" t="n">
        <v>46256</v>
      </c>
      <c r="F897" t="inlineStr">
        <is>
          <t>GÄVLEBORGS LÄN</t>
        </is>
      </c>
      <c r="G897" t="inlineStr">
        <is>
          <t>BOLLNÄS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9355-2026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46256</v>
      </c>
      <c r="F898" t="inlineStr">
        <is>
          <t>GÄVLEBORGS LÄN</t>
        </is>
      </c>
      <c r="G898" t="inlineStr">
        <is>
          <t>BOLLNÄS</t>
        </is>
      </c>
      <c r="I898" t="n">
        <v>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46070</v>
      </c>
      <c r="E899" s="1" t="n">
        <v>46256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12181-2025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45729</v>
      </c>
      <c r="E900" s="1" t="n">
        <v>46256</v>
      </c>
      <c r="F900" t="inlineStr">
        <is>
          <t>GÄVLEBORGS LÄN</t>
        </is>
      </c>
      <c r="G900" t="inlineStr">
        <is>
          <t>BOLLNÄS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22178-2026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46153</v>
      </c>
      <c r="E901" s="1" t="n">
        <v>46256</v>
      </c>
      <c r="F901" t="inlineStr">
        <is>
          <t>GÄVLEBORGS LÄN</t>
        </is>
      </c>
      <c r="G901" t="inlineStr">
        <is>
          <t>BOLLNÄS</t>
        </is>
      </c>
      <c r="I901" t="n">
        <v>9.6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9177-2026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46070</v>
      </c>
      <c r="E902" s="1" t="n">
        <v>46256</v>
      </c>
      <c r="F902" t="inlineStr">
        <is>
          <t>GÄVLEBORGS LÄN</t>
        </is>
      </c>
      <c r="G902" t="inlineStr">
        <is>
          <t>BOLLNÄS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9178-2026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46070</v>
      </c>
      <c r="E903" s="1" t="n">
        <v>46256</v>
      </c>
      <c r="F903" t="inlineStr">
        <is>
          <t>GÄVLEBORGS LÄN</t>
        </is>
      </c>
      <c r="G903" t="inlineStr">
        <is>
          <t>BOLLNÄS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46070</v>
      </c>
      <c r="E904" s="1" t="n">
        <v>46256</v>
      </c>
      <c r="F904" t="inlineStr">
        <is>
          <t>GÄVLEBORGS LÄN</t>
        </is>
      </c>
      <c r="G904" t="inlineStr">
        <is>
          <t>BOLLNÄS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46070</v>
      </c>
      <c r="E905" s="1" t="n">
        <v>46256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9298-2026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46256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9213-2026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46070</v>
      </c>
      <c r="E907" s="1" t="n">
        <v>46256</v>
      </c>
      <c r="F907" t="inlineStr">
        <is>
          <t>GÄVLEBORGS LÄN</t>
        </is>
      </c>
      <c r="G907" t="inlineStr">
        <is>
          <t>BOLLNÄS</t>
        </is>
      </c>
      <c r="I907" t="n">
        <v>4.4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9501-2026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46256</v>
      </c>
      <c r="F908" t="inlineStr">
        <is>
          <t>GÄVLEBORGS LÄN</t>
        </is>
      </c>
      <c r="G908" t="inlineStr">
        <is>
          <t>BOLLNÄS</t>
        </is>
      </c>
      <c r="I908" t="n">
        <v>7.2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9545-2026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46071</v>
      </c>
      <c r="E909" s="1" t="n">
        <v>46256</v>
      </c>
      <c r="F909" t="inlineStr">
        <is>
          <t>GÄVLEBORGS LÄN</t>
        </is>
      </c>
      <c r="G909" t="inlineStr">
        <is>
          <t>BOLLNÄS</t>
        </is>
      </c>
      <c r="H909" t="inlineStr">
        <is>
          <t>Sveaskog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9241-2026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46070</v>
      </c>
      <c r="E910" s="1" t="n">
        <v>46256</v>
      </c>
      <c r="F910" t="inlineStr">
        <is>
          <t>GÄVLEBORGS LÄN</t>
        </is>
      </c>
      <c r="G910" t="inlineStr">
        <is>
          <t>BOLLNÄS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9242-2026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46070</v>
      </c>
      <c r="E911" s="1" t="n">
        <v>46256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9385-2026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46071</v>
      </c>
      <c r="E912" s="1" t="n">
        <v>46256</v>
      </c>
      <c r="F912" t="inlineStr">
        <is>
          <t>GÄVLEBORGS LÄN</t>
        </is>
      </c>
      <c r="G912" t="inlineStr">
        <is>
          <t>BOLLNÄS</t>
        </is>
      </c>
      <c r="H912" t="inlineStr">
        <is>
          <t>Kyrkan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9386-2026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46071</v>
      </c>
      <c r="E913" s="1" t="n">
        <v>46256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9230-2026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46070</v>
      </c>
      <c r="E914" s="1" t="n">
        <v>46256</v>
      </c>
      <c r="F914" t="inlineStr">
        <is>
          <t>GÄVLEBORGS LÄN</t>
        </is>
      </c>
      <c r="G914" t="inlineStr">
        <is>
          <t>BOLLNÄS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61065-2023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45261</v>
      </c>
      <c r="E915" s="1" t="n">
        <v>46256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9526-2026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46071</v>
      </c>
      <c r="E916" s="1" t="n">
        <v>46256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46029</v>
      </c>
      <c r="E917" s="1" t="n">
        <v>46256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9529-2026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46071</v>
      </c>
      <c r="E918" s="1" t="n">
        <v>46256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46256</v>
      </c>
      <c r="F919" t="inlineStr">
        <is>
          <t>GÄVLEBORGS LÄN</t>
        </is>
      </c>
      <c r="G919" t="inlineStr">
        <is>
          <t>BOLLNÄS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21790-2026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46150</v>
      </c>
      <c r="E920" s="1" t="n">
        <v>46256</v>
      </c>
      <c r="F920" t="inlineStr">
        <is>
          <t>GÄVLEBORGS LÄN</t>
        </is>
      </c>
      <c r="G920" t="inlineStr">
        <is>
          <t>BOLLNÄS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9520-2026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46071</v>
      </c>
      <c r="E921" s="1" t="n">
        <v>46256</v>
      </c>
      <c r="F921" t="inlineStr">
        <is>
          <t>GÄVLEBORGS LÄN</t>
        </is>
      </c>
      <c r="G921" t="inlineStr">
        <is>
          <t>BOLLNÄS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9608-2026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46071</v>
      </c>
      <c r="E922" s="1" t="n">
        <v>46256</v>
      </c>
      <c r="F922" t="inlineStr">
        <is>
          <t>GÄVLEBORGS LÄN</t>
        </is>
      </c>
      <c r="G922" t="inlineStr">
        <is>
          <t>BOLLNÄS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9652-2026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46071</v>
      </c>
      <c r="E923" s="1" t="n">
        <v>46256</v>
      </c>
      <c r="F923" t="inlineStr">
        <is>
          <t>GÄVLEBORGS LÄN</t>
        </is>
      </c>
      <c r="G923" t="inlineStr">
        <is>
          <t>BOLLNÄS</t>
        </is>
      </c>
      <c r="H923" t="inlineStr">
        <is>
          <t>Kommuner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46140</v>
      </c>
      <c r="E924" s="1" t="n">
        <v>46256</v>
      </c>
      <c r="F924" t="inlineStr">
        <is>
          <t>GÄVLEBORGS LÄN</t>
        </is>
      </c>
      <c r="G924" t="inlineStr">
        <is>
          <t>BOLLNÄS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9827-2026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46072</v>
      </c>
      <c r="E925" s="1" t="n">
        <v>46256</v>
      </c>
      <c r="F925" t="inlineStr">
        <is>
          <t>GÄVLEBORGS LÄN</t>
        </is>
      </c>
      <c r="G925" t="inlineStr">
        <is>
          <t>BOLLNÄS</t>
        </is>
      </c>
      <c r="H925" t="inlineStr">
        <is>
          <t>Sveaskog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9965-2026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46073</v>
      </c>
      <c r="E926" s="1" t="n">
        <v>46256</v>
      </c>
      <c r="F926" t="inlineStr">
        <is>
          <t>GÄVLEBORGS LÄN</t>
        </is>
      </c>
      <c r="G926" t="inlineStr">
        <is>
          <t>BOLLNÄS</t>
        </is>
      </c>
      <c r="I926" t="n">
        <v>17.2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46256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59729-2022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46256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46256</v>
      </c>
      <c r="F929" t="inlineStr">
        <is>
          <t>GÄVLEBORGS LÄN</t>
        </is>
      </c>
      <c r="G929" t="inlineStr">
        <is>
          <t>BOLLNÄS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21643-2026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46149</v>
      </c>
      <c r="E930" s="1" t="n">
        <v>46256</v>
      </c>
      <c r="F930" t="inlineStr">
        <is>
          <t>GÄVLEBORGS LÄN</t>
        </is>
      </c>
      <c r="G930" t="inlineStr">
        <is>
          <t>BOLLNÄS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21675-2026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46149</v>
      </c>
      <c r="E931" s="1" t="n">
        <v>46256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9812-2026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46072</v>
      </c>
      <c r="E932" s="1" t="n">
        <v>46256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38937-2023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45163</v>
      </c>
      <c r="E933" s="1" t="n">
        <v>46256</v>
      </c>
      <c r="F933" t="inlineStr">
        <is>
          <t>GÄVLEBORGS LÄN</t>
        </is>
      </c>
      <c r="G933" t="inlineStr">
        <is>
          <t>BOLLNÄS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46256</v>
      </c>
      <c r="F934" t="inlineStr">
        <is>
          <t>GÄVLEBORGS LÄN</t>
        </is>
      </c>
      <c r="G934" t="inlineStr">
        <is>
          <t>BOLLNÄS</t>
        </is>
      </c>
      <c r="I934" t="n">
        <v>8.699999999999999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46072</v>
      </c>
      <c r="E935" s="1" t="n">
        <v>46256</v>
      </c>
      <c r="F935" t="inlineStr">
        <is>
          <t>GÄVLEBORGS LÄN</t>
        </is>
      </c>
      <c r="G935" t="inlineStr">
        <is>
          <t>BOLLNÄS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21700-2026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46149</v>
      </c>
      <c r="E936" s="1" t="n">
        <v>46256</v>
      </c>
      <c r="F936" t="inlineStr">
        <is>
          <t>GÄVLEBORGS LÄN</t>
        </is>
      </c>
      <c r="G936" t="inlineStr">
        <is>
          <t>BOLLNÄS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9609-2026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46256</v>
      </c>
      <c r="F937" t="inlineStr">
        <is>
          <t>GÄVLEBORGS LÄN</t>
        </is>
      </c>
      <c r="G937" t="inlineStr">
        <is>
          <t>BOLLNÄS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46073</v>
      </c>
      <c r="E938" s="1" t="n">
        <v>46256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10811-2026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46078</v>
      </c>
      <c r="E939" s="1" t="n">
        <v>46256</v>
      </c>
      <c r="F939" t="inlineStr">
        <is>
          <t>GÄVLEBORGS LÄN</t>
        </is>
      </c>
      <c r="G939" t="inlineStr">
        <is>
          <t>BOLLNÄS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10834-2026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46078</v>
      </c>
      <c r="E940" s="1" t="n">
        <v>46256</v>
      </c>
      <c r="F940" t="inlineStr">
        <is>
          <t>GÄVLEBORGS LÄN</t>
        </is>
      </c>
      <c r="G940" t="inlineStr">
        <is>
          <t>BOLLNÄS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46223</v>
      </c>
      <c r="E941" s="1" t="n">
        <v>46256</v>
      </c>
      <c r="F941" t="inlineStr">
        <is>
          <t>GÄVLEBORGS LÄN</t>
        </is>
      </c>
      <c r="G941" t="inlineStr">
        <is>
          <t>BOLLNÄS</t>
        </is>
      </c>
      <c r="I941" t="n">
        <v>6.3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10124-2026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46075</v>
      </c>
      <c r="E942" s="1" t="n">
        <v>46256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46076</v>
      </c>
      <c r="E943" s="1" t="n">
        <v>46256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10367-2026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46076</v>
      </c>
      <c r="E944" s="1" t="n">
        <v>46256</v>
      </c>
      <c r="F944" t="inlineStr">
        <is>
          <t>GÄVLEBORGS LÄN</t>
        </is>
      </c>
      <c r="G944" t="inlineStr">
        <is>
          <t>BOLLNÄS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31499-2026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46223</v>
      </c>
      <c r="E945" s="1" t="n">
        <v>46256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10213-2026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46076</v>
      </c>
      <c r="E946" s="1" t="n">
        <v>46256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10652-2026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46078</v>
      </c>
      <c r="E947" s="1" t="n">
        <v>46256</v>
      </c>
      <c r="F947" t="inlineStr">
        <is>
          <t>GÄVLEBORGS LÄN</t>
        </is>
      </c>
      <c r="G947" t="inlineStr">
        <is>
          <t>BOLLNÄS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10683-2026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46078</v>
      </c>
      <c r="E948" s="1" t="n">
        <v>46256</v>
      </c>
      <c r="F948" t="inlineStr">
        <is>
          <t>GÄVLEBORGS LÄN</t>
        </is>
      </c>
      <c r="G948" t="inlineStr">
        <is>
          <t>BOLLNÄS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10828-2026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46256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25497-2026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46177</v>
      </c>
      <c r="E950" s="1" t="n">
        <v>46256</v>
      </c>
      <c r="F950" t="inlineStr">
        <is>
          <t>GÄVLEBORGS LÄN</t>
        </is>
      </c>
      <c r="G950" t="inlineStr">
        <is>
          <t>BOLLNÄS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10687-2026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46078</v>
      </c>
      <c r="E951" s="1" t="n">
        <v>46256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21682-2026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46149</v>
      </c>
      <c r="E952" s="1" t="n">
        <v>46256</v>
      </c>
      <c r="F952" t="inlineStr">
        <is>
          <t>GÄVLEBORGS LÄN</t>
        </is>
      </c>
      <c r="G952" t="inlineStr">
        <is>
          <t>BOLLNÄS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10259-2026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46076</v>
      </c>
      <c r="E953" s="1" t="n">
        <v>46256</v>
      </c>
      <c r="F953" t="inlineStr">
        <is>
          <t>GÄVLEBORGS LÄN</t>
        </is>
      </c>
      <c r="G953" t="inlineStr">
        <is>
          <t>BOLLNÄS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10316-2026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46076</v>
      </c>
      <c r="E954" s="1" t="n">
        <v>46256</v>
      </c>
      <c r="F954" t="inlineStr">
        <is>
          <t>GÄVLEBORGS LÄN</t>
        </is>
      </c>
      <c r="G954" t="inlineStr">
        <is>
          <t>BOLLNÄS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10528-2026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46077</v>
      </c>
      <c r="E955" s="1" t="n">
        <v>46256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10455-2026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46077</v>
      </c>
      <c r="E956" s="1" t="n">
        <v>46256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16391-2026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46111</v>
      </c>
      <c r="E957" s="1" t="n">
        <v>46256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öst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31497-2026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46223</v>
      </c>
      <c r="E958" s="1" t="n">
        <v>46256</v>
      </c>
      <c r="F958" t="inlineStr">
        <is>
          <t>GÄVLEBORGS LÄN</t>
        </is>
      </c>
      <c r="G958" t="inlineStr">
        <is>
          <t>BOLLNÄS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10724-2026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46078</v>
      </c>
      <c r="E959" s="1" t="n">
        <v>46256</v>
      </c>
      <c r="F959" t="inlineStr">
        <is>
          <t>GÄVLEBORGS LÄN</t>
        </is>
      </c>
      <c r="G959" t="inlineStr">
        <is>
          <t>BOLLNÄS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10810-2026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46078</v>
      </c>
      <c r="E960" s="1" t="n">
        <v>46256</v>
      </c>
      <c r="F960" t="inlineStr">
        <is>
          <t>GÄVLEBORGS LÄN</t>
        </is>
      </c>
      <c r="G960" t="inlineStr">
        <is>
          <t>BOLLNÄS</t>
        </is>
      </c>
      <c r="I960" t="n">
        <v>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10830-2026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46256</v>
      </c>
      <c r="F961" t="inlineStr">
        <is>
          <t>GÄVLEBORGS LÄN</t>
        </is>
      </c>
      <c r="G961" t="inlineStr">
        <is>
          <t>BOLLNÄS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10505-2026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46077</v>
      </c>
      <c r="E962" s="1" t="n">
        <v>46256</v>
      </c>
      <c r="F962" t="inlineStr">
        <is>
          <t>GÄVLEBORGS LÄN</t>
        </is>
      </c>
      <c r="G962" t="inlineStr">
        <is>
          <t>BOLLNÄS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  <c r="Z962">
        <f>HYPERLINK("https://klasma.github.io/Logging_2183/knärot/A 10505-2026 karta knärot.png", "A 10505-2026")</f>
        <v/>
      </c>
      <c r="AA962">
        <f>HYPERLINK("https://klasma.github.io/Logging_2183/klagomål/A 10505-2026 FSC-klagomål.docx", "A 10505-2026")</f>
        <v/>
      </c>
      <c r="AB962">
        <f>HYPERLINK("https://klasma.github.io/Logging_2183/klagomålsmail/A 10505-2026 FSC-klagomål mail.docx", "A 10505-2026")</f>
        <v/>
      </c>
      <c r="AC962">
        <f>HYPERLINK("https://klasma.github.io/Logging_2183/tillsyn/A 10505-2026 tillsynsbegäran.docx", "A 10505-2026")</f>
        <v/>
      </c>
      <c r="AD962">
        <f>HYPERLINK("https://klasma.github.io/Logging_2183/tillsynsmail/A 10505-2026 tillsynsbegäran mail.docx", "A 10505-2026")</f>
        <v/>
      </c>
    </row>
    <row r="963" ht="15" customHeight="1">
      <c r="A963" t="inlineStr">
        <is>
          <t>A 10736-2026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46256</v>
      </c>
      <c r="F963" t="inlineStr">
        <is>
          <t>GÄVLEBORGS LÄN</t>
        </is>
      </c>
      <c r="G963" t="inlineStr">
        <is>
          <t>BOLLNÄS</t>
        </is>
      </c>
      <c r="I963" t="n">
        <v>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46177</v>
      </c>
      <c r="E964" s="1" t="n">
        <v>46256</v>
      </c>
      <c r="F964" t="inlineStr">
        <is>
          <t>GÄVLEBORGS LÄN</t>
        </is>
      </c>
      <c r="G964" t="inlineStr">
        <is>
          <t>BOLLNÄS</t>
        </is>
      </c>
      <c r="I964" t="n">
        <v>21.8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10748-2026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46256</v>
      </c>
      <c r="F965" t="inlineStr">
        <is>
          <t>GÄVLEBORGS LÄN</t>
        </is>
      </c>
      <c r="G965" t="inlineStr">
        <is>
          <t>BOLLNÄS</t>
        </is>
      </c>
      <c r="I965" t="n">
        <v>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10880-2026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46078</v>
      </c>
      <c r="E966" s="1" t="n">
        <v>46256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10857-2026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46078</v>
      </c>
      <c r="E967" s="1" t="n">
        <v>46256</v>
      </c>
      <c r="F967" t="inlineStr">
        <is>
          <t>GÄVLEBORGS LÄN</t>
        </is>
      </c>
      <c r="G967" t="inlineStr">
        <is>
          <t>BOLLNÄS</t>
        </is>
      </c>
      <c r="I967" t="n">
        <v>6.4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10120-2026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46075</v>
      </c>
      <c r="E968" s="1" t="n">
        <v>46256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10126-2026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46075</v>
      </c>
      <c r="E969" s="1" t="n">
        <v>46256</v>
      </c>
      <c r="F969" t="inlineStr">
        <is>
          <t>GÄVLEBORGS LÄN</t>
        </is>
      </c>
      <c r="G969" t="inlineStr">
        <is>
          <t>BOLLNÄS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21565-2026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46148</v>
      </c>
      <c r="E970" s="1" t="n">
        <v>46256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21647-2026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46256</v>
      </c>
      <c r="F971" t="inlineStr">
        <is>
          <t>GÄVLEBORGS LÄN</t>
        </is>
      </c>
      <c r="G971" t="inlineStr">
        <is>
          <t>BOLLNÄS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46078</v>
      </c>
      <c r="E972" s="1" t="n">
        <v>46256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10956-2026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46256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45672</v>
      </c>
      <c r="E974" s="1" t="n">
        <v>46256</v>
      </c>
      <c r="F974" t="inlineStr">
        <is>
          <t>GÄVLEBORGS LÄN</t>
        </is>
      </c>
      <c r="G974" t="inlineStr">
        <is>
          <t>BOLLNÄS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2006-2025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45672</v>
      </c>
      <c r="E975" s="1" t="n">
        <v>46256</v>
      </c>
      <c r="F975" t="inlineStr">
        <is>
          <t>GÄVLEBORGS LÄN</t>
        </is>
      </c>
      <c r="G975" t="inlineStr">
        <is>
          <t>BOLLNÄS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11118-2026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46079</v>
      </c>
      <c r="E976" s="1" t="n">
        <v>46256</v>
      </c>
      <c r="F976" t="inlineStr">
        <is>
          <t>GÄVLEBORGS LÄN</t>
        </is>
      </c>
      <c r="G976" t="inlineStr">
        <is>
          <t>BOLLNÄS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26069-2026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46181</v>
      </c>
      <c r="E977" s="1" t="n">
        <v>46256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11241-2026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46256</v>
      </c>
      <c r="F978" t="inlineStr">
        <is>
          <t>GÄVLEBORGS LÄN</t>
        </is>
      </c>
      <c r="G978" t="inlineStr">
        <is>
          <t>BOLLNÄS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26041-2026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46181</v>
      </c>
      <c r="E979" s="1" t="n">
        <v>46256</v>
      </c>
      <c r="F979" t="inlineStr">
        <is>
          <t>GÄVLEBORGS LÄN</t>
        </is>
      </c>
      <c r="G979" t="inlineStr">
        <is>
          <t>BOLLNÄS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29715-2024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45485</v>
      </c>
      <c r="E980" s="1" t="n">
        <v>46256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26068-2026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46256</v>
      </c>
      <c r="F981" t="inlineStr">
        <is>
          <t>GÄVLEBORGS LÄN</t>
        </is>
      </c>
      <c r="G981" t="inlineStr">
        <is>
          <t>BOLLNÄS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11309-2026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46080</v>
      </c>
      <c r="E982" s="1" t="n">
        <v>46256</v>
      </c>
      <c r="F982" t="inlineStr">
        <is>
          <t>GÄVLEBORGS LÄN</t>
        </is>
      </c>
      <c r="G982" t="inlineStr">
        <is>
          <t>BOLLNÄS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11019-2026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46079</v>
      </c>
      <c r="E983" s="1" t="n">
        <v>46256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46079</v>
      </c>
      <c r="E984" s="1" t="n">
        <v>46256</v>
      </c>
      <c r="F984" t="inlineStr">
        <is>
          <t>GÄVLEBORGS LÄN</t>
        </is>
      </c>
      <c r="G984" t="inlineStr">
        <is>
          <t>BOLLNÄS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46256</v>
      </c>
      <c r="F985" t="inlineStr">
        <is>
          <t>GÄVLEBORGS LÄN</t>
        </is>
      </c>
      <c r="G985" t="inlineStr">
        <is>
          <t>BOLLNÄS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11133-2026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46079</v>
      </c>
      <c r="E986" s="1" t="n">
        <v>46256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26039-2026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46181</v>
      </c>
      <c r="E987" s="1" t="n">
        <v>46256</v>
      </c>
      <c r="F987" t="inlineStr">
        <is>
          <t>GÄVLEBORGS LÄN</t>
        </is>
      </c>
      <c r="G987" t="inlineStr">
        <is>
          <t>BOLLNÄS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10896-2026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46078</v>
      </c>
      <c r="E988" s="1" t="n">
        <v>46256</v>
      </c>
      <c r="F988" t="inlineStr">
        <is>
          <t>GÄVLEBORGS LÄN</t>
        </is>
      </c>
      <c r="G988" t="inlineStr">
        <is>
          <t>BOLLNÄS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51666-2022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44872</v>
      </c>
      <c r="E989" s="1" t="n">
        <v>46256</v>
      </c>
      <c r="F989" t="inlineStr">
        <is>
          <t>GÄVLEBORGS LÄN</t>
        </is>
      </c>
      <c r="G989" t="inlineStr">
        <is>
          <t>BOLLNÄS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11128-2026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46079</v>
      </c>
      <c r="E990" s="1" t="n">
        <v>46256</v>
      </c>
      <c r="F990" t="inlineStr">
        <is>
          <t>GÄVLEBORGS LÄN</t>
        </is>
      </c>
      <c r="G990" t="inlineStr">
        <is>
          <t>BOLLNÄS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11131-2026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46079</v>
      </c>
      <c r="E991" s="1" t="n">
        <v>46256</v>
      </c>
      <c r="F991" t="inlineStr">
        <is>
          <t>GÄVLEBORGS LÄN</t>
        </is>
      </c>
      <c r="G991" t="inlineStr">
        <is>
          <t>BOLLNÄS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11166-2026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46080</v>
      </c>
      <c r="E992" s="1" t="n">
        <v>46256</v>
      </c>
      <c r="F992" t="inlineStr">
        <is>
          <t>GÄVLEBORGS LÄN</t>
        </is>
      </c>
      <c r="G992" t="inlineStr">
        <is>
          <t>BOLLNÄS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11308-2026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46080</v>
      </c>
      <c r="E993" s="1" t="n">
        <v>46256</v>
      </c>
      <c r="F993" t="inlineStr">
        <is>
          <t>GÄVLEBORGS LÄN</t>
        </is>
      </c>
      <c r="G993" t="inlineStr">
        <is>
          <t>BOLLNÄS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11294-2026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46080</v>
      </c>
      <c r="E994" s="1" t="n">
        <v>46256</v>
      </c>
      <c r="F994" t="inlineStr">
        <is>
          <t>GÄVLEBORGS LÄN</t>
        </is>
      </c>
      <c r="G994" t="inlineStr">
        <is>
          <t>BOLLNÄS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31643-2026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46225</v>
      </c>
      <c r="E995" s="1" t="n">
        <v>46256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11371-2026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46083</v>
      </c>
      <c r="E996" s="1" t="n">
        <v>46256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57887-2025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45981</v>
      </c>
      <c r="E997" s="1" t="n">
        <v>46256</v>
      </c>
      <c r="F997" t="inlineStr">
        <is>
          <t>GÄVLEBORGS LÄN</t>
        </is>
      </c>
      <c r="G997" t="inlineStr">
        <is>
          <t>BOLLNÄS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11367-2026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46083</v>
      </c>
      <c r="E998" s="1" t="n">
        <v>46256</v>
      </c>
      <c r="F998" t="inlineStr">
        <is>
          <t>GÄVLEBORGS LÄN</t>
        </is>
      </c>
      <c r="G998" t="inlineStr">
        <is>
          <t>BOLLNÄS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11343-2026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46082</v>
      </c>
      <c r="E999" s="1" t="n">
        <v>46256</v>
      </c>
      <c r="F999" t="inlineStr">
        <is>
          <t>GÄVLEBORGS LÄN</t>
        </is>
      </c>
      <c r="G999" t="inlineStr">
        <is>
          <t>BOLLNÄS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26192-2026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46182</v>
      </c>
      <c r="E1000" s="1" t="n">
        <v>46256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26065-2026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46181</v>
      </c>
      <c r="E1001" s="1" t="n">
        <v>46256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26066-2026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46181</v>
      </c>
      <c r="E1002" s="1" t="n">
        <v>46256</v>
      </c>
      <c r="F1002" t="inlineStr">
        <is>
          <t>GÄVLEBORGS LÄN</t>
        </is>
      </c>
      <c r="G1002" t="inlineStr">
        <is>
          <t>BOLLNÄS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49993-2024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46256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46256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11680-2026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46256</v>
      </c>
      <c r="F1005" t="inlineStr">
        <is>
          <t>GÄVLEBORGS LÄN</t>
        </is>
      </c>
      <c r="G1005" t="inlineStr">
        <is>
          <t>BOLLNÄS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57546-2023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45246</v>
      </c>
      <c r="E1006" s="1" t="n">
        <v>46256</v>
      </c>
      <c r="F1006" t="inlineStr">
        <is>
          <t>GÄVLEBORGS LÄN</t>
        </is>
      </c>
      <c r="G1006" t="inlineStr">
        <is>
          <t>BOLLNÄS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15355-2025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45747</v>
      </c>
      <c r="E1007" s="1" t="n">
        <v>46256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46082</v>
      </c>
      <c r="E1008" s="1" t="n">
        <v>46256</v>
      </c>
      <c r="F1008" t="inlineStr">
        <is>
          <t>GÄVLEBORGS LÄN</t>
        </is>
      </c>
      <c r="G1008" t="inlineStr">
        <is>
          <t>BOLLNÄS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11547-2026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46084</v>
      </c>
      <c r="E1009" s="1" t="n">
        <v>46256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26194-2026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46182</v>
      </c>
      <c r="E1010" s="1" t="n">
        <v>46256</v>
      </c>
      <c r="F1010" t="inlineStr">
        <is>
          <t>GÄVLEBORGS LÄN</t>
        </is>
      </c>
      <c r="G1010" t="inlineStr">
        <is>
          <t>BOLLNÄS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26214-2026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46182</v>
      </c>
      <c r="E1011" s="1" t="n">
        <v>46256</v>
      </c>
      <c r="F1011" t="inlineStr">
        <is>
          <t>GÄVLEBORGS LÄN</t>
        </is>
      </c>
      <c r="G1011" t="inlineStr">
        <is>
          <t>BOLLNÄS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31563-2026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46224</v>
      </c>
      <c r="E1012" s="1" t="n">
        <v>46256</v>
      </c>
      <c r="F1012" t="inlineStr">
        <is>
          <t>GÄVLEBORGS LÄN</t>
        </is>
      </c>
      <c r="G1012" t="inlineStr">
        <is>
          <t>BOLLNÄS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46256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11550-2026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46084</v>
      </c>
      <c r="E1014" s="1" t="n">
        <v>46256</v>
      </c>
      <c r="F1014" t="inlineStr">
        <is>
          <t>GÄVLEBORGS LÄN</t>
        </is>
      </c>
      <c r="G1014" t="inlineStr">
        <is>
          <t>BOLLNÄS</t>
        </is>
      </c>
      <c r="I1014" t="n">
        <v>14.1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46083</v>
      </c>
      <c r="E1015" s="1" t="n">
        <v>46256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11931-2026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46085</v>
      </c>
      <c r="E1016" s="1" t="n">
        <v>46256</v>
      </c>
      <c r="F1016" t="inlineStr">
        <is>
          <t>GÄVLEBORGS LÄN</t>
        </is>
      </c>
      <c r="G1016" t="inlineStr">
        <is>
          <t>BOLLNÄS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26526-2026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46183</v>
      </c>
      <c r="E1017" s="1" t="n">
        <v>46256</v>
      </c>
      <c r="F1017" t="inlineStr">
        <is>
          <t>GÄVLEBORGS LÄN</t>
        </is>
      </c>
      <c r="G1017" t="inlineStr">
        <is>
          <t>BOLLNÄS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31748-2026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46227</v>
      </c>
      <c r="E1018" s="1" t="n">
        <v>46256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11948-2026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46085</v>
      </c>
      <c r="E1019" s="1" t="n">
        <v>46256</v>
      </c>
      <c r="F1019" t="inlineStr">
        <is>
          <t>GÄVLEBORGS LÄN</t>
        </is>
      </c>
      <c r="G1019" t="inlineStr">
        <is>
          <t>BOLLNÄS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26528-2026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46183</v>
      </c>
      <c r="E1020" s="1" t="n">
        <v>46256</v>
      </c>
      <c r="F1020" t="inlineStr">
        <is>
          <t>GÄVLEBORGS LÄN</t>
        </is>
      </c>
      <c r="G1020" t="inlineStr">
        <is>
          <t>BOLLNÄS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26705-2026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46256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Kyrkan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12001-2026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46085</v>
      </c>
      <c r="E1022" s="1" t="n">
        <v>46256</v>
      </c>
      <c r="F1022" t="inlineStr">
        <is>
          <t>GÄVLEBORGS LÄN</t>
        </is>
      </c>
      <c r="G1022" t="inlineStr">
        <is>
          <t>BOLLNÄS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46256</v>
      </c>
      <c r="F1023" t="inlineStr">
        <is>
          <t>GÄVLEBORGS LÄN</t>
        </is>
      </c>
      <c r="G1023" t="inlineStr">
        <is>
          <t>BOLLNÄS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11881-2026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46085</v>
      </c>
      <c r="E1024" s="1" t="n">
        <v>46256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26695-2026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46184</v>
      </c>
      <c r="E1025" s="1" t="n">
        <v>46256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8.300000000000001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26741-2026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46184</v>
      </c>
      <c r="E1026" s="1" t="n">
        <v>46256</v>
      </c>
      <c r="F1026" t="inlineStr">
        <is>
          <t>GÄVLEBORGS LÄN</t>
        </is>
      </c>
      <c r="G1026" t="inlineStr">
        <is>
          <t>BOLLNÄS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12006-2026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46085</v>
      </c>
      <c r="E1027" s="1" t="n">
        <v>46256</v>
      </c>
      <c r="F1027" t="inlineStr">
        <is>
          <t>GÄVLEBORGS LÄN</t>
        </is>
      </c>
      <c r="G1027" t="inlineStr">
        <is>
          <t>BOLLNÄS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12010-2026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46085</v>
      </c>
      <c r="E1028" s="1" t="n">
        <v>46256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26632-2026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46184</v>
      </c>
      <c r="E1029" s="1" t="n">
        <v>46256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Kyrkan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12207-2026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46087</v>
      </c>
      <c r="E1030" s="1" t="n">
        <v>46256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12549-2026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46256</v>
      </c>
      <c r="F1031" t="inlineStr">
        <is>
          <t>GÄVLEBORGS LÄN</t>
        </is>
      </c>
      <c r="G1031" t="inlineStr">
        <is>
          <t>BOLLNÄS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12360-2026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46088</v>
      </c>
      <c r="E1032" s="1" t="n">
        <v>46256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26892-2026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46185</v>
      </c>
      <c r="E1033" s="1" t="n">
        <v>46256</v>
      </c>
      <c r="F1033" t="inlineStr">
        <is>
          <t>GÄVLEBORGS LÄN</t>
        </is>
      </c>
      <c r="G1033" t="inlineStr">
        <is>
          <t>BOLLNÄS</t>
        </is>
      </c>
      <c r="I1033" t="n">
        <v>9.800000000000001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31722-2026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46256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12359-2026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46088</v>
      </c>
      <c r="E1035" s="1" t="n">
        <v>46256</v>
      </c>
      <c r="F1035" t="inlineStr">
        <is>
          <t>GÄVLEBORGS LÄN</t>
        </is>
      </c>
      <c r="G1035" t="inlineStr">
        <is>
          <t>BOLLNÄS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46184</v>
      </c>
      <c r="E1036" s="1" t="n">
        <v>46256</v>
      </c>
      <c r="F1036" t="inlineStr">
        <is>
          <t>GÄVLEBORGS LÄN</t>
        </is>
      </c>
      <c r="G1036" t="inlineStr">
        <is>
          <t>BOLLNÄS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46087</v>
      </c>
      <c r="E1037" s="1" t="n">
        <v>46256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12378-2026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46090</v>
      </c>
      <c r="E1038" s="1" t="n">
        <v>46256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8.6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26610-2026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46184</v>
      </c>
      <c r="E1039" s="1" t="n">
        <v>46256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Kyrkan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12451-2026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46256</v>
      </c>
      <c r="F1040" t="inlineStr">
        <is>
          <t>GÄVLEBORGS LÄN</t>
        </is>
      </c>
      <c r="G1040" t="inlineStr">
        <is>
          <t>BOLLNÄS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31922-2026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46231</v>
      </c>
      <c r="E1041" s="1" t="n">
        <v>46256</v>
      </c>
      <c r="F1041" t="inlineStr">
        <is>
          <t>GÄVLEBORGS LÄN</t>
        </is>
      </c>
      <c r="G1041" t="inlineStr">
        <is>
          <t>BOLLNÄS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27092-2026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46188</v>
      </c>
      <c r="E1042" s="1" t="n">
        <v>46256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12454-2026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46256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2311-2024</t>
        </is>
      </c>
      <c r="B1044" t="inlineStr">
        <is>
          <t>avverkningsanmälan</t>
        </is>
      </c>
      <c r="C1044" t="inlineStr">
        <is>
          <t>Avverkning för att bevara och utveckla /försöksver</t>
        </is>
      </c>
      <c r="D1044" s="1" t="n">
        <v>45310</v>
      </c>
      <c r="E1044" s="1" t="n">
        <v>46256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Övriga statliga verk och myndigheter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26890-2026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46185</v>
      </c>
      <c r="E1045" s="1" t="n">
        <v>46256</v>
      </c>
      <c r="F1045" t="inlineStr">
        <is>
          <t>GÄVLEBORGS LÄN</t>
        </is>
      </c>
      <c r="G1045" t="inlineStr">
        <is>
          <t>BOLLNÄS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26891-2026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46185</v>
      </c>
      <c r="E1046" s="1" t="n">
        <v>46256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12449-2026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46090</v>
      </c>
      <c r="E1047" s="1" t="n">
        <v>46256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12220-2026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46256</v>
      </c>
      <c r="F1048" t="inlineStr">
        <is>
          <t>GÄVLEBORGS LÄN</t>
        </is>
      </c>
      <c r="G1048" t="inlineStr">
        <is>
          <t>BOLLNÄS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45008</v>
      </c>
      <c r="E1049" s="1" t="n">
        <v>46256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12940-2026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46092</v>
      </c>
      <c r="E1050" s="1" t="n">
        <v>46256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31385-2023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45114</v>
      </c>
      <c r="E1051" s="1" t="n">
        <v>46256</v>
      </c>
      <c r="F1051" t="inlineStr">
        <is>
          <t>GÄVLEBORGS LÄN</t>
        </is>
      </c>
      <c r="G1051" t="inlineStr">
        <is>
          <t>BOLLNÄS</t>
        </is>
      </c>
      <c r="I1051" t="n">
        <v>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46091</v>
      </c>
      <c r="E1052" s="1" t="n">
        <v>46256</v>
      </c>
      <c r="F1052" t="inlineStr">
        <is>
          <t>GÄVLEBORGS LÄN</t>
        </is>
      </c>
      <c r="G1052" t="inlineStr">
        <is>
          <t>BOLLNÄS</t>
        </is>
      </c>
      <c r="I1052" t="n">
        <v>5.9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26981-2026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46185</v>
      </c>
      <c r="E1053" s="1" t="n">
        <v>46256</v>
      </c>
      <c r="F1053" t="inlineStr">
        <is>
          <t>GÄVLEBORGS LÄN</t>
        </is>
      </c>
      <c r="G1053" t="inlineStr">
        <is>
          <t>BOLLNÄS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46041</v>
      </c>
      <c r="E1054" s="1" t="n">
        <v>46256</v>
      </c>
      <c r="F1054" t="inlineStr">
        <is>
          <t>GÄVLEBORGS LÄN</t>
        </is>
      </c>
      <c r="G1054" t="inlineStr">
        <is>
          <t>BOLLNÄS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27322-2026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46188</v>
      </c>
      <c r="E1055" s="1" t="n">
        <v>46256</v>
      </c>
      <c r="F1055" t="inlineStr">
        <is>
          <t>GÄVLEBORGS LÄN</t>
        </is>
      </c>
      <c r="G1055" t="inlineStr">
        <is>
          <t>BOLLNÄS</t>
        </is>
      </c>
      <c r="I1055" t="n">
        <v>6.4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12995-2026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46092</v>
      </c>
      <c r="E1056" s="1" t="n">
        <v>46256</v>
      </c>
      <c r="F1056" t="inlineStr">
        <is>
          <t>GÄVLEBORGS LÄN</t>
        </is>
      </c>
      <c r="G1056" t="inlineStr">
        <is>
          <t>BOLLNÄS</t>
        </is>
      </c>
      <c r="I1056" t="n">
        <v>5.5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12649-2026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46091</v>
      </c>
      <c r="E1057" s="1" t="n">
        <v>46256</v>
      </c>
      <c r="F1057" t="inlineStr">
        <is>
          <t>GÄVLEBORGS LÄN</t>
        </is>
      </c>
      <c r="G1057" t="inlineStr">
        <is>
          <t>BOLLNÄS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46188</v>
      </c>
      <c r="E1058" s="1" t="n">
        <v>46256</v>
      </c>
      <c r="F1058" t="inlineStr">
        <is>
          <t>GÄVLEBORGS LÄN</t>
        </is>
      </c>
      <c r="G1058" t="inlineStr">
        <is>
          <t>BOLLNÄS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12951-2026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46092</v>
      </c>
      <c r="E1059" s="1" t="n">
        <v>46256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Sveaskog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12959-2026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46092</v>
      </c>
      <c r="E1060" s="1" t="n">
        <v>46256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Sveaskog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27143-2026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46256</v>
      </c>
      <c r="F1061" t="inlineStr">
        <is>
          <t>GÄVLEBORGS LÄN</t>
        </is>
      </c>
      <c r="G1061" t="inlineStr">
        <is>
          <t>BOLLNÄS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12895-2026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46092</v>
      </c>
      <c r="E1062" s="1" t="n">
        <v>46256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61220-2022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44915</v>
      </c>
      <c r="E1063" s="1" t="n">
        <v>46256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27318-2026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46188</v>
      </c>
      <c r="E1064" s="1" t="n">
        <v>46256</v>
      </c>
      <c r="F1064" t="inlineStr">
        <is>
          <t>GÄVLEBORGS LÄN</t>
        </is>
      </c>
      <c r="G1064" t="inlineStr">
        <is>
          <t>BOLLNÄS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46094</v>
      </c>
      <c r="E1065" s="1" t="n">
        <v>46256</v>
      </c>
      <c r="F1065" t="inlineStr">
        <is>
          <t>GÄVLEBORGS LÄN</t>
        </is>
      </c>
      <c r="G1065" t="inlineStr">
        <is>
          <t>BOLLNÄS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26909-2026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46185</v>
      </c>
      <c r="E1066" s="1" t="n">
        <v>46256</v>
      </c>
      <c r="F1066" t="inlineStr">
        <is>
          <t>GÄVLEBORGS LÄN</t>
        </is>
      </c>
      <c r="G1066" t="inlineStr">
        <is>
          <t>BOLLNÄS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26910-2026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46256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13341-2026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46094</v>
      </c>
      <c r="E1068" s="1" t="n">
        <v>46256</v>
      </c>
      <c r="F1068" t="inlineStr">
        <is>
          <t>GÄVLEBORGS LÄN</t>
        </is>
      </c>
      <c r="G1068" t="inlineStr">
        <is>
          <t>BOLLNÄS</t>
        </is>
      </c>
      <c r="I1068" t="n">
        <v>11.7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13311-2026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46256</v>
      </c>
      <c r="F1069" t="inlineStr">
        <is>
          <t>GÄVLEBORGS LÄN</t>
        </is>
      </c>
      <c r="G1069" t="inlineStr">
        <is>
          <t>BOLLNÄS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13407-2026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46094</v>
      </c>
      <c r="E1070" s="1" t="n">
        <v>46256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13358-2026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46094</v>
      </c>
      <c r="E1071" s="1" t="n">
        <v>46256</v>
      </c>
      <c r="F1071" t="inlineStr">
        <is>
          <t>GÄVLEBORGS LÄN</t>
        </is>
      </c>
      <c r="G1071" t="inlineStr">
        <is>
          <t>BOLLNÄS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13378-2026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46094</v>
      </c>
      <c r="E1072" s="1" t="n">
        <v>46256</v>
      </c>
      <c r="F1072" t="inlineStr">
        <is>
          <t>GÄVLEBORGS LÄN</t>
        </is>
      </c>
      <c r="G1072" t="inlineStr">
        <is>
          <t>BOLLNÄS</t>
        </is>
      </c>
      <c r="I1072" t="n">
        <v>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46093</v>
      </c>
      <c r="E1073" s="1" t="n">
        <v>46256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32.8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13363-2026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46256</v>
      </c>
      <c r="F1074" t="inlineStr">
        <is>
          <t>GÄVLEBORGS LÄN</t>
        </is>
      </c>
      <c r="G1074" t="inlineStr">
        <is>
          <t>BOLLNÄS</t>
        </is>
      </c>
      <c r="I1074" t="n">
        <v>9.199999999999999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46256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13132-2026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46256</v>
      </c>
      <c r="F1076" t="inlineStr">
        <is>
          <t>GÄVLEBORGS LÄN</t>
        </is>
      </c>
      <c r="G1076" t="inlineStr">
        <is>
          <t>BOLLNÄS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46256</v>
      </c>
      <c r="F1077" t="inlineStr">
        <is>
          <t>GÄVLEBORGS LÄN</t>
        </is>
      </c>
      <c r="G1077" t="inlineStr">
        <is>
          <t>BOLLNÄS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13201-2026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46256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17.4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13460-2026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46256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13421-2026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46256</v>
      </c>
      <c r="F1080" t="inlineStr">
        <is>
          <t>GÄVLEBORGS LÄN</t>
        </is>
      </c>
      <c r="G1080" t="inlineStr">
        <is>
          <t>BOLLNÄS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31809-2026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46230</v>
      </c>
      <c r="E1081" s="1" t="n">
        <v>46256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13231-2026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46093</v>
      </c>
      <c r="E1082" s="1" t="n">
        <v>46256</v>
      </c>
      <c r="F1082" t="inlineStr">
        <is>
          <t>GÄVLEBORGS LÄN</t>
        </is>
      </c>
      <c r="G1082" t="inlineStr">
        <is>
          <t>BOLLNÄS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26977-2026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46185</v>
      </c>
      <c r="E1083" s="1" t="n">
        <v>46256</v>
      </c>
      <c r="F1083" t="inlineStr">
        <is>
          <t>GÄVLEBORGS LÄN</t>
        </is>
      </c>
      <c r="G1083" t="inlineStr">
        <is>
          <t>BOLLNÄS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13052-2026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46256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28.3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13083-2026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46256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4.2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27326-2026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46188</v>
      </c>
      <c r="E1086" s="1" t="n">
        <v>46256</v>
      </c>
      <c r="F1086" t="inlineStr">
        <is>
          <t>GÄVLEBORGS LÄN</t>
        </is>
      </c>
      <c r="G1086" t="inlineStr">
        <is>
          <t>BOLLNÄS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27037-2026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46185</v>
      </c>
      <c r="E1087" s="1" t="n">
        <v>46256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13131-2026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46093</v>
      </c>
      <c r="E1088" s="1" t="n">
        <v>46256</v>
      </c>
      <c r="F1088" t="inlineStr">
        <is>
          <t>GÄVLEBORGS LÄN</t>
        </is>
      </c>
      <c r="G1088" t="inlineStr">
        <is>
          <t>BOLLNÄS</t>
        </is>
      </c>
      <c r="I1088" t="n">
        <v>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13026-2026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46092</v>
      </c>
      <c r="E1089" s="1" t="n">
        <v>46256</v>
      </c>
      <c r="F1089" t="inlineStr">
        <is>
          <t>GÄVLEBORGS LÄN</t>
        </is>
      </c>
      <c r="G1089" t="inlineStr">
        <is>
          <t>BOLLNÄS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13548-2026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46094</v>
      </c>
      <c r="E1090" s="1" t="n">
        <v>46256</v>
      </c>
      <c r="F1090" t="inlineStr">
        <is>
          <t>GÄVLEBORGS LÄN</t>
        </is>
      </c>
      <c r="G1090" t="inlineStr">
        <is>
          <t>BOLLNÄS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13556-2026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46094</v>
      </c>
      <c r="E1091" s="1" t="n">
        <v>46256</v>
      </c>
      <c r="F1091" t="inlineStr">
        <is>
          <t>GÄVLEBORGS LÄN</t>
        </is>
      </c>
      <c r="G1091" t="inlineStr">
        <is>
          <t>BOLLNÄS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13732-2026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46097</v>
      </c>
      <c r="E1092" s="1" t="n">
        <v>46256</v>
      </c>
      <c r="F1092" t="inlineStr">
        <is>
          <t>GÄVLEBORGS LÄN</t>
        </is>
      </c>
      <c r="G1092" t="inlineStr">
        <is>
          <t>BOLLNÄS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595-2025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45664</v>
      </c>
      <c r="E1093" s="1" t="n">
        <v>46256</v>
      </c>
      <c r="F1093" t="inlineStr">
        <is>
          <t>GÄVLEBORGS LÄN</t>
        </is>
      </c>
      <c r="G1093" t="inlineStr">
        <is>
          <t>BOLLNÄS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27598-2026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46190</v>
      </c>
      <c r="E1094" s="1" t="n">
        <v>46256</v>
      </c>
      <c r="F1094" t="inlineStr">
        <is>
          <t>GÄVLEBORGS LÄN</t>
        </is>
      </c>
      <c r="G1094" t="inlineStr">
        <is>
          <t>BOLLNÄS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13646-2026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46097</v>
      </c>
      <c r="E1095" s="1" t="n">
        <v>46256</v>
      </c>
      <c r="F1095" t="inlineStr">
        <is>
          <t>GÄVLEBORGS LÄN</t>
        </is>
      </c>
      <c r="G1095" t="inlineStr">
        <is>
          <t>BOLLNÄS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13653-2026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46097</v>
      </c>
      <c r="E1096" s="1" t="n">
        <v>46256</v>
      </c>
      <c r="F1096" t="inlineStr">
        <is>
          <t>GÄVLEBORGS LÄN</t>
        </is>
      </c>
      <c r="G1096" t="inlineStr">
        <is>
          <t>BOLLNÄS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46256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väst AB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8957-2026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46069</v>
      </c>
      <c r="E1098" s="1" t="n">
        <v>46256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13665-2026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46097</v>
      </c>
      <c r="E1099" s="1" t="n">
        <v>46256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Bergvik skog väst AB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13702-2026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46097</v>
      </c>
      <c r="E1100" s="1" t="n">
        <v>46256</v>
      </c>
      <c r="F1100" t="inlineStr">
        <is>
          <t>GÄVLEBORGS LÄN</t>
        </is>
      </c>
      <c r="G1100" t="inlineStr">
        <is>
          <t>BOLLNÄS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46233</v>
      </c>
      <c r="E1101" s="1" t="n">
        <v>46256</v>
      </c>
      <c r="F1101" t="inlineStr">
        <is>
          <t>GÄVLEBORGS LÄN</t>
        </is>
      </c>
      <c r="G1101" t="inlineStr">
        <is>
          <t>BOLLNÄS</t>
        </is>
      </c>
      <c r="I1101" t="n">
        <v>8.300000000000001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25177-2023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45086</v>
      </c>
      <c r="E1102" s="1" t="n">
        <v>46256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Sveaskog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13918-2026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46098</v>
      </c>
      <c r="E1103" s="1" t="n">
        <v>46256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13925-2026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46256</v>
      </c>
      <c r="F1104" t="inlineStr">
        <is>
          <t>GÄVLEBORGS LÄN</t>
        </is>
      </c>
      <c r="G1104" t="inlineStr">
        <is>
          <t>BOLLNÄS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13859-2026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46098</v>
      </c>
      <c r="E1105" s="1" t="n">
        <v>46256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9964-2026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46073</v>
      </c>
      <c r="E1106" s="1" t="n">
        <v>46256</v>
      </c>
      <c r="F1106" t="inlineStr">
        <is>
          <t>GÄVLEBORGS LÄN</t>
        </is>
      </c>
      <c r="G1106" t="inlineStr">
        <is>
          <t>BOLLNÄS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46141</v>
      </c>
      <c r="E1107" s="1" t="n">
        <v>46256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63984-2025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46021</v>
      </c>
      <c r="E1108" s="1" t="n">
        <v>46256</v>
      </c>
      <c r="F1108" t="inlineStr">
        <is>
          <t>GÄVLEBORGS LÄN</t>
        </is>
      </c>
      <c r="G1108" t="inlineStr">
        <is>
          <t>BOLLNÄS</t>
        </is>
      </c>
      <c r="I1108" t="n">
        <v>10.6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13595-2026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46097</v>
      </c>
      <c r="E1109" s="1" t="n">
        <v>46256</v>
      </c>
      <c r="F1109" t="inlineStr">
        <is>
          <t>GÄVLEBORGS LÄN</t>
        </is>
      </c>
      <c r="G1109" t="inlineStr">
        <is>
          <t>BOLLNÄS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13598-2026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46097</v>
      </c>
      <c r="E1110" s="1" t="n">
        <v>46256</v>
      </c>
      <c r="F1110" t="inlineStr">
        <is>
          <t>GÄVLEBORGS LÄN</t>
        </is>
      </c>
      <c r="G1110" t="inlineStr">
        <is>
          <t>BOLLNÄS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13988-2026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46098</v>
      </c>
      <c r="E1111" s="1" t="n">
        <v>46256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13915-2026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46098</v>
      </c>
      <c r="E1112" s="1" t="n">
        <v>46256</v>
      </c>
      <c r="F1112" t="inlineStr">
        <is>
          <t>GÄVLEBORGS LÄN</t>
        </is>
      </c>
      <c r="G1112" t="inlineStr">
        <is>
          <t>BOLLNÄS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12904-2026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46092</v>
      </c>
      <c r="E1113" s="1" t="n">
        <v>46256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13624-2026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46097</v>
      </c>
      <c r="E1114" s="1" t="n">
        <v>46256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14171-2026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46099</v>
      </c>
      <c r="E1115" s="1" t="n">
        <v>46256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14183-2026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46099</v>
      </c>
      <c r="E1116" s="1" t="n">
        <v>46256</v>
      </c>
      <c r="F1116" t="inlineStr">
        <is>
          <t>GÄVLEBORGS LÄN</t>
        </is>
      </c>
      <c r="G1116" t="inlineStr">
        <is>
          <t>BOLLNÄS</t>
        </is>
      </c>
      <c r="I1116" t="n">
        <v>7.1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46256</v>
      </c>
      <c r="F1117" t="inlineStr">
        <is>
          <t>GÄVLEBORGS LÄN</t>
        </is>
      </c>
      <c r="G1117" t="inlineStr">
        <is>
          <t>BOLLNÄS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14155-2026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46099</v>
      </c>
      <c r="E1118" s="1" t="n">
        <v>46256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14133-2026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46099</v>
      </c>
      <c r="E1119" s="1" t="n">
        <v>46256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7.4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14526-2026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46100</v>
      </c>
      <c r="E1120" s="1" t="n">
        <v>46256</v>
      </c>
      <c r="F1120" t="inlineStr">
        <is>
          <t>GÄVLEBORGS LÄN</t>
        </is>
      </c>
      <c r="G1120" t="inlineStr">
        <is>
          <t>BOLLNÄS</t>
        </is>
      </c>
      <c r="I1120" t="n">
        <v>10.9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14346-2026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46100</v>
      </c>
      <c r="E1121" s="1" t="n">
        <v>46256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46100</v>
      </c>
      <c r="E1122" s="1" t="n">
        <v>46256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14053-2026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46099</v>
      </c>
      <c r="E1123" s="1" t="n">
        <v>46256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23095-2026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46161</v>
      </c>
      <c r="E1124" s="1" t="n">
        <v>46256</v>
      </c>
      <c r="F1124" t="inlineStr">
        <is>
          <t>GÄVLEBORGS LÄN</t>
        </is>
      </c>
      <c r="G1124" t="inlineStr">
        <is>
          <t>BOLLNÄS</t>
        </is>
      </c>
      <c r="I1124" t="n">
        <v>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14519-2026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46100</v>
      </c>
      <c r="E1125" s="1" t="n">
        <v>46256</v>
      </c>
      <c r="F1125" t="inlineStr">
        <is>
          <t>GÄVLEBORGS LÄN</t>
        </is>
      </c>
      <c r="G1125" t="inlineStr">
        <is>
          <t>BOLLNÄS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14148-2026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46099</v>
      </c>
      <c r="E1126" s="1" t="n">
        <v>46256</v>
      </c>
      <c r="F1126" t="inlineStr">
        <is>
          <t>GÄVLEBORGS LÄN</t>
        </is>
      </c>
      <c r="G1126" t="inlineStr">
        <is>
          <t>BOLLNÄS</t>
        </is>
      </c>
      <c r="I1126" t="n">
        <v>0.3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14172-2026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46099</v>
      </c>
      <c r="E1127" s="1" t="n">
        <v>46256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63862-2023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45278</v>
      </c>
      <c r="E1128" s="1" t="n">
        <v>46256</v>
      </c>
      <c r="F1128" t="inlineStr">
        <is>
          <t>GÄVLEBORGS LÄN</t>
        </is>
      </c>
      <c r="G1128" t="inlineStr">
        <is>
          <t>BOLLNÄS</t>
        </is>
      </c>
      <c r="I1128" t="n">
        <v>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14328-2026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46256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14216-2026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46256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7.1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14252-2026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46099</v>
      </c>
      <c r="E1131" s="1" t="n">
        <v>46256</v>
      </c>
      <c r="F1131" t="inlineStr">
        <is>
          <t>GÄVLEBORGS LÄN</t>
        </is>
      </c>
      <c r="G1131" t="inlineStr">
        <is>
          <t>BOLLNÄS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46100</v>
      </c>
      <c r="E1132" s="1" t="n">
        <v>46256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11.9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14223-2026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46099</v>
      </c>
      <c r="E1133" s="1" t="n">
        <v>46256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14503-2026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46100</v>
      </c>
      <c r="E1134" s="1" t="n">
        <v>46256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14174-2026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46099</v>
      </c>
      <c r="E1135" s="1" t="n">
        <v>46256</v>
      </c>
      <c r="F1135" t="inlineStr">
        <is>
          <t>GÄVLEBORGS LÄN</t>
        </is>
      </c>
      <c r="G1135" t="inlineStr">
        <is>
          <t>BOLLNÄS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14987-2026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46104</v>
      </c>
      <c r="E1136" s="1" t="n">
        <v>46256</v>
      </c>
      <c r="F1136" t="inlineStr">
        <is>
          <t>GÄVLEBORGS LÄN</t>
        </is>
      </c>
      <c r="G1136" t="inlineStr">
        <is>
          <t>BOLLNÄS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46256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27748-2026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46191</v>
      </c>
      <c r="E1138" s="1" t="n">
        <v>46256</v>
      </c>
      <c r="F1138" t="inlineStr">
        <is>
          <t>GÄVLEBORGS LÄN</t>
        </is>
      </c>
      <c r="G1138" t="inlineStr">
        <is>
          <t>BOLLNÄS</t>
        </is>
      </c>
      <c r="I1138" t="n">
        <v>10.8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14700-2026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46256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Kommuner</t>
        </is>
      </c>
      <c r="I1139" t="n">
        <v>10.4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27753-2026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46191</v>
      </c>
      <c r="E1140" s="1" t="n">
        <v>46256</v>
      </c>
      <c r="F1140" t="inlineStr">
        <is>
          <t>GÄVLEBORGS LÄN</t>
        </is>
      </c>
      <c r="G1140" t="inlineStr">
        <is>
          <t>BOLLNÄS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46064</v>
      </c>
      <c r="E1141" s="1" t="n">
        <v>46256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14766-2026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46101</v>
      </c>
      <c r="E1142" s="1" t="n">
        <v>46256</v>
      </c>
      <c r="F1142" t="inlineStr">
        <is>
          <t>GÄVLEBORGS LÄN</t>
        </is>
      </c>
      <c r="G1142" t="inlineStr">
        <is>
          <t>BOLLNÄS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15037-2026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46104</v>
      </c>
      <c r="E1143" s="1" t="n">
        <v>46256</v>
      </c>
      <c r="F1143" t="inlineStr">
        <is>
          <t>GÄVLEBORGS LÄN</t>
        </is>
      </c>
      <c r="G1143" t="inlineStr">
        <is>
          <t>BOLLNÄS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14871-2026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46104</v>
      </c>
      <c r="E1144" s="1" t="n">
        <v>46256</v>
      </c>
      <c r="F1144" t="inlineStr">
        <is>
          <t>GÄVLEBORGS LÄN</t>
        </is>
      </c>
      <c r="G1144" t="inlineStr">
        <is>
          <t>BOLLNÄS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14630-2026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46256</v>
      </c>
      <c r="F1145" t="inlineStr">
        <is>
          <t>GÄVLEBORGS LÄN</t>
        </is>
      </c>
      <c r="G1145" t="inlineStr">
        <is>
          <t>BOLLNÄS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14678-2026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46101</v>
      </c>
      <c r="E1146" s="1" t="n">
        <v>46256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Kommuner</t>
        </is>
      </c>
      <c r="I1146" t="n">
        <v>23.7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14764-2026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46101</v>
      </c>
      <c r="E1147" s="1" t="n">
        <v>46256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14784-2026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46101</v>
      </c>
      <c r="E1148" s="1" t="n">
        <v>46256</v>
      </c>
      <c r="F1148" t="inlineStr">
        <is>
          <t>GÄVLEBORGS LÄN</t>
        </is>
      </c>
      <c r="G1148" t="inlineStr">
        <is>
          <t>BOLLNÄS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14598-2026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46101</v>
      </c>
      <c r="E1149" s="1" t="n">
        <v>46256</v>
      </c>
      <c r="F1149" t="inlineStr">
        <is>
          <t>GÄVLEBORGS LÄN</t>
        </is>
      </c>
      <c r="G1149" t="inlineStr">
        <is>
          <t>BOLLNÄS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14599-2026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46101</v>
      </c>
      <c r="E1150" s="1" t="n">
        <v>46256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14729-2026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46256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Kommuner</t>
        </is>
      </c>
      <c r="I1151" t="n">
        <v>4.7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14735-2026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46101</v>
      </c>
      <c r="E1152" s="1" t="n">
        <v>46256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14741-2026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46101</v>
      </c>
      <c r="E1153" s="1" t="n">
        <v>46256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14899-2026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46104</v>
      </c>
      <c r="E1154" s="1" t="n">
        <v>46256</v>
      </c>
      <c r="F1154" t="inlineStr">
        <is>
          <t>GÄVLEBORGS LÄN</t>
        </is>
      </c>
      <c r="G1154" t="inlineStr">
        <is>
          <t>BOLLNÄS</t>
        </is>
      </c>
      <c r="I1154" t="n">
        <v>7.3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9814-2026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46256</v>
      </c>
      <c r="F1155" t="inlineStr">
        <is>
          <t>GÄVLEBORGS LÄN</t>
        </is>
      </c>
      <c r="G1155" t="inlineStr">
        <is>
          <t>BOLLNÄS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14864-2026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46104</v>
      </c>
      <c r="E1156" s="1" t="n">
        <v>46256</v>
      </c>
      <c r="F1156" t="inlineStr">
        <is>
          <t>GÄVLEBORGS LÄN</t>
        </is>
      </c>
      <c r="G1156" t="inlineStr">
        <is>
          <t>BOLLNÄS</t>
        </is>
      </c>
      <c r="I1156" t="n">
        <v>7.9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14594-2026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46101</v>
      </c>
      <c r="E1157" s="1" t="n">
        <v>46256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14872-2026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46104</v>
      </c>
      <c r="E1158" s="1" t="n">
        <v>46256</v>
      </c>
      <c r="F1158" t="inlineStr">
        <is>
          <t>GÄVLEBORGS LÄN</t>
        </is>
      </c>
      <c r="G1158" t="inlineStr">
        <is>
          <t>BOLLNÄS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14586-2026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46101</v>
      </c>
      <c r="E1159" s="1" t="n">
        <v>46256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14589-2026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46101</v>
      </c>
      <c r="E1160" s="1" t="n">
        <v>46256</v>
      </c>
      <c r="F1160" t="inlineStr">
        <is>
          <t>GÄVLEBORGS LÄN</t>
        </is>
      </c>
      <c r="G1160" t="inlineStr">
        <is>
          <t>BOLLNÄS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46104</v>
      </c>
      <c r="E1161" s="1" t="n">
        <v>46256</v>
      </c>
      <c r="F1161" t="inlineStr">
        <is>
          <t>GÄVLEBORGS LÄN</t>
        </is>
      </c>
      <c r="G1161" t="inlineStr">
        <is>
          <t>BOLLNÄS</t>
        </is>
      </c>
      <c r="I1161" t="n">
        <v>11.3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14866-2026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46104</v>
      </c>
      <c r="E1162" s="1" t="n">
        <v>46256</v>
      </c>
      <c r="F1162" t="inlineStr">
        <is>
          <t>GÄVLEBORGS LÄN</t>
        </is>
      </c>
      <c r="G1162" t="inlineStr">
        <is>
          <t>BOLLNÄS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15149-2026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46256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Holmen skog AB</t>
        </is>
      </c>
      <c r="I1163" t="n">
        <v>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15643-2026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46106</v>
      </c>
      <c r="E1164" s="1" t="n">
        <v>46256</v>
      </c>
      <c r="F1164" t="inlineStr">
        <is>
          <t>GÄVLEBORGS LÄN</t>
        </is>
      </c>
      <c r="G1164" t="inlineStr">
        <is>
          <t>BOLLNÄS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14758-2026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46101</v>
      </c>
      <c r="E1165" s="1" t="n">
        <v>46256</v>
      </c>
      <c r="F1165" t="inlineStr">
        <is>
          <t>GÄVLEBORGS LÄN</t>
        </is>
      </c>
      <c r="G1165" t="inlineStr">
        <is>
          <t>BOLLNÄS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15511-2026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46106</v>
      </c>
      <c r="E1166" s="1" t="n">
        <v>46256</v>
      </c>
      <c r="F1166" t="inlineStr">
        <is>
          <t>GÄVLEBORGS LÄN</t>
        </is>
      </c>
      <c r="G1166" t="inlineStr">
        <is>
          <t>BOLLNÄS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15449-2026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46106</v>
      </c>
      <c r="E1167" s="1" t="n">
        <v>46256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15605-2026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46106</v>
      </c>
      <c r="E1168" s="1" t="n">
        <v>46256</v>
      </c>
      <c r="F1168" t="inlineStr">
        <is>
          <t>GÄVLEBORGS LÄN</t>
        </is>
      </c>
      <c r="G1168" t="inlineStr">
        <is>
          <t>BOLLNÄS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14761-2026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46101</v>
      </c>
      <c r="E1169" s="1" t="n">
        <v>46256</v>
      </c>
      <c r="F1169" t="inlineStr">
        <is>
          <t>GÄVLEBORGS LÄN</t>
        </is>
      </c>
      <c r="G1169" t="inlineStr">
        <is>
          <t>BOLLNÄS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15507-2026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46106</v>
      </c>
      <c r="E1170" s="1" t="n">
        <v>46256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15520-2026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46106</v>
      </c>
      <c r="E1171" s="1" t="n">
        <v>46256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15528-2026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46106</v>
      </c>
      <c r="E1172" s="1" t="n">
        <v>46256</v>
      </c>
      <c r="F1172" t="inlineStr">
        <is>
          <t>GÄVLEBORGS LÄN</t>
        </is>
      </c>
      <c r="G1172" t="inlineStr">
        <is>
          <t>BOLLNÄS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15522-2026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46106</v>
      </c>
      <c r="E1173" s="1" t="n">
        <v>46256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15387-2026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46106</v>
      </c>
      <c r="E1174" s="1" t="n">
        <v>46256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15080-2026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46105</v>
      </c>
      <c r="E1175" s="1" t="n">
        <v>46256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Sveaskog</t>
        </is>
      </c>
      <c r="I1175" t="n">
        <v>9.300000000000001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32478-2026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46239</v>
      </c>
      <c r="E1176" s="1" t="n">
        <v>46256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16036-2026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46108</v>
      </c>
      <c r="E1177" s="1" t="n">
        <v>46256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15995-2026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46108</v>
      </c>
      <c r="E1178" s="1" t="n">
        <v>46256</v>
      </c>
      <c r="F1178" t="inlineStr">
        <is>
          <t>GÄVLEBORGS LÄN</t>
        </is>
      </c>
      <c r="G1178" t="inlineStr">
        <is>
          <t>BOLLNÄS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69613-2021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44532</v>
      </c>
      <c r="E1179" s="1" t="n">
        <v>46256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58716-2023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45251</v>
      </c>
      <c r="E1180" s="1" t="n">
        <v>46256</v>
      </c>
      <c r="F1180" t="inlineStr">
        <is>
          <t>GÄVLEBORGS LÄN</t>
        </is>
      </c>
      <c r="G1180" t="inlineStr">
        <is>
          <t>BOLLNÄS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32386-2026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46238</v>
      </c>
      <c r="E1181" s="1" t="n">
        <v>46256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16029-2026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46108</v>
      </c>
      <c r="E1182" s="1" t="n">
        <v>46256</v>
      </c>
      <c r="F1182" t="inlineStr">
        <is>
          <t>GÄVLEBORGS LÄN</t>
        </is>
      </c>
      <c r="G1182" t="inlineStr">
        <is>
          <t>BOLLNÄS</t>
        </is>
      </c>
      <c r="I1182" t="n">
        <v>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32463-2026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46239</v>
      </c>
      <c r="E1183" s="1" t="n">
        <v>46256</v>
      </c>
      <c r="F1183" t="inlineStr">
        <is>
          <t>GÄVLEBORGS LÄN</t>
        </is>
      </c>
      <c r="G1183" t="inlineStr">
        <is>
          <t>BOLLNÄS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16057-2026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46108</v>
      </c>
      <c r="E1184" s="1" t="n">
        <v>46256</v>
      </c>
      <c r="F1184" t="inlineStr">
        <is>
          <t>GÄVLEBORGS LÄN</t>
        </is>
      </c>
      <c r="G1184" t="inlineStr">
        <is>
          <t>BOLLNÄS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16058-2026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46108</v>
      </c>
      <c r="E1185" s="1" t="n">
        <v>46256</v>
      </c>
      <c r="F1185" t="inlineStr">
        <is>
          <t>GÄVLEBORGS LÄN</t>
        </is>
      </c>
      <c r="G1185" t="inlineStr">
        <is>
          <t>BOLLNÄS</t>
        </is>
      </c>
      <c r="I1185" t="n">
        <v>0.4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16059-2026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46108</v>
      </c>
      <c r="E1186" s="1" t="n">
        <v>46256</v>
      </c>
      <c r="F1186" t="inlineStr">
        <is>
          <t>GÄVLEBORGS LÄN</t>
        </is>
      </c>
      <c r="G1186" t="inlineStr">
        <is>
          <t>BOLLNÄS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16068-2026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46108</v>
      </c>
      <c r="E1187" s="1" t="n">
        <v>46256</v>
      </c>
      <c r="F1187" t="inlineStr">
        <is>
          <t>GÄVLEBORGS LÄN</t>
        </is>
      </c>
      <c r="G1187" t="inlineStr">
        <is>
          <t>BOLLNÄS</t>
        </is>
      </c>
      <c r="I1187" t="n">
        <v>4.7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15980-2026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46256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Holmen skog AB</t>
        </is>
      </c>
      <c r="I1188" t="n">
        <v>26.2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16028-2026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46108</v>
      </c>
      <c r="E1189" s="1" t="n">
        <v>46256</v>
      </c>
      <c r="F1189" t="inlineStr">
        <is>
          <t>GÄVLEBORGS LÄN</t>
        </is>
      </c>
      <c r="G1189" t="inlineStr">
        <is>
          <t>BOLLNÄS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15768-2026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46107</v>
      </c>
      <c r="E1190" s="1" t="n">
        <v>46256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15818-2026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46107</v>
      </c>
      <c r="E1191" s="1" t="n">
        <v>46256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41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15996-2026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46108</v>
      </c>
      <c r="E1192" s="1" t="n">
        <v>46256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Holmen skog AB</t>
        </is>
      </c>
      <c r="I1192" t="n">
        <v>51.8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46029</v>
      </c>
      <c r="E1193" s="1" t="n">
        <v>46256</v>
      </c>
      <c r="F1193" t="inlineStr">
        <is>
          <t>GÄVLEBORGS LÄN</t>
        </is>
      </c>
      <c r="G1193" t="inlineStr">
        <is>
          <t>BOLLNÄS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15718-2026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46107</v>
      </c>
      <c r="E1194" s="1" t="n">
        <v>46256</v>
      </c>
      <c r="F1194" t="inlineStr">
        <is>
          <t>GÄVLEBORGS LÄN</t>
        </is>
      </c>
      <c r="G1194" t="inlineStr">
        <is>
          <t>BOLLNÄS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15832-2026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46107</v>
      </c>
      <c r="E1195" s="1" t="n">
        <v>46256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16025-2026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46108</v>
      </c>
      <c r="E1196" s="1" t="n">
        <v>46256</v>
      </c>
      <c r="F1196" t="inlineStr">
        <is>
          <t>GÄVLEBORGS LÄN</t>
        </is>
      </c>
      <c r="G1196" t="inlineStr">
        <is>
          <t>BOLLNÄS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15813-2026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46107</v>
      </c>
      <c r="E1197" s="1" t="n">
        <v>46256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15727-2026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46107</v>
      </c>
      <c r="E1198" s="1" t="n">
        <v>46256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32.5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16635-2026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46112</v>
      </c>
      <c r="E1199" s="1" t="n">
        <v>46256</v>
      </c>
      <c r="F1199" t="inlineStr">
        <is>
          <t>GÄVLEBORGS LÄN</t>
        </is>
      </c>
      <c r="G1199" t="inlineStr">
        <is>
          <t>BOLLNÄS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16418-2026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46111</v>
      </c>
      <c r="E1200" s="1" t="n">
        <v>46256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Sveaskog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23291-2026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46162</v>
      </c>
      <c r="E1201" s="1" t="n">
        <v>46256</v>
      </c>
      <c r="F1201" t="inlineStr">
        <is>
          <t>GÄVLEBORGS LÄN</t>
        </is>
      </c>
      <c r="G1201" t="inlineStr">
        <is>
          <t>BOLLNÄS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16451-2026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46256</v>
      </c>
      <c r="F1202" t="inlineStr">
        <is>
          <t>GÄVLEBORGS LÄN</t>
        </is>
      </c>
      <c r="G1202" t="inlineStr">
        <is>
          <t>BOLLNÄS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16514-2026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46112</v>
      </c>
      <c r="E1203" s="1" t="n">
        <v>46256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16592-2026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46112</v>
      </c>
      <c r="E1204" s="1" t="n">
        <v>46256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16589-2026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46112</v>
      </c>
      <c r="E1205" s="1" t="n">
        <v>46256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16568-2026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46112</v>
      </c>
      <c r="E1206" s="1" t="n">
        <v>46256</v>
      </c>
      <c r="F1206" t="inlineStr">
        <is>
          <t>GÄVLEBORGS LÄN</t>
        </is>
      </c>
      <c r="G1206" t="inlineStr">
        <is>
          <t>BOLLNÄS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16565-2026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46112</v>
      </c>
      <c r="E1207" s="1" t="n">
        <v>46256</v>
      </c>
      <c r="F1207" t="inlineStr">
        <is>
          <t>GÄVLEBORGS LÄN</t>
        </is>
      </c>
      <c r="G1207" t="inlineStr">
        <is>
          <t>BOLLNÄS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16575-2026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46112</v>
      </c>
      <c r="E1208" s="1" t="n">
        <v>46256</v>
      </c>
      <c r="F1208" t="inlineStr">
        <is>
          <t>GÄVLEBORGS LÄN</t>
        </is>
      </c>
      <c r="G1208" t="inlineStr">
        <is>
          <t>BOLLNÄS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16417-2026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46111</v>
      </c>
      <c r="E1209" s="1" t="n">
        <v>46256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Sveaskog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16529-2026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46112</v>
      </c>
      <c r="E1210" s="1" t="n">
        <v>46256</v>
      </c>
      <c r="F1210" t="inlineStr">
        <is>
          <t>GÄVLEBORGS LÄN</t>
        </is>
      </c>
      <c r="G1210" t="inlineStr">
        <is>
          <t>BOLLNÄS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16574-2026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46112</v>
      </c>
      <c r="E1211" s="1" t="n">
        <v>46256</v>
      </c>
      <c r="F1211" t="inlineStr">
        <is>
          <t>GÄVLEBORGS LÄN</t>
        </is>
      </c>
      <c r="G1211" t="inlineStr">
        <is>
          <t>BOLLNÄS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16400-2026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46111</v>
      </c>
      <c r="E1212" s="1" t="n">
        <v>46256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16459-2026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46112</v>
      </c>
      <c r="E1213" s="1" t="n">
        <v>46256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5.9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3913-2026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46043</v>
      </c>
      <c r="E1214" s="1" t="n">
        <v>46256</v>
      </c>
      <c r="F1214" t="inlineStr">
        <is>
          <t>GÄVLEBORGS LÄN</t>
        </is>
      </c>
      <c r="G1214" t="inlineStr">
        <is>
          <t>BOLLNÄS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44628-2025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45917</v>
      </c>
      <c r="E1215" s="1" t="n">
        <v>46256</v>
      </c>
      <c r="F1215" t="inlineStr">
        <is>
          <t>GÄVLEBORGS LÄN</t>
        </is>
      </c>
      <c r="G1215" t="inlineStr">
        <is>
          <t>BOLLNÄS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58753-2021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44489</v>
      </c>
      <c r="E1216" s="1" t="n">
        <v>46256</v>
      </c>
      <c r="F1216" t="inlineStr">
        <is>
          <t>GÄVLEBORGS LÄN</t>
        </is>
      </c>
      <c r="G1216" t="inlineStr">
        <is>
          <t>BOLLNÄS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16566-2026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46112</v>
      </c>
      <c r="E1217" s="1" t="n">
        <v>46256</v>
      </c>
      <c r="F1217" t="inlineStr">
        <is>
          <t>GÄVLEBORGS LÄN</t>
        </is>
      </c>
      <c r="G1217" t="inlineStr">
        <is>
          <t>BOLLNÄS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28196-2026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46196</v>
      </c>
      <c r="E1218" s="1" t="n">
        <v>46256</v>
      </c>
      <c r="F1218" t="inlineStr">
        <is>
          <t>GÄVLEBORGS LÄN</t>
        </is>
      </c>
      <c r="G1218" t="inlineStr">
        <is>
          <t>BOLLNÄS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16623-2026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46256</v>
      </c>
      <c r="F1219" t="inlineStr">
        <is>
          <t>GÄVLEBORGS LÄN</t>
        </is>
      </c>
      <c r="G1219" t="inlineStr">
        <is>
          <t>BOLLNÄS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16450-2026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46112</v>
      </c>
      <c r="E1220" s="1" t="n">
        <v>46256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16622-2026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46112</v>
      </c>
      <c r="E1221" s="1" t="n">
        <v>46256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16637-2026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46112</v>
      </c>
      <c r="E1222" s="1" t="n">
        <v>46256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16599-2026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46112</v>
      </c>
      <c r="E1223" s="1" t="n">
        <v>46256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28124-2026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46256</v>
      </c>
      <c r="F1224" t="inlineStr">
        <is>
          <t>GÄVLEBORGS LÄN</t>
        </is>
      </c>
      <c r="G1224" t="inlineStr">
        <is>
          <t>BOLLNÄS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16620-2026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46112</v>
      </c>
      <c r="E1225" s="1" t="n">
        <v>46256</v>
      </c>
      <c r="F1225" t="inlineStr">
        <is>
          <t>GÄVLEBORGS LÄN</t>
        </is>
      </c>
      <c r="G1225" t="inlineStr">
        <is>
          <t>BOLLNÄS</t>
        </is>
      </c>
      <c r="I1225" t="n">
        <v>4.3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17007-2026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46114</v>
      </c>
      <c r="E1226" s="1" t="n">
        <v>46256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17016-2026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46256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5806-2022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44596</v>
      </c>
      <c r="E1228" s="1" t="n">
        <v>46256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48307-2023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45205</v>
      </c>
      <c r="E1229" s="1" t="n">
        <v>46256</v>
      </c>
      <c r="F1229" t="inlineStr">
        <is>
          <t>GÄVLEBORGS LÄN</t>
        </is>
      </c>
      <c r="G1229" t="inlineStr">
        <is>
          <t>BOLLNÄS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16871-2026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46113</v>
      </c>
      <c r="E1230" s="1" t="n">
        <v>46256</v>
      </c>
      <c r="F1230" t="inlineStr">
        <is>
          <t>GÄVLEBORGS LÄN</t>
        </is>
      </c>
      <c r="G1230" t="inlineStr">
        <is>
          <t>BOLLNÄS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16942-2026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46113</v>
      </c>
      <c r="E1231" s="1" t="n">
        <v>46256</v>
      </c>
      <c r="F1231" t="inlineStr">
        <is>
          <t>GÄVLEBORGS LÄN</t>
        </is>
      </c>
      <c r="G1231" t="inlineStr">
        <is>
          <t>BOLLNÄS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32455-2026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46239</v>
      </c>
      <c r="E1232" s="1" t="n">
        <v>46256</v>
      </c>
      <c r="F1232" t="inlineStr">
        <is>
          <t>GÄVLEBORGS LÄN</t>
        </is>
      </c>
      <c r="G1232" t="inlineStr">
        <is>
          <t>BOLLNÄS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17070-2026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46114</v>
      </c>
      <c r="E1233" s="1" t="n">
        <v>46256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16992-2026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46114</v>
      </c>
      <c r="E1234" s="1" t="n">
        <v>46256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Holmen skog AB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28270-2026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46196</v>
      </c>
      <c r="E1235" s="1" t="n">
        <v>46256</v>
      </c>
      <c r="F1235" t="inlineStr">
        <is>
          <t>GÄVLEBORGS LÄN</t>
        </is>
      </c>
      <c r="G1235" t="inlineStr">
        <is>
          <t>BOLLNÄS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32484-2026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46239</v>
      </c>
      <c r="E1236" s="1" t="n">
        <v>46256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16858-2026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46113</v>
      </c>
      <c r="E1237" s="1" t="n">
        <v>46256</v>
      </c>
      <c r="F1237" t="inlineStr">
        <is>
          <t>GÄVLEBORGS LÄN</t>
        </is>
      </c>
      <c r="G1237" t="inlineStr">
        <is>
          <t>BOLLNÄS</t>
        </is>
      </c>
      <c r="I1237" t="n">
        <v>3.5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8308-2024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45352</v>
      </c>
      <c r="E1238" s="1" t="n">
        <v>46256</v>
      </c>
      <c r="F1238" t="inlineStr">
        <is>
          <t>GÄVLEBORGS LÄN</t>
        </is>
      </c>
      <c r="G1238" t="inlineStr">
        <is>
          <t>BOLLNÄS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17092-2026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46114</v>
      </c>
      <c r="E1239" s="1" t="n">
        <v>46256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17093-2026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46256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16700-2026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46113</v>
      </c>
      <c r="E1241" s="1" t="n">
        <v>46256</v>
      </c>
      <c r="F1241" t="inlineStr">
        <is>
          <t>GÄVLEBORGS LÄN</t>
        </is>
      </c>
      <c r="G1241" t="inlineStr">
        <is>
          <t>BOLLNÄS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28418-2026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46197</v>
      </c>
      <c r="E1242" s="1" t="n">
        <v>46256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17187-2026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46117</v>
      </c>
      <c r="E1243" s="1" t="n">
        <v>46256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29769-2023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45107</v>
      </c>
      <c r="E1244" s="1" t="n">
        <v>46256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17279-2026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46119</v>
      </c>
      <c r="E1245" s="1" t="n">
        <v>46256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32605-2026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46240</v>
      </c>
      <c r="E1246" s="1" t="n">
        <v>46256</v>
      </c>
      <c r="F1246" t="inlineStr">
        <is>
          <t>GÄVLEBORGS LÄN</t>
        </is>
      </c>
      <c r="G1246" t="inlineStr">
        <is>
          <t>BOLLNÄS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617-2025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45664</v>
      </c>
      <c r="E1247" s="1" t="n">
        <v>46256</v>
      </c>
      <c r="F1247" t="inlineStr">
        <is>
          <t>GÄVLEBORGS LÄN</t>
        </is>
      </c>
      <c r="G1247" t="inlineStr">
        <is>
          <t>BOLLNÄS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28494-2026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46197</v>
      </c>
      <c r="E1248" s="1" t="n">
        <v>46256</v>
      </c>
      <c r="F1248" t="inlineStr">
        <is>
          <t>GÄVLEBORGS LÄN</t>
        </is>
      </c>
      <c r="G1248" t="inlineStr">
        <is>
          <t>BOLLNÄS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11151-2026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46256</v>
      </c>
      <c r="F1249" t="inlineStr">
        <is>
          <t>GÄVLEBORGS LÄN</t>
        </is>
      </c>
      <c r="G1249" t="inlineStr">
        <is>
          <t>BOLLNÄS</t>
        </is>
      </c>
      <c r="I1249" t="n">
        <v>4.2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29037-2026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46199</v>
      </c>
      <c r="E1250" s="1" t="n">
        <v>46256</v>
      </c>
      <c r="F1250" t="inlineStr">
        <is>
          <t>GÄVLEBORGS LÄN</t>
        </is>
      </c>
      <c r="G1250" t="inlineStr">
        <is>
          <t>BOLLNÄS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32704-2026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46241</v>
      </c>
      <c r="E1251" s="1" t="n">
        <v>46256</v>
      </c>
      <c r="F1251" t="inlineStr">
        <is>
          <t>GÄVLEBORGS LÄN</t>
        </is>
      </c>
      <c r="G1251" t="inlineStr">
        <is>
          <t>BOLLNÄS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17960-2026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46256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17652-2026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46121</v>
      </c>
      <c r="E1253" s="1" t="n">
        <v>46256</v>
      </c>
      <c r="F1253" t="inlineStr">
        <is>
          <t>GÄVLEBORGS LÄN</t>
        </is>
      </c>
      <c r="G1253" t="inlineStr">
        <is>
          <t>BOLLNÄS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28398-2026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46197</v>
      </c>
      <c r="E1254" s="1" t="n">
        <v>46256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47438-2023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45202</v>
      </c>
      <c r="E1255" s="1" t="n">
        <v>46256</v>
      </c>
      <c r="F1255" t="inlineStr">
        <is>
          <t>GÄVLEBORGS LÄN</t>
        </is>
      </c>
      <c r="G1255" t="inlineStr">
        <is>
          <t>BOLLNÄS</t>
        </is>
      </c>
      <c r="I1255" t="n">
        <v>9.1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28439-2026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46256</v>
      </c>
      <c r="F1256" t="inlineStr">
        <is>
          <t>GÄVLEBORGS LÄN</t>
        </is>
      </c>
      <c r="G1256" t="inlineStr">
        <is>
          <t>BOLLNÄS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17667-2026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46121</v>
      </c>
      <c r="E1257" s="1" t="n">
        <v>46256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17647-2026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46121</v>
      </c>
      <c r="E1258" s="1" t="n">
        <v>46256</v>
      </c>
      <c r="F1258" t="inlineStr">
        <is>
          <t>GÄVLEBORGS LÄN</t>
        </is>
      </c>
      <c r="G1258" t="inlineStr">
        <is>
          <t>BOLLNÄS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28429-2026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46256</v>
      </c>
      <c r="F1259" t="inlineStr">
        <is>
          <t>GÄVLEBORGS LÄN</t>
        </is>
      </c>
      <c r="G1259" t="inlineStr">
        <is>
          <t>BOLLNÄS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19926-2026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46256</v>
      </c>
      <c r="F1260" t="inlineStr">
        <is>
          <t>GÄVLEBORGS LÄN</t>
        </is>
      </c>
      <c r="G1260" t="inlineStr">
        <is>
          <t>BOLLNÄS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18088-2026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46125</v>
      </c>
      <c r="E1261" s="1" t="n">
        <v>46256</v>
      </c>
      <c r="F1261" t="inlineStr">
        <is>
          <t>GÄVLEBORGS LÄN</t>
        </is>
      </c>
      <c r="G1261" t="inlineStr">
        <is>
          <t>BOLLNÄS</t>
        </is>
      </c>
      <c r="I1261" t="n">
        <v>5.1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18010-2026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46125</v>
      </c>
      <c r="E1262" s="1" t="n">
        <v>46256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Holmen skog AB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18196-2026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46125</v>
      </c>
      <c r="E1263" s="1" t="n">
        <v>46256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28828-2026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46198</v>
      </c>
      <c r="E1264" s="1" t="n">
        <v>46256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18361-2026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46126</v>
      </c>
      <c r="E1265" s="1" t="n">
        <v>46256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18364-2026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46126</v>
      </c>
      <c r="E1266" s="1" t="n">
        <v>46256</v>
      </c>
      <c r="F1266" t="inlineStr">
        <is>
          <t>GÄVLEBORGS LÄN</t>
        </is>
      </c>
      <c r="G1266" t="inlineStr">
        <is>
          <t>BOLLNÄS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28497-2026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46197</v>
      </c>
      <c r="E1267" s="1" t="n">
        <v>46256</v>
      </c>
      <c r="F1267" t="inlineStr">
        <is>
          <t>GÄVLEBORGS LÄN</t>
        </is>
      </c>
      <c r="G1267" t="inlineStr">
        <is>
          <t>BOLLNÄS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18228-2026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46126</v>
      </c>
      <c r="E1268" s="1" t="n">
        <v>46256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Kyrkan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18317-2026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46126</v>
      </c>
      <c r="E1269" s="1" t="n">
        <v>46256</v>
      </c>
      <c r="F1269" t="inlineStr">
        <is>
          <t>GÄVLEBORGS LÄN</t>
        </is>
      </c>
      <c r="G1269" t="inlineStr">
        <is>
          <t>BOLLNÄS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17970-2026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46123</v>
      </c>
      <c r="E1270" s="1" t="n">
        <v>46256</v>
      </c>
      <c r="F1270" t="inlineStr">
        <is>
          <t>GÄVLEBORGS LÄN</t>
        </is>
      </c>
      <c r="G1270" t="inlineStr">
        <is>
          <t>BOLLNÄS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18025-2026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46125</v>
      </c>
      <c r="E1271" s="1" t="n">
        <v>46256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18397-2026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46126</v>
      </c>
      <c r="E1272" s="1" t="n">
        <v>46256</v>
      </c>
      <c r="F1272" t="inlineStr">
        <is>
          <t>GÄVLEBORGS LÄN</t>
        </is>
      </c>
      <c r="G1272" t="inlineStr">
        <is>
          <t>BOLLNÄS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18195-2026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46125</v>
      </c>
      <c r="E1273" s="1" t="n">
        <v>46256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18198-2026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46125</v>
      </c>
      <c r="E1274" s="1" t="n">
        <v>46256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18211-2026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46125</v>
      </c>
      <c r="E1275" s="1" t="n">
        <v>46256</v>
      </c>
      <c r="F1275" t="inlineStr">
        <is>
          <t>GÄVLEBORGS LÄN</t>
        </is>
      </c>
      <c r="G1275" t="inlineStr">
        <is>
          <t>BOLLNÄS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18420-2026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46126</v>
      </c>
      <c r="E1276" s="1" t="n">
        <v>46256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18721-2026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46128</v>
      </c>
      <c r="E1277" s="1" t="n">
        <v>46256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18672-2026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46128</v>
      </c>
      <c r="E1278" s="1" t="n">
        <v>46256</v>
      </c>
      <c r="F1278" t="inlineStr">
        <is>
          <t>GÄVLEBORGS LÄN</t>
        </is>
      </c>
      <c r="G1278" t="inlineStr">
        <is>
          <t>BOLLNÄS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18791-2026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46256</v>
      </c>
      <c r="F1279" t="inlineStr">
        <is>
          <t>GÄVLEBORGS LÄN</t>
        </is>
      </c>
      <c r="G1279" t="inlineStr">
        <is>
          <t>BOLLNÄS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18792-2026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46128</v>
      </c>
      <c r="E1280" s="1" t="n">
        <v>46256</v>
      </c>
      <c r="F1280" t="inlineStr">
        <is>
          <t>GÄVLEBORGS LÄN</t>
        </is>
      </c>
      <c r="G1280" t="inlineStr">
        <is>
          <t>BOLLNÄS</t>
        </is>
      </c>
      <c r="I1280" t="n">
        <v>8.9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18865-2026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46129</v>
      </c>
      <c r="E1281" s="1" t="n">
        <v>46256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18768-2026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46128</v>
      </c>
      <c r="E1282" s="1" t="n">
        <v>46256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öst AB</t>
        </is>
      </c>
      <c r="I1282" t="n">
        <v>3.3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18794-2026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46128</v>
      </c>
      <c r="E1283" s="1" t="n">
        <v>46256</v>
      </c>
      <c r="F1283" t="inlineStr">
        <is>
          <t>GÄVLEBORGS LÄN</t>
        </is>
      </c>
      <c r="G1283" t="inlineStr">
        <is>
          <t>BOLLNÄS</t>
        </is>
      </c>
      <c r="I1283" t="n">
        <v>8.800000000000001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19418-2026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46133</v>
      </c>
      <c r="E1284" s="1" t="n">
        <v>46256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54961-2025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45967</v>
      </c>
      <c r="E1285" s="1" t="n">
        <v>46256</v>
      </c>
      <c r="F1285" t="inlineStr">
        <is>
          <t>GÄVLEBORGS LÄN</t>
        </is>
      </c>
      <c r="G1285" t="inlineStr">
        <is>
          <t>BOLLNÄS</t>
        </is>
      </c>
      <c r="I1285" t="n">
        <v>9.1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16349-2026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46256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öst AB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29187-2026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46256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32898-2026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46244</v>
      </c>
      <c r="E1288" s="1" t="n">
        <v>46256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12451-2023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44999</v>
      </c>
      <c r="E1289" s="1" t="n">
        <v>46256</v>
      </c>
      <c r="F1289" t="inlineStr">
        <is>
          <t>GÄVLEBORGS LÄN</t>
        </is>
      </c>
      <c r="G1289" t="inlineStr">
        <is>
          <t>BOLLNÄS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13547-2026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46094</v>
      </c>
      <c r="E1290" s="1" t="n">
        <v>46256</v>
      </c>
      <c r="F1290" t="inlineStr">
        <is>
          <t>GÄVLEBORGS LÄN</t>
        </is>
      </c>
      <c r="G1290" t="inlineStr">
        <is>
          <t>BOLLNÄS</t>
        </is>
      </c>
      <c r="I1290" t="n">
        <v>7.5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18462-2026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46127</v>
      </c>
      <c r="E1291" s="1" t="n">
        <v>46256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29150-2026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46202</v>
      </c>
      <c r="E1292" s="1" t="n">
        <v>46256</v>
      </c>
      <c r="F1292" t="inlineStr">
        <is>
          <t>GÄVLEBORGS LÄN</t>
        </is>
      </c>
      <c r="G1292" t="inlineStr">
        <is>
          <t>BOLLNÄS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42306-2023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45180</v>
      </c>
      <c r="E1293" s="1" t="n">
        <v>46256</v>
      </c>
      <c r="F1293" t="inlineStr">
        <is>
          <t>GÄVLEBORGS LÄN</t>
        </is>
      </c>
      <c r="G1293" t="inlineStr">
        <is>
          <t>BOLLNÄS</t>
        </is>
      </c>
      <c r="I1293" t="n">
        <v>4.8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18539-2026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46127</v>
      </c>
      <c r="E1294" s="1" t="n">
        <v>46256</v>
      </c>
      <c r="F1294" t="inlineStr">
        <is>
          <t>GÄVLEBORGS LÄN</t>
        </is>
      </c>
      <c r="G1294" t="inlineStr">
        <is>
          <t>BOLLNÄS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18842-2026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46129</v>
      </c>
      <c r="E1295" s="1" t="n">
        <v>46256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10486-2024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45366</v>
      </c>
      <c r="E1296" s="1" t="n">
        <v>46256</v>
      </c>
      <c r="F1296" t="inlineStr">
        <is>
          <t>GÄVLEBORGS LÄN</t>
        </is>
      </c>
      <c r="G1296" t="inlineStr">
        <is>
          <t>BOLLNÄS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18832-2026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46129</v>
      </c>
      <c r="E1297" s="1" t="n">
        <v>46256</v>
      </c>
      <c r="F1297" t="inlineStr">
        <is>
          <t>GÄVLEBORGS LÄN</t>
        </is>
      </c>
      <c r="G1297" t="inlineStr">
        <is>
          <t>BOLLNÄS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18723-2026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46128</v>
      </c>
      <c r="E1298" s="1" t="n">
        <v>46256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28943-2026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46199</v>
      </c>
      <c r="E1299" s="1" t="n">
        <v>46256</v>
      </c>
      <c r="F1299" t="inlineStr">
        <is>
          <t>GÄVLEBORGS LÄN</t>
        </is>
      </c>
      <c r="G1299" t="inlineStr">
        <is>
          <t>BOLLNÄS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18982-2026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46129</v>
      </c>
      <c r="E1300" s="1" t="n">
        <v>46256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19288-2026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46256</v>
      </c>
      <c r="F1301" t="inlineStr">
        <is>
          <t>GÄVLEBORGS LÄN</t>
        </is>
      </c>
      <c r="G1301" t="inlineStr">
        <is>
          <t>BOLLNÄS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19391-2026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46133</v>
      </c>
      <c r="E1302" s="1" t="n">
        <v>46256</v>
      </c>
      <c r="F1302" t="inlineStr">
        <is>
          <t>GÄVLEBORGS LÄN</t>
        </is>
      </c>
      <c r="G1302" t="inlineStr">
        <is>
          <t>BOLLNÄS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46133</v>
      </c>
      <c r="E1303" s="1" t="n">
        <v>46256</v>
      </c>
      <c r="F1303" t="inlineStr">
        <is>
          <t>GÄVLEBORGS LÄN</t>
        </is>
      </c>
      <c r="G1303" t="inlineStr">
        <is>
          <t>BOLLNÄS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19396-2026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46133</v>
      </c>
      <c r="E1304" s="1" t="n">
        <v>46256</v>
      </c>
      <c r="F1304" t="inlineStr">
        <is>
          <t>GÄVLEBORGS LÄN</t>
        </is>
      </c>
      <c r="G1304" t="inlineStr">
        <is>
          <t>BOLLNÄS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27202-2024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45471</v>
      </c>
      <c r="E1305" s="1" t="n">
        <v>46256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19159-2026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46132</v>
      </c>
      <c r="E1306" s="1" t="n">
        <v>46256</v>
      </c>
      <c r="F1306" t="inlineStr">
        <is>
          <t>GÄVLEBORGS LÄN</t>
        </is>
      </c>
      <c r="G1306" t="inlineStr">
        <is>
          <t>BOLLNÄS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19340-2026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46133</v>
      </c>
      <c r="E1307" s="1" t="n">
        <v>46256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6.8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46132</v>
      </c>
      <c r="E1308" s="1" t="n">
        <v>46256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19117-2026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46256</v>
      </c>
      <c r="F1309" t="inlineStr">
        <is>
          <t>GÄVLEBORGS LÄN</t>
        </is>
      </c>
      <c r="G1309" t="inlineStr">
        <is>
          <t>BOLLNÄS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19234-2026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46132</v>
      </c>
      <c r="E1310" s="1" t="n">
        <v>46256</v>
      </c>
      <c r="F1310" t="inlineStr">
        <is>
          <t>GÄVLEBORGS LÄN</t>
        </is>
      </c>
      <c r="G1310" t="inlineStr">
        <is>
          <t>BOLLNÄS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19333-2026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46133</v>
      </c>
      <c r="E1311" s="1" t="n">
        <v>46256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7.9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32908-2026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46244</v>
      </c>
      <c r="E1312" s="1" t="n">
        <v>46256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10.5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19276-2026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46133</v>
      </c>
      <c r="E1313" s="1" t="n">
        <v>46256</v>
      </c>
      <c r="F1313" t="inlineStr">
        <is>
          <t>GÄVLEBORGS LÄN</t>
        </is>
      </c>
      <c r="G1313" t="inlineStr">
        <is>
          <t>BOLLNÄS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46132</v>
      </c>
      <c r="E1314" s="1" t="n">
        <v>46256</v>
      </c>
      <c r="F1314" t="inlineStr">
        <is>
          <t>GÄVLEBORGS LÄN</t>
        </is>
      </c>
      <c r="G1314" t="inlineStr">
        <is>
          <t>BOLLNÄS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19284-2026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46133</v>
      </c>
      <c r="E1315" s="1" t="n">
        <v>46256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19408-2026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46256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19278-2026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46133</v>
      </c>
      <c r="E1317" s="1" t="n">
        <v>46256</v>
      </c>
      <c r="F1317" t="inlineStr">
        <is>
          <t>GÄVLEBORGS LÄN</t>
        </is>
      </c>
      <c r="G1317" t="inlineStr">
        <is>
          <t>BOLLNÄS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19303-2026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46133</v>
      </c>
      <c r="E1318" s="1" t="n">
        <v>46256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19074-2026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46132</v>
      </c>
      <c r="E1319" s="1" t="n">
        <v>46256</v>
      </c>
      <c r="F1319" t="inlineStr">
        <is>
          <t>GÄVLEBORGS LÄN</t>
        </is>
      </c>
      <c r="G1319" t="inlineStr">
        <is>
          <t>BOLLNÄS</t>
        </is>
      </c>
      <c r="I1319" t="n">
        <v>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19156-2026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46132</v>
      </c>
      <c r="E1320" s="1" t="n">
        <v>46256</v>
      </c>
      <c r="F1320" t="inlineStr">
        <is>
          <t>GÄVLEBORGS LÄN</t>
        </is>
      </c>
      <c r="G1320" t="inlineStr">
        <is>
          <t>BOLLNÄS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19188-2026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46132</v>
      </c>
      <c r="E1321" s="1" t="n">
        <v>46256</v>
      </c>
      <c r="F1321" t="inlineStr">
        <is>
          <t>GÄVLEBORGS LÄN</t>
        </is>
      </c>
      <c r="G1321" t="inlineStr">
        <is>
          <t>BOLLNÄS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46132</v>
      </c>
      <c r="E1322" s="1" t="n">
        <v>46256</v>
      </c>
      <c r="F1322" t="inlineStr">
        <is>
          <t>GÄVLEBORGS LÄN</t>
        </is>
      </c>
      <c r="G1322" t="inlineStr">
        <is>
          <t>BOLLNÄS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19124-2026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46132</v>
      </c>
      <c r="E1323" s="1" t="n">
        <v>46256</v>
      </c>
      <c r="F1323" t="inlineStr">
        <is>
          <t>GÄVLEBORGS LÄN</t>
        </is>
      </c>
      <c r="G1323" t="inlineStr">
        <is>
          <t>BOLLNÄS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19235-2026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46132</v>
      </c>
      <c r="E1324" s="1" t="n">
        <v>46256</v>
      </c>
      <c r="F1324" t="inlineStr">
        <is>
          <t>GÄVLEBORGS LÄN</t>
        </is>
      </c>
      <c r="G1324" t="inlineStr">
        <is>
          <t>BOLLNÄS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29154-2026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46202</v>
      </c>
      <c r="E1325" s="1" t="n">
        <v>46256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19269-2026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46133</v>
      </c>
      <c r="E1326" s="1" t="n">
        <v>46256</v>
      </c>
      <c r="F1326" t="inlineStr">
        <is>
          <t>GÄVLEBORGS LÄN</t>
        </is>
      </c>
      <c r="G1326" t="inlineStr">
        <is>
          <t>BOLLNÄS</t>
        </is>
      </c>
      <c r="I1326" t="n">
        <v>5.3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19304-2026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46133</v>
      </c>
      <c r="E1327" s="1" t="n">
        <v>46256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16587-2026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46112</v>
      </c>
      <c r="E1328" s="1" t="n">
        <v>46256</v>
      </c>
      <c r="F1328" t="inlineStr">
        <is>
          <t>GÄVLEBORGS LÄN</t>
        </is>
      </c>
      <c r="G1328" t="inlineStr">
        <is>
          <t>BOLLNÄS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13167-2026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46093</v>
      </c>
      <c r="E1329" s="1" t="n">
        <v>46256</v>
      </c>
      <c r="F1329" t="inlineStr">
        <is>
          <t>GÄVLEBORGS LÄN</t>
        </is>
      </c>
      <c r="G1329" t="inlineStr">
        <is>
          <t>BOLLNÄS</t>
        </is>
      </c>
      <c r="I1329" t="n">
        <v>7.6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19075-2026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46132</v>
      </c>
      <c r="E1330" s="1" t="n">
        <v>46256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19279-2026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46133</v>
      </c>
      <c r="E1331" s="1" t="n">
        <v>46256</v>
      </c>
      <c r="F1331" t="inlineStr">
        <is>
          <t>GÄVLEBORGS LÄN</t>
        </is>
      </c>
      <c r="G1331" t="inlineStr">
        <is>
          <t>BOLLNÄS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19163-2026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46132</v>
      </c>
      <c r="E1332" s="1" t="n">
        <v>46256</v>
      </c>
      <c r="F1332" t="inlineStr">
        <is>
          <t>GÄVLEBORGS LÄN</t>
        </is>
      </c>
      <c r="G1332" t="inlineStr">
        <is>
          <t>BOLLNÄS</t>
        </is>
      </c>
      <c r="I1332" t="n">
        <v>14.1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19169-2026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46132</v>
      </c>
      <c r="E1333" s="1" t="n">
        <v>46256</v>
      </c>
      <c r="F1333" t="inlineStr">
        <is>
          <t>GÄVLEBORGS LÄN</t>
        </is>
      </c>
      <c r="G1333" t="inlineStr">
        <is>
          <t>BOLLNÄS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19115-2026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46132</v>
      </c>
      <c r="E1334" s="1" t="n">
        <v>46256</v>
      </c>
      <c r="F1334" t="inlineStr">
        <is>
          <t>GÄVLEBORGS LÄN</t>
        </is>
      </c>
      <c r="G1334" t="inlineStr">
        <is>
          <t>BOLLNÄS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19399-2026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46256</v>
      </c>
      <c r="F1335" t="inlineStr">
        <is>
          <t>GÄVLEBORGS LÄN</t>
        </is>
      </c>
      <c r="G1335" t="inlineStr">
        <is>
          <t>BOLLNÄS</t>
        </is>
      </c>
      <c r="I1335" t="n">
        <v>2.9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19402-2026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46256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46256</v>
      </c>
      <c r="F1337" t="inlineStr">
        <is>
          <t>GÄVLEBORGS LÄN</t>
        </is>
      </c>
      <c r="G1337" t="inlineStr">
        <is>
          <t>BOLLNÄS</t>
        </is>
      </c>
      <c r="I1337" t="n">
        <v>0.2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19412-2026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46256</v>
      </c>
      <c r="F1338" t="inlineStr">
        <is>
          <t>GÄVLEBORGS LÄN</t>
        </is>
      </c>
      <c r="G1338" t="inlineStr">
        <is>
          <t>BOLLNÄS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19125-2026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46132</v>
      </c>
      <c r="E1339" s="1" t="n">
        <v>46256</v>
      </c>
      <c r="F1339" t="inlineStr">
        <is>
          <t>GÄVLEBORGS LÄN</t>
        </is>
      </c>
      <c r="G1339" t="inlineStr">
        <is>
          <t>BOLLNÄS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19127-2026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46132</v>
      </c>
      <c r="E1340" s="1" t="n">
        <v>46256</v>
      </c>
      <c r="F1340" t="inlineStr">
        <is>
          <t>GÄVLEBORGS LÄN</t>
        </is>
      </c>
      <c r="G1340" t="inlineStr">
        <is>
          <t>BOLLNÄS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19168-2026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46132</v>
      </c>
      <c r="E1341" s="1" t="n">
        <v>46256</v>
      </c>
      <c r="F1341" t="inlineStr">
        <is>
          <t>GÄVLEBORGS LÄN</t>
        </is>
      </c>
      <c r="G1341" t="inlineStr">
        <is>
          <t>BOLLNÄS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21009-2022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44704</v>
      </c>
      <c r="E1342" s="1" t="n">
        <v>46256</v>
      </c>
      <c r="F1342" t="inlineStr">
        <is>
          <t>GÄVLEBORGS LÄN</t>
        </is>
      </c>
      <c r="G1342" t="inlineStr">
        <is>
          <t>BOLLNÄS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32968-2026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46244</v>
      </c>
      <c r="E1343" s="1" t="n">
        <v>46256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10772-2026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46256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19413-2026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46133</v>
      </c>
      <c r="E1345" s="1" t="n">
        <v>46256</v>
      </c>
      <c r="F1345" t="inlineStr">
        <is>
          <t>GÄVLEBORGS LÄN</t>
        </is>
      </c>
      <c r="G1345" t="inlineStr">
        <is>
          <t>BOLLNÄS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19507-2026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46256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19534-2026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46256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6024-2026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46052</v>
      </c>
      <c r="E1348" s="1" t="n">
        <v>46256</v>
      </c>
      <c r="F1348" t="inlineStr">
        <is>
          <t>GÄVLEBORGS LÄN</t>
        </is>
      </c>
      <c r="G1348" t="inlineStr">
        <is>
          <t>BOLLNÄS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14691-2026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46101</v>
      </c>
      <c r="E1349" s="1" t="n">
        <v>46256</v>
      </c>
      <c r="F1349" t="inlineStr">
        <is>
          <t>GÄVLEBORGS LÄN</t>
        </is>
      </c>
      <c r="G1349" t="inlineStr">
        <is>
          <t>BOLLNÄS</t>
        </is>
      </c>
      <c r="I1349" t="n">
        <v>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19487-2026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46134</v>
      </c>
      <c r="E1350" s="1" t="n">
        <v>46256</v>
      </c>
      <c r="F1350" t="inlineStr">
        <is>
          <t>GÄVLEBORGS LÄN</t>
        </is>
      </c>
      <c r="G1350" t="inlineStr">
        <is>
          <t>BOLLNÄS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16462-2026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46112</v>
      </c>
      <c r="E1351" s="1" t="n">
        <v>46256</v>
      </c>
      <c r="F1351" t="inlineStr">
        <is>
          <t>GÄVLEBORGS LÄN</t>
        </is>
      </c>
      <c r="G1351" t="inlineStr">
        <is>
          <t>BOLLNÄS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19395-2026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46133</v>
      </c>
      <c r="E1352" s="1" t="n">
        <v>46256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19323-2026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46133</v>
      </c>
      <c r="E1353" s="1" t="n">
        <v>46256</v>
      </c>
      <c r="F1353" t="inlineStr">
        <is>
          <t>GÄVLEBORGS LÄN</t>
        </is>
      </c>
      <c r="G1353" t="inlineStr">
        <is>
          <t>BOLLNÄS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19838-2026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46135</v>
      </c>
      <c r="E1354" s="1" t="n">
        <v>46256</v>
      </c>
      <c r="F1354" t="inlineStr">
        <is>
          <t>GÄVLEBORGS LÄN</t>
        </is>
      </c>
      <c r="G1354" t="inlineStr">
        <is>
          <t>BOLLNÄS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19543-2026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46134</v>
      </c>
      <c r="E1355" s="1" t="n">
        <v>46256</v>
      </c>
      <c r="F1355" t="inlineStr">
        <is>
          <t>GÄVLEBORGS LÄN</t>
        </is>
      </c>
      <c r="G1355" t="inlineStr">
        <is>
          <t>BOLLNÄS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19862-2026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46135</v>
      </c>
      <c r="E1356" s="1" t="n">
        <v>46256</v>
      </c>
      <c r="F1356" t="inlineStr">
        <is>
          <t>GÄVLEBORGS LÄN</t>
        </is>
      </c>
      <c r="G1356" t="inlineStr">
        <is>
          <t>BOLLNÄS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19770-2026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46135</v>
      </c>
      <c r="E1357" s="1" t="n">
        <v>46256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51952-2023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45223</v>
      </c>
      <c r="E1358" s="1" t="n">
        <v>46256</v>
      </c>
      <c r="F1358" t="inlineStr">
        <is>
          <t>GÄVLEBORGS LÄN</t>
        </is>
      </c>
      <c r="G1358" t="inlineStr">
        <is>
          <t>BOLLNÄS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19654-2026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46134</v>
      </c>
      <c r="E1359" s="1" t="n">
        <v>46256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19837-2026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46135</v>
      </c>
      <c r="E1360" s="1" t="n">
        <v>46256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46135</v>
      </c>
      <c r="E1361" s="1" t="n">
        <v>46256</v>
      </c>
      <c r="F1361" t="inlineStr">
        <is>
          <t>GÄVLEBORGS LÄN</t>
        </is>
      </c>
      <c r="G1361" t="inlineStr">
        <is>
          <t>BOLLNÄS</t>
        </is>
      </c>
      <c r="I1361" t="n">
        <v>5.5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19624-2026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46134</v>
      </c>
      <c r="E1362" s="1" t="n">
        <v>46256</v>
      </c>
      <c r="F1362" t="inlineStr">
        <is>
          <t>GÄVLEBORGS LÄN</t>
        </is>
      </c>
      <c r="G1362" t="inlineStr">
        <is>
          <t>BOLLNÄS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19633-2026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46134</v>
      </c>
      <c r="E1363" s="1" t="n">
        <v>46256</v>
      </c>
      <c r="F1363" t="inlineStr">
        <is>
          <t>GÄVLEBORGS LÄN</t>
        </is>
      </c>
      <c r="G1363" t="inlineStr">
        <is>
          <t>BOLLNÄS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19404-2026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46256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19482-2026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46134</v>
      </c>
      <c r="E1365" s="1" t="n">
        <v>46256</v>
      </c>
      <c r="F1365" t="inlineStr">
        <is>
          <t>GÄVLEBORGS LÄN</t>
        </is>
      </c>
      <c r="G1365" t="inlineStr">
        <is>
          <t>BOLLNÄS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8800-2026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46066</v>
      </c>
      <c r="E1366" s="1" t="n">
        <v>46256</v>
      </c>
      <c r="F1366" t="inlineStr">
        <is>
          <t>GÄVLEBORGS LÄN</t>
        </is>
      </c>
      <c r="G1366" t="inlineStr">
        <is>
          <t>BOLLNÄS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46256</v>
      </c>
      <c r="F1367" t="inlineStr">
        <is>
          <t>GÄVLEBORGS LÄN</t>
        </is>
      </c>
      <c r="G1367" t="inlineStr">
        <is>
          <t>BOLLNÄS</t>
        </is>
      </c>
      <c r="I1367" t="n">
        <v>6.5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16937-2026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46113</v>
      </c>
      <c r="E1368" s="1" t="n">
        <v>46256</v>
      </c>
      <c r="F1368" t="inlineStr">
        <is>
          <t>GÄVLEBORGS LÄN</t>
        </is>
      </c>
      <c r="G1368" t="inlineStr">
        <is>
          <t>BOLLNÄS</t>
        </is>
      </c>
      <c r="I1368" t="n">
        <v>14.2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19539-2026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46134</v>
      </c>
      <c r="E1369" s="1" t="n">
        <v>46256</v>
      </c>
      <c r="F1369" t="inlineStr">
        <is>
          <t>GÄVLEBORGS LÄN</t>
        </is>
      </c>
      <c r="G1369" t="inlineStr">
        <is>
          <t>BOLLNÄS</t>
        </is>
      </c>
      <c r="I1369" t="n">
        <v>10.4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19746-2026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46135</v>
      </c>
      <c r="E1370" s="1" t="n">
        <v>46256</v>
      </c>
      <c r="F1370" t="inlineStr">
        <is>
          <t>GÄVLEBORGS LÄN</t>
        </is>
      </c>
      <c r="G1370" t="inlineStr">
        <is>
          <t>BOLLNÄS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19748-2026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46135</v>
      </c>
      <c r="E1371" s="1" t="n">
        <v>46256</v>
      </c>
      <c r="F1371" t="inlineStr">
        <is>
          <t>GÄVLEBORGS LÄN</t>
        </is>
      </c>
      <c r="G1371" t="inlineStr">
        <is>
          <t>BOLLNÄS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19521-2026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46134</v>
      </c>
      <c r="E1372" s="1" t="n">
        <v>46256</v>
      </c>
      <c r="F1372" t="inlineStr">
        <is>
          <t>GÄVLEBORGS LÄN</t>
        </is>
      </c>
      <c r="G1372" t="inlineStr">
        <is>
          <t>BOLLNÄS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28080-2024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45476</v>
      </c>
      <c r="E1373" s="1" t="n">
        <v>46256</v>
      </c>
      <c r="F1373" t="inlineStr">
        <is>
          <t>GÄVLEBORGS LÄN</t>
        </is>
      </c>
      <c r="G1373" t="inlineStr">
        <is>
          <t>BOLLNÄS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16122-2026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46108</v>
      </c>
      <c r="E1374" s="1" t="n">
        <v>46256</v>
      </c>
      <c r="F1374" t="inlineStr">
        <is>
          <t>GÄVLEBORGS LÄN</t>
        </is>
      </c>
      <c r="G1374" t="inlineStr">
        <is>
          <t>BOLLNÄS</t>
        </is>
      </c>
      <c r="I1374" t="n">
        <v>6.3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46204</v>
      </c>
      <c r="E1375" s="1" t="n">
        <v>46256</v>
      </c>
      <c r="F1375" t="inlineStr">
        <is>
          <t>GÄVLEBORGS LÄN</t>
        </is>
      </c>
      <c r="G1375" t="inlineStr">
        <is>
          <t>BOLLNÄS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29633-2026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46204</v>
      </c>
      <c r="E1376" s="1" t="n">
        <v>46256</v>
      </c>
      <c r="F1376" t="inlineStr">
        <is>
          <t>GÄVLEBORGS LÄN</t>
        </is>
      </c>
      <c r="G1376" t="inlineStr">
        <is>
          <t>BOLLNÄS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19745-2026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46135</v>
      </c>
      <c r="E1377" s="1" t="n">
        <v>46256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29617-2026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46204</v>
      </c>
      <c r="E1378" s="1" t="n">
        <v>46256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19750-2026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46135</v>
      </c>
      <c r="E1379" s="1" t="n">
        <v>46256</v>
      </c>
      <c r="F1379" t="inlineStr">
        <is>
          <t>GÄVLEBORGS LÄN</t>
        </is>
      </c>
      <c r="G1379" t="inlineStr">
        <is>
          <t>BOLLNÄS</t>
        </is>
      </c>
      <c r="I1379" t="n">
        <v>4.9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19747-2026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46135</v>
      </c>
      <c r="E1380" s="1" t="n">
        <v>46256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19700-2026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46134</v>
      </c>
      <c r="E1381" s="1" t="n">
        <v>46256</v>
      </c>
      <c r="F1381" t="inlineStr">
        <is>
          <t>GÄVLEBORGS LÄN</t>
        </is>
      </c>
      <c r="G1381" t="inlineStr">
        <is>
          <t>BOLLNÄS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29697-2026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46204</v>
      </c>
      <c r="E1382" s="1" t="n">
        <v>46256</v>
      </c>
      <c r="F1382" t="inlineStr">
        <is>
          <t>GÄVLEBORGS LÄN</t>
        </is>
      </c>
      <c r="G1382" t="inlineStr">
        <is>
          <t>BOLLNÄS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19767-2026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46135</v>
      </c>
      <c r="E1383" s="1" t="n">
        <v>46256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4.4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46027</v>
      </c>
      <c r="E1384" s="1" t="n">
        <v>46256</v>
      </c>
      <c r="F1384" t="inlineStr">
        <is>
          <t>GÄVLEBORGS LÄN</t>
        </is>
      </c>
      <c r="G1384" t="inlineStr">
        <is>
          <t>BOLLNÄS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1800-2026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46035</v>
      </c>
      <c r="E1385" s="1" t="n">
        <v>46256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30152-2022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44757</v>
      </c>
      <c r="E1386" s="1" t="n">
        <v>46256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29457-2026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46203</v>
      </c>
      <c r="E1387" s="1" t="n">
        <v>46256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10413-2026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46077</v>
      </c>
      <c r="E1388" s="1" t="n">
        <v>46256</v>
      </c>
      <c r="F1388" t="inlineStr">
        <is>
          <t>GÄVLEBORGS LÄN</t>
        </is>
      </c>
      <c r="G1388" t="inlineStr">
        <is>
          <t>BOLLNÄS</t>
        </is>
      </c>
      <c r="I1388" t="n">
        <v>11.6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10043-2026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46073</v>
      </c>
      <c r="E1389" s="1" t="n">
        <v>46256</v>
      </c>
      <c r="F1389" t="inlineStr">
        <is>
          <t>GÄVLEBORGS LÄN</t>
        </is>
      </c>
      <c r="G1389" t="inlineStr">
        <is>
          <t>BOLLNÄS</t>
        </is>
      </c>
      <c r="I1389" t="n">
        <v>12.2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29447-2026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46203</v>
      </c>
      <c r="E1390" s="1" t="n">
        <v>46256</v>
      </c>
      <c r="F1390" t="inlineStr">
        <is>
          <t>GÄVLEBORGS LÄN</t>
        </is>
      </c>
      <c r="G1390" t="inlineStr">
        <is>
          <t>BOLLNÄS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29445-2026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46203</v>
      </c>
      <c r="E1391" s="1" t="n">
        <v>46256</v>
      </c>
      <c r="F1391" t="inlineStr">
        <is>
          <t>GÄVLEBORGS LÄN</t>
        </is>
      </c>
      <c r="G1391" t="inlineStr">
        <is>
          <t>BOLLNÄS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20192-2026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46256</v>
      </c>
      <c r="F1392" t="inlineStr">
        <is>
          <t>GÄVLEBORGS LÄN</t>
        </is>
      </c>
      <c r="G1392" t="inlineStr">
        <is>
          <t>BOLLNÄS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8914-2026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46069</v>
      </c>
      <c r="E1393" s="1" t="n">
        <v>46256</v>
      </c>
      <c r="F1393" t="inlineStr">
        <is>
          <t>GÄVLEBORGS LÄN</t>
        </is>
      </c>
      <c r="G1393" t="inlineStr">
        <is>
          <t>BOLLNÄS</t>
        </is>
      </c>
      <c r="I1393" t="n">
        <v>37.3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34250-2024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45524</v>
      </c>
      <c r="E1394" s="1" t="n">
        <v>46256</v>
      </c>
      <c r="F1394" t="inlineStr">
        <is>
          <t>GÄVLEBORGS LÄN</t>
        </is>
      </c>
      <c r="G1394" t="inlineStr">
        <is>
          <t>BOLLNÄS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29635-2026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46204</v>
      </c>
      <c r="E1395" s="1" t="n">
        <v>46256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29567-2026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46204</v>
      </c>
      <c r="E1396" s="1" t="n">
        <v>46256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23885-2026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46167</v>
      </c>
      <c r="E1397" s="1" t="n">
        <v>46256</v>
      </c>
      <c r="F1397" t="inlineStr">
        <is>
          <t>GÄVLEBORGS LÄN</t>
        </is>
      </c>
      <c r="G1397" t="inlineStr">
        <is>
          <t>BOLLNÄS</t>
        </is>
      </c>
      <c r="I1397" t="n">
        <v>16.3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54511-2024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46256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29696-2026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46256</v>
      </c>
      <c r="F1399" t="inlineStr">
        <is>
          <t>GÄVLEBORGS LÄN</t>
        </is>
      </c>
      <c r="G1399" t="inlineStr">
        <is>
          <t>BOLLNÄS</t>
        </is>
      </c>
      <c r="I1399" t="n">
        <v>5.3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15519-2026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46106</v>
      </c>
      <c r="E1400" s="1" t="n">
        <v>46256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20308-2026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46139</v>
      </c>
      <c r="E1401" s="1" t="n">
        <v>46256</v>
      </c>
      <c r="F1401" t="inlineStr">
        <is>
          <t>GÄVLEBORGS LÄN</t>
        </is>
      </c>
      <c r="G1401" t="inlineStr">
        <is>
          <t>BOLLNÄS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20361-2026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46139</v>
      </c>
      <c r="E1402" s="1" t="n">
        <v>46256</v>
      </c>
      <c r="F1402" t="inlineStr">
        <is>
          <t>GÄVLEBORGS LÄN</t>
        </is>
      </c>
      <c r="G1402" t="inlineStr">
        <is>
          <t>BOLLNÄS</t>
        </is>
      </c>
      <c r="I1402" t="n">
        <v>9.300000000000001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33390-2026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46247</v>
      </c>
      <c r="E1403" s="1" t="n">
        <v>46256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29653-2026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46204</v>
      </c>
      <c r="E1404" s="1" t="n">
        <v>46256</v>
      </c>
      <c r="F1404" t="inlineStr">
        <is>
          <t>GÄVLEBORGS LÄN</t>
        </is>
      </c>
      <c r="G1404" t="inlineStr">
        <is>
          <t>BOLLNÄS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9555-2026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46071</v>
      </c>
      <c r="E1405" s="1" t="n">
        <v>46256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323-2026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46027</v>
      </c>
      <c r="E1406" s="1" t="n">
        <v>46256</v>
      </c>
      <c r="F1406" t="inlineStr">
        <is>
          <t>GÄVLEBORGS LÄN</t>
        </is>
      </c>
      <c r="G1406" t="inlineStr">
        <is>
          <t>BOLLNÄS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20257-2026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46139</v>
      </c>
      <c r="E1407" s="1" t="n">
        <v>46256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20153-2026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46138</v>
      </c>
      <c r="E1408" s="1" t="n">
        <v>46256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46041</v>
      </c>
      <c r="E1409" s="1" t="n">
        <v>46256</v>
      </c>
      <c r="F1409" t="inlineStr">
        <is>
          <t>GÄVLEBORGS LÄN</t>
        </is>
      </c>
      <c r="G1409" t="inlineStr">
        <is>
          <t>BOLLNÄS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11164-2026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46080</v>
      </c>
      <c r="E1410" s="1" t="n">
        <v>46256</v>
      </c>
      <c r="F1410" t="inlineStr">
        <is>
          <t>GÄVLEBORGS LÄN</t>
        </is>
      </c>
      <c r="G1410" t="inlineStr">
        <is>
          <t>BOLLNÄS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10204-2026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46076</v>
      </c>
      <c r="E1411" s="1" t="n">
        <v>46256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9697-2025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45716</v>
      </c>
      <c r="E1412" s="1" t="n">
        <v>46256</v>
      </c>
      <c r="F1412" t="inlineStr">
        <is>
          <t>GÄVLEBORGS LÄN</t>
        </is>
      </c>
      <c r="G1412" t="inlineStr">
        <is>
          <t>BOLLNÄS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12243-2026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46087</v>
      </c>
      <c r="E1413" s="1" t="n">
        <v>46256</v>
      </c>
      <c r="F1413" t="inlineStr">
        <is>
          <t>GÄVLEBORGS LÄN</t>
        </is>
      </c>
      <c r="G1413" t="inlineStr">
        <is>
          <t>BOLLNÄS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7339-2026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46058</v>
      </c>
      <c r="E1414" s="1" t="n">
        <v>46256</v>
      </c>
      <c r="F1414" t="inlineStr">
        <is>
          <t>GÄVLEBORGS LÄN</t>
        </is>
      </c>
      <c r="G1414" t="inlineStr">
        <is>
          <t>BOLLNÄS</t>
        </is>
      </c>
      <c r="I1414" t="n">
        <v>12.1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46256</v>
      </c>
      <c r="F1415" t="inlineStr">
        <is>
          <t>GÄVLEBORGS LÄN</t>
        </is>
      </c>
      <c r="G1415" t="inlineStr">
        <is>
          <t>BOLLNÄS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46038</v>
      </c>
      <c r="E1416" s="1" t="n">
        <v>46256</v>
      </c>
      <c r="F1416" t="inlineStr">
        <is>
          <t>GÄVLEBORGS LÄN</t>
        </is>
      </c>
      <c r="G1416" t="inlineStr">
        <is>
          <t>BOLLNÄS</t>
        </is>
      </c>
      <c r="I1416" t="n">
        <v>8.6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29607-2026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46204</v>
      </c>
      <c r="E1417" s="1" t="n">
        <v>46256</v>
      </c>
      <c r="F1417" t="inlineStr">
        <is>
          <t>GÄVLEBORGS LÄN</t>
        </is>
      </c>
      <c r="G1417" t="inlineStr">
        <is>
          <t>BOLLNÄS</t>
        </is>
      </c>
      <c r="I1417" t="n">
        <v>7.6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29652-2026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46204</v>
      </c>
      <c r="E1418" s="1" t="n">
        <v>46256</v>
      </c>
      <c r="F1418" t="inlineStr">
        <is>
          <t>GÄVLEBORGS LÄN</t>
        </is>
      </c>
      <c r="G1418" t="inlineStr">
        <is>
          <t>BOLLNÄS</t>
        </is>
      </c>
      <c r="I1418" t="n">
        <v>10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6052-2026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46052</v>
      </c>
      <c r="E1419" s="1" t="n">
        <v>46256</v>
      </c>
      <c r="F1419" t="inlineStr">
        <is>
          <t>GÄVLEBORGS LÄN</t>
        </is>
      </c>
      <c r="G1419" t="inlineStr">
        <is>
          <t>BOLLNÄS</t>
        </is>
      </c>
      <c r="I1419" t="n">
        <v>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6850-2026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46057</v>
      </c>
      <c r="E1420" s="1" t="n">
        <v>46256</v>
      </c>
      <c r="F1420" t="inlineStr">
        <is>
          <t>GÄVLEBORGS LÄN</t>
        </is>
      </c>
      <c r="G1420" t="inlineStr">
        <is>
          <t>BOLLNÄS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29691-2026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46204</v>
      </c>
      <c r="E1421" s="1" t="n">
        <v>46256</v>
      </c>
      <c r="F1421" t="inlineStr">
        <is>
          <t>GÄVLEBORGS LÄN</t>
        </is>
      </c>
      <c r="G1421" t="inlineStr">
        <is>
          <t>BOLLNÄS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46256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58431-2021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44488</v>
      </c>
      <c r="E1423" s="1" t="n">
        <v>46256</v>
      </c>
      <c r="F1423" t="inlineStr">
        <is>
          <t>GÄVLEBORGS LÄN</t>
        </is>
      </c>
      <c r="G1423" t="inlineStr">
        <is>
          <t>BOLLNÄS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29629-2026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46204</v>
      </c>
      <c r="E1424" s="1" t="n">
        <v>46256</v>
      </c>
      <c r="F1424" t="inlineStr">
        <is>
          <t>GÄVLEBORGS LÄN</t>
        </is>
      </c>
      <c r="G1424" t="inlineStr">
        <is>
          <t>BOLLNÄS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29700-2026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46204</v>
      </c>
      <c r="E1425" s="1" t="n">
        <v>46256</v>
      </c>
      <c r="F1425" t="inlineStr">
        <is>
          <t>GÄVLEBORGS LÄN</t>
        </is>
      </c>
      <c r="G1425" t="inlineStr">
        <is>
          <t>BOLLNÄS</t>
        </is>
      </c>
      <c r="I1425" t="n">
        <v>5.9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15858-2026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46107</v>
      </c>
      <c r="E1426" s="1" t="n">
        <v>46256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6.4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33589-2026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46248</v>
      </c>
      <c r="E1427" s="1" t="n">
        <v>46256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30043-2026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46206</v>
      </c>
      <c r="E1428" s="1" t="n">
        <v>46256</v>
      </c>
      <c r="F1428" t="inlineStr">
        <is>
          <t>GÄVLEBORGS LÄN</t>
        </is>
      </c>
      <c r="G1428" t="inlineStr">
        <is>
          <t>BOLLNÄS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30050-2026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46206</v>
      </c>
      <c r="E1429" s="1" t="n">
        <v>46256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30052-2026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46206</v>
      </c>
      <c r="E1430" s="1" t="n">
        <v>46256</v>
      </c>
      <c r="F1430" t="inlineStr">
        <is>
          <t>GÄVLEBORGS LÄN</t>
        </is>
      </c>
      <c r="G1430" t="inlineStr">
        <is>
          <t>BOLLNÄS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20282-2026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46139</v>
      </c>
      <c r="E1431" s="1" t="n">
        <v>46256</v>
      </c>
      <c r="F1431" t="inlineStr">
        <is>
          <t>GÄVLEBORGS LÄN</t>
        </is>
      </c>
      <c r="G1431" t="inlineStr">
        <is>
          <t>BOLLNÄS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51797-2023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45222</v>
      </c>
      <c r="E1432" s="1" t="n">
        <v>46256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27152-2024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45471</v>
      </c>
      <c r="E1433" s="1" t="n">
        <v>46256</v>
      </c>
      <c r="F1433" t="inlineStr">
        <is>
          <t>GÄVLEBORGS LÄN</t>
        </is>
      </c>
      <c r="G1433" t="inlineStr">
        <is>
          <t>BOLLNÄS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15147-2023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45016</v>
      </c>
      <c r="E1434" s="1" t="n">
        <v>46256</v>
      </c>
      <c r="F1434" t="inlineStr">
        <is>
          <t>GÄVLEBORGS LÄN</t>
        </is>
      </c>
      <c r="G1434" t="inlineStr">
        <is>
          <t>BOLLNÄS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29241-2022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44750</v>
      </c>
      <c r="E1435" s="1" t="n">
        <v>46256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Sveaskog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19623-2026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46134</v>
      </c>
      <c r="E1436" s="1" t="n">
        <v>46256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14623-2023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45013</v>
      </c>
      <c r="E1437" s="1" t="n">
        <v>46256</v>
      </c>
      <c r="F1437" t="inlineStr">
        <is>
          <t>GÄVLEBORGS LÄN</t>
        </is>
      </c>
      <c r="G1437" t="inlineStr">
        <is>
          <t>BOLLNÄS</t>
        </is>
      </c>
      <c r="I1437" t="n">
        <v>5.3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46048</v>
      </c>
      <c r="E1438" s="1" t="n">
        <v>46256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30041-2026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46256</v>
      </c>
      <c r="F1439" t="inlineStr">
        <is>
          <t>GÄVLEBORGS LÄN</t>
        </is>
      </c>
      <c r="G1439" t="inlineStr">
        <is>
          <t>BOLLNÄS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5876-2026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46052</v>
      </c>
      <c r="E1440" s="1" t="n">
        <v>46256</v>
      </c>
      <c r="F1440" t="inlineStr">
        <is>
          <t>GÄVLEBORGS LÄN</t>
        </is>
      </c>
      <c r="G1440" t="inlineStr">
        <is>
          <t>BOLLNÄS</t>
        </is>
      </c>
      <c r="I1440" t="n">
        <v>9.9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7309-2026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46058</v>
      </c>
      <c r="E1441" s="1" t="n">
        <v>46256</v>
      </c>
      <c r="F1441" t="inlineStr">
        <is>
          <t>GÄVLEBORGS LÄN</t>
        </is>
      </c>
      <c r="G1441" t="inlineStr">
        <is>
          <t>BOLLNÄS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30131-2026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46256</v>
      </c>
      <c r="F1442" t="inlineStr">
        <is>
          <t>GÄVLEBORGS LÄN</t>
        </is>
      </c>
      <c r="G1442" t="inlineStr">
        <is>
          <t>BOLLNÄS</t>
        </is>
      </c>
      <c r="I1442" t="n">
        <v>3.5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30136-2026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46206</v>
      </c>
      <c r="E1443" s="1" t="n">
        <v>46256</v>
      </c>
      <c r="F1443" t="inlineStr">
        <is>
          <t>GÄVLEBORGS LÄN</t>
        </is>
      </c>
      <c r="G1443" t="inlineStr">
        <is>
          <t>BOLLNÄS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1047-2026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46030</v>
      </c>
      <c r="E1444" s="1" t="n">
        <v>46256</v>
      </c>
      <c r="F1444" t="inlineStr">
        <is>
          <t>GÄVLEBORGS LÄN</t>
        </is>
      </c>
      <c r="G1444" t="inlineStr">
        <is>
          <t>BOLLNÄS</t>
        </is>
      </c>
      <c r="I1444" t="n">
        <v>32.1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7144-2026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46256</v>
      </c>
      <c r="F1445" t="inlineStr">
        <is>
          <t>GÄVLEBORGS LÄN</t>
        </is>
      </c>
      <c r="G1445" t="inlineStr">
        <is>
          <t>BOLLNÄS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850-2026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46030</v>
      </c>
      <c r="E1446" s="1" t="n">
        <v>46256</v>
      </c>
      <c r="F1446" t="inlineStr">
        <is>
          <t>GÄVLEBORGS LÄN</t>
        </is>
      </c>
      <c r="G1446" t="inlineStr">
        <is>
          <t>BOLLNÄS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8528-2026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46065</v>
      </c>
      <c r="E1447" s="1" t="n">
        <v>46256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30282-2026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46206</v>
      </c>
      <c r="E1448" s="1" t="n">
        <v>46256</v>
      </c>
      <c r="F1448" t="inlineStr">
        <is>
          <t>GÄVLEBORGS LÄN</t>
        </is>
      </c>
      <c r="G1448" t="inlineStr">
        <is>
          <t>BOLLNÄS</t>
        </is>
      </c>
      <c r="I1448" t="n">
        <v>4.8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30300-2026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46206</v>
      </c>
      <c r="E1449" s="1" t="n">
        <v>46256</v>
      </c>
      <c r="F1449" t="inlineStr">
        <is>
          <t>GÄVLEBORGS LÄN</t>
        </is>
      </c>
      <c r="G1449" t="inlineStr">
        <is>
          <t>BOLLNÄS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30305-2026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46206</v>
      </c>
      <c r="E1450" s="1" t="n">
        <v>46256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46055</v>
      </c>
      <c r="E1451" s="1" t="n">
        <v>46256</v>
      </c>
      <c r="F1451" t="inlineStr">
        <is>
          <t>GÄVLEBORGS LÄN</t>
        </is>
      </c>
      <c r="G1451" t="inlineStr">
        <is>
          <t>BOLLNÄS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33740-2026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46256</v>
      </c>
      <c r="F1452" t="inlineStr">
        <is>
          <t>GÄVLEBORGS LÄN</t>
        </is>
      </c>
      <c r="G1452" t="inlineStr">
        <is>
          <t>BOLLNÄS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4621-2026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46048</v>
      </c>
      <c r="E1453" s="1" t="n">
        <v>46256</v>
      </c>
      <c r="F1453" t="inlineStr">
        <is>
          <t>GÄVLEBORGS LÄN</t>
        </is>
      </c>
      <c r="G1453" t="inlineStr">
        <is>
          <t>BOLLNÄS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46029</v>
      </c>
      <c r="E1454" s="1" t="n">
        <v>46256</v>
      </c>
      <c r="F1454" t="inlineStr">
        <is>
          <t>GÄVLEBORGS LÄN</t>
        </is>
      </c>
      <c r="G1454" t="inlineStr">
        <is>
          <t>BOLLNÄS</t>
        </is>
      </c>
      <c r="I1454" t="n">
        <v>24.2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49931-2023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45215</v>
      </c>
      <c r="E1455" s="1" t="n">
        <v>46256</v>
      </c>
      <c r="F1455" t="inlineStr">
        <is>
          <t>GÄVLEBORGS LÄN</t>
        </is>
      </c>
      <c r="G1455" t="inlineStr">
        <is>
          <t>BOLLNÄS</t>
        </is>
      </c>
      <c r="I1455" t="n">
        <v>5.1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33588-2026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46248</v>
      </c>
      <c r="E1456" s="1" t="n">
        <v>46256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8560-2026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46065</v>
      </c>
      <c r="E1457" s="1" t="n">
        <v>46256</v>
      </c>
      <c r="F1457" t="inlineStr">
        <is>
          <t>GÄVLEBORGS LÄN</t>
        </is>
      </c>
      <c r="G1457" t="inlineStr">
        <is>
          <t>BOLLNÄS</t>
        </is>
      </c>
      <c r="I1457" t="n">
        <v>8.4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46256</v>
      </c>
      <c r="F1458" t="inlineStr">
        <is>
          <t>GÄVLEBORGS LÄN</t>
        </is>
      </c>
      <c r="G1458" t="inlineStr">
        <is>
          <t>BOLLNÄS</t>
        </is>
      </c>
      <c r="I1458" t="n">
        <v>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25632-2022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44732</v>
      </c>
      <c r="E1459" s="1" t="n">
        <v>46256</v>
      </c>
      <c r="F1459" t="inlineStr">
        <is>
          <t>GÄVLEBORGS LÄN</t>
        </is>
      </c>
      <c r="G1459" t="inlineStr">
        <is>
          <t>BOLLNÄS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46052</v>
      </c>
      <c r="E1460" s="1" t="n">
        <v>46256</v>
      </c>
      <c r="F1460" t="inlineStr">
        <is>
          <t>GÄVLEBORGS LÄN</t>
        </is>
      </c>
      <c r="G1460" t="inlineStr">
        <is>
          <t>BOLLNÄS</t>
        </is>
      </c>
      <c r="I1460" t="n">
        <v>34.4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27612-2024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45474</v>
      </c>
      <c r="E1461" s="1" t="n">
        <v>46256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28179-2023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45099</v>
      </c>
      <c r="E1462" s="1" t="n">
        <v>46256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30274-2026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46206</v>
      </c>
      <c r="E1463" s="1" t="n">
        <v>46256</v>
      </c>
      <c r="F1463" t="inlineStr">
        <is>
          <t>GÄVLEBORGS LÄN</t>
        </is>
      </c>
      <c r="G1463" t="inlineStr">
        <is>
          <t>BOLLNÄS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24742-2024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45460</v>
      </c>
      <c r="E1464" s="1" t="n">
        <v>46256</v>
      </c>
      <c r="F1464" t="inlineStr">
        <is>
          <t>GÄVLEBORGS LÄN</t>
        </is>
      </c>
      <c r="G1464" t="inlineStr">
        <is>
          <t>BOLLNÄS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20252-2026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46256</v>
      </c>
      <c r="F1465" t="inlineStr">
        <is>
          <t>GÄVLEBORGS LÄN</t>
        </is>
      </c>
      <c r="G1465" t="inlineStr">
        <is>
          <t>BOLLNÄS</t>
        </is>
      </c>
      <c r="I1465" t="n">
        <v>6.4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7408-2026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46059</v>
      </c>
      <c r="E1466" s="1" t="n">
        <v>46256</v>
      </c>
      <c r="F1466" t="inlineStr">
        <is>
          <t>GÄVLEBORGS LÄN</t>
        </is>
      </c>
      <c r="G1466" t="inlineStr">
        <is>
          <t>BOLLNÄS</t>
        </is>
      </c>
      <c r="I1466" t="n">
        <v>10.8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10606-2024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45366</v>
      </c>
      <c r="E1467" s="1" t="n">
        <v>46256</v>
      </c>
      <c r="F1467" t="inlineStr">
        <is>
          <t>GÄVLEBORGS LÄN</t>
        </is>
      </c>
      <c r="G1467" t="inlineStr">
        <is>
          <t>BOLLNÄS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10447-2026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46256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46052</v>
      </c>
      <c r="E1469" s="1" t="n">
        <v>46256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14913-2025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46256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18438-2024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45425</v>
      </c>
      <c r="E1471" s="1" t="n">
        <v>46256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45598-2024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45579</v>
      </c>
      <c r="E1472" s="1" t="n">
        <v>46256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Kommuner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20026-2026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46136</v>
      </c>
      <c r="E1473" s="1" t="n">
        <v>46256</v>
      </c>
      <c r="F1473" t="inlineStr">
        <is>
          <t>GÄVLEBORGS LÄN</t>
        </is>
      </c>
      <c r="G1473" t="inlineStr">
        <is>
          <t>BOLLNÄS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33496-2026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46248</v>
      </c>
      <c r="E1474" s="1" t="n">
        <v>46256</v>
      </c>
      <c r="F1474" t="inlineStr">
        <is>
          <t>GÄVLEBORGS LÄN</t>
        </is>
      </c>
      <c r="G1474" t="inlineStr">
        <is>
          <t>BOLLNÄS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30273-2026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46206</v>
      </c>
      <c r="E1475" s="1" t="n">
        <v>46256</v>
      </c>
      <c r="F1475" t="inlineStr">
        <is>
          <t>GÄVLEBORGS LÄN</t>
        </is>
      </c>
      <c r="G1475" t="inlineStr">
        <is>
          <t>BOLLNÄS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20247-2026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46139</v>
      </c>
      <c r="E1476" s="1" t="n">
        <v>46256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5.3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30278-2026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46206</v>
      </c>
      <c r="E1477" s="1" t="n">
        <v>46256</v>
      </c>
      <c r="F1477" t="inlineStr">
        <is>
          <t>GÄVLEBORGS LÄN</t>
        </is>
      </c>
      <c r="G1477" t="inlineStr">
        <is>
          <t>BOLLNÄS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63877-2025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46020</v>
      </c>
      <c r="E1478" s="1" t="n">
        <v>46256</v>
      </c>
      <c r="F1478" t="inlineStr">
        <is>
          <t>GÄVLEBORGS LÄN</t>
        </is>
      </c>
      <c r="G1478" t="inlineStr">
        <is>
          <t>BOLLNÄS</t>
        </is>
      </c>
      <c r="I1478" t="n">
        <v>8.800000000000001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12595-2026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46090</v>
      </c>
      <c r="E1479" s="1" t="n">
        <v>46256</v>
      </c>
      <c r="F1479" t="inlineStr">
        <is>
          <t>GÄVLEBORGS LÄN</t>
        </is>
      </c>
      <c r="G1479" t="inlineStr">
        <is>
          <t>BOLLNÄS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48007-2022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44855</v>
      </c>
      <c r="E1480" s="1" t="n">
        <v>46256</v>
      </c>
      <c r="F1480" t="inlineStr">
        <is>
          <t>GÄVLEBORGS LÄN</t>
        </is>
      </c>
      <c r="G1480" t="inlineStr">
        <is>
          <t>BOLLNÄS</t>
        </is>
      </c>
      <c r="I1480" t="n">
        <v>4.3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4291-2026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46045</v>
      </c>
      <c r="E1481" s="1" t="n">
        <v>46256</v>
      </c>
      <c r="F1481" t="inlineStr">
        <is>
          <t>GÄVLEBORGS LÄN</t>
        </is>
      </c>
      <c r="G1481" t="inlineStr">
        <is>
          <t>BOLLNÄS</t>
        </is>
      </c>
      <c r="I1481" t="n">
        <v>14.4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30275-2026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46206</v>
      </c>
      <c r="E1482" s="1" t="n">
        <v>46256</v>
      </c>
      <c r="F1482" t="inlineStr">
        <is>
          <t>GÄVLEBORGS LÄN</t>
        </is>
      </c>
      <c r="G1482" t="inlineStr">
        <is>
          <t>BOLLNÄS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20177-2026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46139</v>
      </c>
      <c r="E1483" s="1" t="n">
        <v>46256</v>
      </c>
      <c r="F1483" t="inlineStr">
        <is>
          <t>GÄVLEBORGS LÄN</t>
        </is>
      </c>
      <c r="G1483" t="inlineStr">
        <is>
          <t>BOLLNÄS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36087-2023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45149</v>
      </c>
      <c r="E1484" s="1" t="n">
        <v>46256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29989-2026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46205</v>
      </c>
      <c r="E1485" s="1" t="n">
        <v>46256</v>
      </c>
      <c r="F1485" t="inlineStr">
        <is>
          <t>GÄVLEBORGS LÄN</t>
        </is>
      </c>
      <c r="G1485" t="inlineStr">
        <is>
          <t>BOLLNÄS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9528-2026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46071</v>
      </c>
      <c r="E1486" s="1" t="n">
        <v>46256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46083</v>
      </c>
      <c r="E1487" s="1" t="n">
        <v>46256</v>
      </c>
      <c r="F1487" t="inlineStr">
        <is>
          <t>GÄVLEBORGS LÄN</t>
        </is>
      </c>
      <c r="G1487" t="inlineStr">
        <is>
          <t>BOLLNÄS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29857-2026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46205</v>
      </c>
      <c r="E1488" s="1" t="n">
        <v>46256</v>
      </c>
      <c r="F1488" t="inlineStr">
        <is>
          <t>GÄVLEBORGS LÄN</t>
        </is>
      </c>
      <c r="G1488" t="inlineStr">
        <is>
          <t>BOLLNÄS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33773-2026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46251</v>
      </c>
      <c r="E1489" s="1" t="n">
        <v>46256</v>
      </c>
      <c r="F1489" t="inlineStr">
        <is>
          <t>GÄVLEBORGS LÄN</t>
        </is>
      </c>
      <c r="G1489" t="inlineStr">
        <is>
          <t>BOLLNÄS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30067-2023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45110</v>
      </c>
      <c r="E1490" s="1" t="n">
        <v>46256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20024-2026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46136</v>
      </c>
      <c r="E1491" s="1" t="n">
        <v>46256</v>
      </c>
      <c r="F1491" t="inlineStr">
        <is>
          <t>GÄVLEBORGS LÄN</t>
        </is>
      </c>
      <c r="G1491" t="inlineStr">
        <is>
          <t>BOLLNÄS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16935-2026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46113</v>
      </c>
      <c r="E1492" s="1" t="n">
        <v>46256</v>
      </c>
      <c r="F1492" t="inlineStr">
        <is>
          <t>GÄVLEBORGS LÄN</t>
        </is>
      </c>
      <c r="G1492" t="inlineStr">
        <is>
          <t>BOLLNÄS</t>
        </is>
      </c>
      <c r="I1492" t="n">
        <v>10.1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28477-2025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45819</v>
      </c>
      <c r="E1493" s="1" t="n">
        <v>46256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20285-2026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46139</v>
      </c>
      <c r="E1494" s="1" t="n">
        <v>46256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20287-2026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46139</v>
      </c>
      <c r="E1495" s="1" t="n">
        <v>46256</v>
      </c>
      <c r="F1495" t="inlineStr">
        <is>
          <t>GÄVLEBORGS LÄN</t>
        </is>
      </c>
      <c r="G1495" t="inlineStr">
        <is>
          <t>BOLLNÄS</t>
        </is>
      </c>
      <c r="I1495" t="n">
        <v>6.9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6251-2026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46055</v>
      </c>
      <c r="E1496" s="1" t="n">
        <v>46256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30139-2026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46206</v>
      </c>
      <c r="E1497" s="1" t="n">
        <v>46256</v>
      </c>
      <c r="F1497" t="inlineStr">
        <is>
          <t>GÄVLEBORGS LÄN</t>
        </is>
      </c>
      <c r="G1497" t="inlineStr">
        <is>
          <t>BOLLNÄS</t>
        </is>
      </c>
      <c r="I1497" t="n">
        <v>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60884-2022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44914</v>
      </c>
      <c r="E1498" s="1" t="n">
        <v>46256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30298-2026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46206</v>
      </c>
      <c r="E1499" s="1" t="n">
        <v>46256</v>
      </c>
      <c r="F1499" t="inlineStr">
        <is>
          <t>GÄVLEBORGS LÄN</t>
        </is>
      </c>
      <c r="G1499" t="inlineStr">
        <is>
          <t>BOLLNÄS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33869-2026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46251</v>
      </c>
      <c r="E1500" s="1" t="n">
        <v>46256</v>
      </c>
      <c r="F1500" t="inlineStr">
        <is>
          <t>GÄVLEBORGS LÄN</t>
        </is>
      </c>
      <c r="G1500" t="inlineStr">
        <is>
          <t>BOLLNÄS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20030-2026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46136</v>
      </c>
      <c r="E1501" s="1" t="n">
        <v>46256</v>
      </c>
      <c r="F1501" t="inlineStr">
        <is>
          <t>GÄVLEBORGS LÄN</t>
        </is>
      </c>
      <c r="G1501" t="inlineStr">
        <is>
          <t>BOLLNÄS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12342-2026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46087</v>
      </c>
      <c r="E1502" s="1" t="n">
        <v>46256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Kyrkan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20028-2026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46136</v>
      </c>
      <c r="E1503" s="1" t="n">
        <v>46256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33742-2026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46256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6430-2026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46055</v>
      </c>
      <c r="E1505" s="1" t="n">
        <v>46256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Kyrkan</t>
        </is>
      </c>
      <c r="I1505" t="n">
        <v>8.6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840-2026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46030</v>
      </c>
      <c r="E1506" s="1" t="n">
        <v>46256</v>
      </c>
      <c r="F1506" t="inlineStr">
        <is>
          <t>GÄVLEBORGS LÄN</t>
        </is>
      </c>
      <c r="G1506" t="inlineStr">
        <is>
          <t>BOLLNÄS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11335-2026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46082</v>
      </c>
      <c r="E1507" s="1" t="n">
        <v>46256</v>
      </c>
      <c r="F1507" t="inlineStr">
        <is>
          <t>GÄVLEBORGS LÄN</t>
        </is>
      </c>
      <c r="G1507" t="inlineStr">
        <is>
          <t>BOLLNÄS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20042-2026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46256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16628-2026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46112</v>
      </c>
      <c r="E1509" s="1" t="n">
        <v>46256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16660-2026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46112</v>
      </c>
      <c r="E1510" s="1" t="n">
        <v>46256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1647-2026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46034</v>
      </c>
      <c r="E1511" s="1" t="n">
        <v>46256</v>
      </c>
      <c r="F1511" t="inlineStr">
        <is>
          <t>GÄVLEBORGS LÄN</t>
        </is>
      </c>
      <c r="G1511" t="inlineStr">
        <is>
          <t>BOLLNÄS</t>
        </is>
      </c>
      <c r="I1511" t="n">
        <v>6.1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3908-2026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46043</v>
      </c>
      <c r="E1512" s="1" t="n">
        <v>46256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11956-2023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44995</v>
      </c>
      <c r="E1513" s="1" t="n">
        <v>46256</v>
      </c>
      <c r="F1513" t="inlineStr">
        <is>
          <t>GÄVLEBORGS LÄN</t>
        </is>
      </c>
      <c r="G1513" t="inlineStr">
        <is>
          <t>BOLLNÄS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46027</v>
      </c>
      <c r="E1514" s="1" t="n">
        <v>46256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1172-2026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46031</v>
      </c>
      <c r="E1515" s="1" t="n">
        <v>46256</v>
      </c>
      <c r="F1515" t="inlineStr">
        <is>
          <t>GÄVLEBORGS LÄN</t>
        </is>
      </c>
      <c r="G1515" t="inlineStr">
        <is>
          <t>BOLLNÄS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4039-2026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46044</v>
      </c>
      <c r="E1516" s="1" t="n">
        <v>46256</v>
      </c>
      <c r="F1516" t="inlineStr">
        <is>
          <t>GÄVLEBORGS LÄN</t>
        </is>
      </c>
      <c r="G1516" t="inlineStr">
        <is>
          <t>BOLLNÄS</t>
        </is>
      </c>
      <c r="I1516" t="n">
        <v>8.9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14256-2026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46099</v>
      </c>
      <c r="E1517" s="1" t="n">
        <v>46256</v>
      </c>
      <c r="F1517" t="inlineStr">
        <is>
          <t>GÄVLEBORGS LÄN</t>
        </is>
      </c>
      <c r="G1517" t="inlineStr">
        <is>
          <t>BOLLNÄS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5999-2026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46052</v>
      </c>
      <c r="E1518" s="1" t="n">
        <v>46256</v>
      </c>
      <c r="F1518" t="inlineStr">
        <is>
          <t>GÄVLEBORGS LÄN</t>
        </is>
      </c>
      <c r="G1518" t="inlineStr">
        <is>
          <t>BOLLNÄS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11656-2026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46084</v>
      </c>
      <c r="E1519" s="1" t="n">
        <v>46256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13878-2026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46098</v>
      </c>
      <c r="E1520" s="1" t="n">
        <v>46256</v>
      </c>
      <c r="F1520" t="inlineStr">
        <is>
          <t>GÄVLEBORGS LÄN</t>
        </is>
      </c>
      <c r="G1520" t="inlineStr">
        <is>
          <t>BOLLNÄS</t>
        </is>
      </c>
      <c r="I1520" t="n">
        <v>8.699999999999999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46256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öst AB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19921-2026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46136</v>
      </c>
      <c r="E1522" s="1" t="n">
        <v>46256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öst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3322-2026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46041</v>
      </c>
      <c r="E1523" s="1" t="n">
        <v>46256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13807-2026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46098</v>
      </c>
      <c r="E1524" s="1" t="n">
        <v>46256</v>
      </c>
      <c r="F1524" t="inlineStr">
        <is>
          <t>GÄVLEBORGS LÄN</t>
        </is>
      </c>
      <c r="G1524" t="inlineStr">
        <is>
          <t>BOLLNÄS</t>
        </is>
      </c>
      <c r="I1524" t="n">
        <v>4.4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16564-2026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46112</v>
      </c>
      <c r="E1525" s="1" t="n">
        <v>46256</v>
      </c>
      <c r="F1525" t="inlineStr">
        <is>
          <t>GÄVLEBORGS LÄN</t>
        </is>
      </c>
      <c r="G1525" t="inlineStr">
        <is>
          <t>BOLLNÄS</t>
        </is>
      </c>
      <c r="I1525" t="n">
        <v>3.7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10198-2026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46076</v>
      </c>
      <c r="E1526" s="1" t="n">
        <v>46256</v>
      </c>
      <c r="F1526" t="inlineStr">
        <is>
          <t>GÄVLEBORGS LÄN</t>
        </is>
      </c>
      <c r="G1526" t="inlineStr">
        <is>
          <t>BOLLNÄS</t>
        </is>
      </c>
      <c r="I1526" t="n">
        <v>15.9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33956-2026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46252</v>
      </c>
      <c r="E1527" s="1" t="n">
        <v>46256</v>
      </c>
      <c r="F1527" t="inlineStr">
        <is>
          <t>GÄVLEBORGS LÄN</t>
        </is>
      </c>
      <c r="G1527" t="inlineStr">
        <is>
          <t>BOLLNÄS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46209</v>
      </c>
      <c r="E1528" s="1" t="n">
        <v>46256</v>
      </c>
      <c r="F1528" t="inlineStr">
        <is>
          <t>GÄVLEBORGS LÄN</t>
        </is>
      </c>
      <c r="G1528" t="inlineStr">
        <is>
          <t>BOLLNÄS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48301-2023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45205</v>
      </c>
      <c r="E1529" s="1" t="n">
        <v>46256</v>
      </c>
      <c r="F1529" t="inlineStr">
        <is>
          <t>GÄVLEBORGS LÄN</t>
        </is>
      </c>
      <c r="G1529" t="inlineStr">
        <is>
          <t>BOLLNÄS</t>
        </is>
      </c>
      <c r="I1529" t="n">
        <v>5.1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11989-2026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46085</v>
      </c>
      <c r="E1530" s="1" t="n">
        <v>46256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8906-2026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46069</v>
      </c>
      <c r="E1531" s="1" t="n">
        <v>46256</v>
      </c>
      <c r="F1531" t="inlineStr">
        <is>
          <t>GÄVLEBORGS LÄN</t>
        </is>
      </c>
      <c r="G1531" t="inlineStr">
        <is>
          <t>BOLLNÄS</t>
        </is>
      </c>
      <c r="I1531" t="n">
        <v>9.300000000000001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46256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46256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20154-2026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46138</v>
      </c>
      <c r="E1534" s="1" t="n">
        <v>46256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46256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40653-2023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45169</v>
      </c>
      <c r="E1536" s="1" t="n">
        <v>46256</v>
      </c>
      <c r="F1536" t="inlineStr">
        <is>
          <t>GÄVLEBORGS LÄN</t>
        </is>
      </c>
      <c r="G1536" t="inlineStr">
        <is>
          <t>BOLLNÄS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23897-2026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46167</v>
      </c>
      <c r="E1537" s="1" t="n">
        <v>46256</v>
      </c>
      <c r="F1537" t="inlineStr">
        <is>
          <t>GÄVLEBORGS LÄN</t>
        </is>
      </c>
      <c r="G1537" t="inlineStr">
        <is>
          <t>BOLLNÄS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3451-2026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46042</v>
      </c>
      <c r="E1538" s="1" t="n">
        <v>46256</v>
      </c>
      <c r="F1538" t="inlineStr">
        <is>
          <t>GÄVLEBORGS LÄN</t>
        </is>
      </c>
      <c r="G1538" t="inlineStr">
        <is>
          <t>BOLLNÄS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46036</v>
      </c>
      <c r="E1539" s="1" t="n">
        <v>46256</v>
      </c>
      <c r="F1539" t="inlineStr">
        <is>
          <t>GÄVLEBORGS LÄN</t>
        </is>
      </c>
      <c r="G1539" t="inlineStr">
        <is>
          <t>BOLLNÄS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46035</v>
      </c>
      <c r="E1540" s="1" t="n">
        <v>46256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8916-2026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46069</v>
      </c>
      <c r="E1541" s="1" t="n">
        <v>46256</v>
      </c>
      <c r="F1541" t="inlineStr">
        <is>
          <t>GÄVLEBORGS LÄN</t>
        </is>
      </c>
      <c r="G1541" t="inlineStr">
        <is>
          <t>BOLLNÄS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29777-2025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45825</v>
      </c>
      <c r="E1542" s="1" t="n">
        <v>46256</v>
      </c>
      <c r="F1542" t="inlineStr">
        <is>
          <t>GÄVLEBORGS LÄN</t>
        </is>
      </c>
      <c r="G1542" t="inlineStr">
        <is>
          <t>BOLLNÄS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20219-2026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46139</v>
      </c>
      <c r="E1543" s="1" t="n">
        <v>46256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20283-2026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46256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20292-2026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46256</v>
      </c>
      <c r="F1545" t="inlineStr">
        <is>
          <t>GÄVLEBORGS LÄN</t>
        </is>
      </c>
      <c r="G1545" t="inlineStr">
        <is>
          <t>BOLLNÄS</t>
        </is>
      </c>
      <c r="I1545" t="n">
        <v>5.5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23930-2025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45795</v>
      </c>
      <c r="E1546" s="1" t="n">
        <v>46256</v>
      </c>
      <c r="F1546" t="inlineStr">
        <is>
          <t>GÄVLEBORGS LÄN</t>
        </is>
      </c>
      <c r="G1546" t="inlineStr">
        <is>
          <t>BOLLNÄS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33086-2022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44785</v>
      </c>
      <c r="E1547" s="1" t="n">
        <v>46256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34107-2026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46253</v>
      </c>
      <c r="E1548" s="1" t="n">
        <v>46256</v>
      </c>
      <c r="F1548" t="inlineStr">
        <is>
          <t>GÄVLEBORGS LÄN</t>
        </is>
      </c>
      <c r="G1548" t="inlineStr">
        <is>
          <t>BOLLNÄS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20180-2026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46139</v>
      </c>
      <c r="E1549" s="1" t="n">
        <v>46256</v>
      </c>
      <c r="F1549" t="inlineStr">
        <is>
          <t>GÄVLEBORGS LÄN</t>
        </is>
      </c>
      <c r="G1549" t="inlineStr">
        <is>
          <t>BOLLNÄS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20236-2026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46139</v>
      </c>
      <c r="E1550" s="1" t="n">
        <v>46256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71657-2021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44543</v>
      </c>
      <c r="E1551" s="1" t="n">
        <v>46256</v>
      </c>
      <c r="F1551" t="inlineStr">
        <is>
          <t>GÄVLEBORGS LÄN</t>
        </is>
      </c>
      <c r="G1551" t="inlineStr">
        <is>
          <t>BOLLNÄS</t>
        </is>
      </c>
      <c r="I1551" t="n">
        <v>1.4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34140-2026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46253</v>
      </c>
      <c r="E1552" s="1" t="n">
        <v>46256</v>
      </c>
      <c r="F1552" t="inlineStr">
        <is>
          <t>GÄVLEBORGS LÄN</t>
        </is>
      </c>
      <c r="G1552" t="inlineStr">
        <is>
          <t>BOLLNÄS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23365-2024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46256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34129-2026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46253</v>
      </c>
      <c r="E1554" s="1" t="n">
        <v>46256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37983-2025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45881</v>
      </c>
      <c r="E1555" s="1" t="n">
        <v>46256</v>
      </c>
      <c r="F1555" t="inlineStr">
        <is>
          <t>GÄVLEBORGS LÄN</t>
        </is>
      </c>
      <c r="G1555" t="inlineStr">
        <is>
          <t>BOLLNÄS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7576-2026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46061</v>
      </c>
      <c r="E1556" s="1" t="n">
        <v>46256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2643-2026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46037</v>
      </c>
      <c r="E1557" s="1" t="n">
        <v>46256</v>
      </c>
      <c r="F1557" t="inlineStr">
        <is>
          <t>GÄVLEBORGS LÄN</t>
        </is>
      </c>
      <c r="G1557" t="inlineStr">
        <is>
          <t>BOLLNÄS</t>
        </is>
      </c>
      <c r="I1557" t="n">
        <v>4.2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8008-2026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46063</v>
      </c>
      <c r="E1558" s="1" t="n">
        <v>46256</v>
      </c>
      <c r="F1558" t="inlineStr">
        <is>
          <t>GÄVLEBORGS LÄN</t>
        </is>
      </c>
      <c r="G1558" t="inlineStr">
        <is>
          <t>BOLLNÄS</t>
        </is>
      </c>
      <c r="I1558" t="n">
        <v>14.6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8902-2026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46068</v>
      </c>
      <c r="E1559" s="1" t="n">
        <v>46256</v>
      </c>
      <c r="F1559" t="inlineStr">
        <is>
          <t>GÄVLEBORGS LÄN</t>
        </is>
      </c>
      <c r="G1559" t="inlineStr">
        <is>
          <t>BOLLNÄS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25455-2026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46177</v>
      </c>
      <c r="E1560" s="1" t="n">
        <v>46256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20189-2026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46139</v>
      </c>
      <c r="E1561" s="1" t="n">
        <v>46256</v>
      </c>
      <c r="F1561" t="inlineStr">
        <is>
          <t>GÄVLEBORGS LÄN</t>
        </is>
      </c>
      <c r="G1561" t="inlineStr">
        <is>
          <t>BOLLNÄS</t>
        </is>
      </c>
      <c r="I1561" t="n">
        <v>11.7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20268-2026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46139</v>
      </c>
      <c r="E1562" s="1" t="n">
        <v>46256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Kyrkan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20271-2026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46139</v>
      </c>
      <c r="E1563" s="1" t="n">
        <v>46256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5577-2026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46051</v>
      </c>
      <c r="E1564" s="1" t="n">
        <v>46256</v>
      </c>
      <c r="F1564" t="inlineStr">
        <is>
          <t>GÄVLEBORGS LÄN</t>
        </is>
      </c>
      <c r="G1564" t="inlineStr">
        <is>
          <t>BOLLNÄS</t>
        </is>
      </c>
      <c r="I1564" t="n">
        <v>3.9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20876-2024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45439</v>
      </c>
      <c r="E1565" s="1" t="n">
        <v>46256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8594-2026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46065</v>
      </c>
      <c r="E1566" s="1" t="n">
        <v>46256</v>
      </c>
      <c r="F1566" t="inlineStr">
        <is>
          <t>GÄVLEBORGS LÄN</t>
        </is>
      </c>
      <c r="G1566" t="inlineStr">
        <is>
          <t>BOLLNÄS</t>
        </is>
      </c>
      <c r="I1566" t="n">
        <v>17.2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34069-2026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46256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9667-2026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46072</v>
      </c>
      <c r="E1568" s="1" t="n">
        <v>46256</v>
      </c>
      <c r="F1568" t="inlineStr">
        <is>
          <t>GÄVLEBORGS LÄN</t>
        </is>
      </c>
      <c r="G1568" t="inlineStr">
        <is>
          <t>BOLLNÄS</t>
        </is>
      </c>
      <c r="I1568" t="n">
        <v>3.3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15150-2023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45016</v>
      </c>
      <c r="E1569" s="1" t="n">
        <v>46256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26531-2023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45092</v>
      </c>
      <c r="E1570" s="1" t="n">
        <v>46256</v>
      </c>
      <c r="F1570" t="inlineStr">
        <is>
          <t>GÄVLEBORGS LÄN</t>
        </is>
      </c>
      <c r="G1570" t="inlineStr">
        <is>
          <t>BOLLNÄS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3353-2026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46042</v>
      </c>
      <c r="E1571" s="1" t="n">
        <v>46256</v>
      </c>
      <c r="F1571" t="inlineStr">
        <is>
          <t>GÄVLEBORGS LÄN</t>
        </is>
      </c>
      <c r="G1571" t="inlineStr">
        <is>
          <t>BOLLNÄS</t>
        </is>
      </c>
      <c r="I1571" t="n">
        <v>5.5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30827-2026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46212</v>
      </c>
      <c r="E1572" s="1" t="n">
        <v>46256</v>
      </c>
      <c r="F1572" t="inlineStr">
        <is>
          <t>GÄVLEBORGS LÄN</t>
        </is>
      </c>
      <c r="G1572" t="inlineStr">
        <is>
          <t>BOLLNÄS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46029</v>
      </c>
      <c r="E1573" s="1" t="n">
        <v>46256</v>
      </c>
      <c r="F1573" t="inlineStr">
        <is>
          <t>GÄVLEBORGS LÄN</t>
        </is>
      </c>
      <c r="G1573" t="inlineStr">
        <is>
          <t>BOLLNÄS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30916-2026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46213</v>
      </c>
      <c r="E1574" s="1" t="n">
        <v>46256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15826-2026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46107</v>
      </c>
      <c r="E1575" s="1" t="n">
        <v>46256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20222-2026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46139</v>
      </c>
      <c r="E1576" s="1" t="n">
        <v>46256</v>
      </c>
      <c r="F1576" t="inlineStr">
        <is>
          <t>GÄVLEBORGS LÄN</t>
        </is>
      </c>
      <c r="G1576" t="inlineStr">
        <is>
          <t>BOLLNÄS</t>
        </is>
      </c>
      <c r="I1576" t="n">
        <v>18.3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16936-2026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46113</v>
      </c>
      <c r="E1577" s="1" t="n">
        <v>46256</v>
      </c>
      <c r="F1577" t="inlineStr">
        <is>
          <t>GÄVLEBORGS LÄN</t>
        </is>
      </c>
      <c r="G1577" t="inlineStr">
        <is>
          <t>BOLLNÄS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2297-2024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45310</v>
      </c>
      <c r="E1578" s="1" t="n">
        <v>46256</v>
      </c>
      <c r="F1578" t="inlineStr">
        <is>
          <t>GÄVLEBORGS LÄN</t>
        </is>
      </c>
      <c r="G1578" t="inlineStr">
        <is>
          <t>BOLLNÄS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30653-2026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46211</v>
      </c>
      <c r="E1579" s="1" t="n">
        <v>46256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13808-2026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46098</v>
      </c>
      <c r="E1580" s="1" t="n">
        <v>46256</v>
      </c>
      <c r="F1580" t="inlineStr">
        <is>
          <t>GÄVLEBORGS LÄN</t>
        </is>
      </c>
      <c r="G1580" t="inlineStr">
        <is>
          <t>BOLLNÄS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825-2026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46030</v>
      </c>
      <c r="E1581" s="1" t="n">
        <v>46256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20186-2026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46139</v>
      </c>
      <c r="E1582" s="1" t="n">
        <v>46256</v>
      </c>
      <c r="F1582" t="inlineStr">
        <is>
          <t>GÄVLEBORGS LÄN</t>
        </is>
      </c>
      <c r="G1582" t="inlineStr">
        <is>
          <t>BOLLNÄS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6783-2026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46057</v>
      </c>
      <c r="E1583" s="1" t="n">
        <v>46256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46036</v>
      </c>
      <c r="E1584" s="1" t="n">
        <v>46256</v>
      </c>
      <c r="F1584" t="inlineStr">
        <is>
          <t>GÄVLEBORGS LÄN</t>
        </is>
      </c>
      <c r="G1584" t="inlineStr">
        <is>
          <t>BOLLNÄS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23118-2024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45450</v>
      </c>
      <c r="E1585" s="1" t="n">
        <v>46256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20176-2026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46139</v>
      </c>
      <c r="E1586" s="1" t="n">
        <v>46256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Kyrkan</t>
        </is>
      </c>
      <c r="I1586" t="n">
        <v>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46034</v>
      </c>
      <c r="E1587" s="1" t="n">
        <v>46256</v>
      </c>
      <c r="F1587" t="inlineStr">
        <is>
          <t>GÄVLEBORGS LÄN</t>
        </is>
      </c>
      <c r="G1587" t="inlineStr">
        <is>
          <t>BOLLNÄS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30828-2026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46212</v>
      </c>
      <c r="E1588" s="1" t="n">
        <v>46256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34330-2026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46254</v>
      </c>
      <c r="E1589" s="1" t="n">
        <v>46256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20284-2025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45774</v>
      </c>
      <c r="E1590" s="1" t="n">
        <v>46256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60743-2024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45644</v>
      </c>
      <c r="E1591" s="1" t="n">
        <v>46256</v>
      </c>
      <c r="F1591" t="inlineStr">
        <is>
          <t>GÄVLEBORGS LÄN</t>
        </is>
      </c>
      <c r="G1591" t="inlineStr">
        <is>
          <t>BOLLNÄS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10021-2025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45719</v>
      </c>
      <c r="E1592" s="1" t="n">
        <v>46256</v>
      </c>
      <c r="F1592" t="inlineStr">
        <is>
          <t>GÄVLEBORGS LÄN</t>
        </is>
      </c>
      <c r="G1592" t="inlineStr">
        <is>
          <t>BOLLNÄS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59636-2024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45639</v>
      </c>
      <c r="E1593" s="1" t="n">
        <v>46256</v>
      </c>
      <c r="F1593" t="inlineStr">
        <is>
          <t>GÄVLEBORGS LÄN</t>
        </is>
      </c>
      <c r="G1593" t="inlineStr">
        <is>
          <t>BOLLNÄS</t>
        </is>
      </c>
      <c r="I1593" t="n">
        <v>1.9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4300-2026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46045</v>
      </c>
      <c r="E1594" s="1" t="n">
        <v>46256</v>
      </c>
      <c r="F1594" t="inlineStr">
        <is>
          <t>GÄVLEBORGS LÄN</t>
        </is>
      </c>
      <c r="G1594" t="inlineStr">
        <is>
          <t>BOLLNÄS</t>
        </is>
      </c>
      <c r="I1594" t="n">
        <v>8.699999999999999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9873-2026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46256</v>
      </c>
      <c r="F1595" t="inlineStr">
        <is>
          <t>GÄVLEBORGS LÄN</t>
        </is>
      </c>
      <c r="G1595" t="inlineStr">
        <is>
          <t>BOLLNÄS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44177-2022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44839</v>
      </c>
      <c r="E1596" s="1" t="n">
        <v>46256</v>
      </c>
      <c r="F1596" t="inlineStr">
        <is>
          <t>GÄVLEBORGS LÄN</t>
        </is>
      </c>
      <c r="G1596" t="inlineStr">
        <is>
          <t>BOLLNÄS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34580-2026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46255</v>
      </c>
      <c r="E1597" s="1" t="n">
        <v>46256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36594-2023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45153</v>
      </c>
      <c r="E1598" s="1" t="n">
        <v>46256</v>
      </c>
      <c r="F1598" t="inlineStr">
        <is>
          <t>GÄVLEBORGS LÄN</t>
        </is>
      </c>
      <c r="G1598" t="inlineStr">
        <is>
          <t>BOLLNÄS</t>
        </is>
      </c>
      <c r="I1598" t="n">
        <v>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35941-2022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44802</v>
      </c>
      <c r="E1599" s="1" t="n">
        <v>46256</v>
      </c>
      <c r="F1599" t="inlineStr">
        <is>
          <t>GÄVLEBORGS LÄN</t>
        </is>
      </c>
      <c r="G1599" t="inlineStr">
        <is>
          <t>BOLLNÄS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16944-2026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46113</v>
      </c>
      <c r="E1600" s="1" t="n">
        <v>46256</v>
      </c>
      <c r="F1600" t="inlineStr">
        <is>
          <t>GÄVLEBORGS LÄN</t>
        </is>
      </c>
      <c r="G1600" t="inlineStr">
        <is>
          <t>BOLLNÄS</t>
        </is>
      </c>
      <c r="I1600" t="n">
        <v>5.3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30776-2026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46212</v>
      </c>
      <c r="E1601" s="1" t="n">
        <v>46256</v>
      </c>
      <c r="F1601" t="inlineStr">
        <is>
          <t>GÄVLEBORGS LÄN</t>
        </is>
      </c>
      <c r="G1601" t="inlineStr">
        <is>
          <t>BOLLNÄS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30786-2026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46212</v>
      </c>
      <c r="E1602" s="1" t="n">
        <v>46256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26246-2024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45468</v>
      </c>
      <c r="E1603" s="1" t="n">
        <v>46256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6479-2026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46056</v>
      </c>
      <c r="E1604" s="1" t="n">
        <v>46256</v>
      </c>
      <c r="F1604" t="inlineStr">
        <is>
          <t>GÄVLEBORGS LÄN</t>
        </is>
      </c>
      <c r="G1604" t="inlineStr">
        <is>
          <t>BOLLNÄS</t>
        </is>
      </c>
      <c r="I1604" t="n">
        <v>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10118-2024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45364</v>
      </c>
      <c r="E1605" s="1" t="n">
        <v>46256</v>
      </c>
      <c r="F1605" t="inlineStr">
        <is>
          <t>GÄVLEBORGS LÄN</t>
        </is>
      </c>
      <c r="G1605" t="inlineStr">
        <is>
          <t>BOLLNÄS</t>
        </is>
      </c>
      <c r="I1605" t="n">
        <v>0.3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10119-2024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45364</v>
      </c>
      <c r="E1606" s="1" t="n">
        <v>46256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20264-2026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46139</v>
      </c>
      <c r="E1607" s="1" t="n">
        <v>46256</v>
      </c>
      <c r="F1607" t="inlineStr">
        <is>
          <t>GÄVLEBORGS LÄN</t>
        </is>
      </c>
      <c r="G1607" t="inlineStr">
        <is>
          <t>BOLLNÄS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63936-2025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46020</v>
      </c>
      <c r="E1608" s="1" t="n">
        <v>46256</v>
      </c>
      <c r="F1608" t="inlineStr">
        <is>
          <t>GÄVLEBORGS LÄN</t>
        </is>
      </c>
      <c r="G1608" t="inlineStr">
        <is>
          <t>BOLLNÄS</t>
        </is>
      </c>
      <c r="I1608" t="n">
        <v>48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6782-2026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46057</v>
      </c>
      <c r="E1609" s="1" t="n">
        <v>46256</v>
      </c>
      <c r="F1609" t="inlineStr">
        <is>
          <t>GÄVLEBORGS LÄN</t>
        </is>
      </c>
      <c r="G1609" t="inlineStr">
        <is>
          <t>BOLLNÄS</t>
        </is>
      </c>
      <c r="I1609" t="n">
        <v>4.1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64043-2025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46021</v>
      </c>
      <c r="E1610" s="1" t="n">
        <v>46256</v>
      </c>
      <c r="F1610" t="inlineStr">
        <is>
          <t>GÄVLEBORGS LÄN</t>
        </is>
      </c>
      <c r="G1610" t="inlineStr">
        <is>
          <t>BOLLNÄS</t>
        </is>
      </c>
      <c r="I1610" t="n">
        <v>17.6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20611-2026</t>
        </is>
      </c>
      <c r="B1611" t="inlineStr">
        <is>
          <t>avverkningsanmälan</t>
        </is>
      </c>
      <c r="C1611" t="inlineStr">
        <is>
          <t>Avverkning för att bevara och utveckla /försöksver</t>
        </is>
      </c>
      <c r="D1611" s="1" t="n">
        <v>46140</v>
      </c>
      <c r="E1611" s="1" t="n">
        <v>46256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14870-2026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46104</v>
      </c>
      <c r="E1612" s="1" t="n">
        <v>46256</v>
      </c>
      <c r="F1612" t="inlineStr">
        <is>
          <t>GÄVLEBORGS LÄN</t>
        </is>
      </c>
      <c r="G1612" t="inlineStr">
        <is>
          <t>BOLLNÄS</t>
        </is>
      </c>
      <c r="I1612" t="n">
        <v>5.8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8268-2026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46064</v>
      </c>
      <c r="E1613" s="1" t="n">
        <v>46256</v>
      </c>
      <c r="F1613" t="inlineStr">
        <is>
          <t>GÄVLEBORGS LÄN</t>
        </is>
      </c>
      <c r="G1613" t="inlineStr">
        <is>
          <t>BOLLNÄS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46256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46256</v>
      </c>
      <c r="F1615" t="inlineStr">
        <is>
          <t>GÄVLEBORGS LÄN</t>
        </is>
      </c>
      <c r="G1615" t="inlineStr">
        <is>
          <t>BOLLNÄS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13613-2026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46097</v>
      </c>
      <c r="E1616" s="1" t="n">
        <v>46256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Kyrkan</t>
        </is>
      </c>
      <c r="I1616" t="n">
        <v>7.1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14371-2026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46100</v>
      </c>
      <c r="E1617" s="1" t="n">
        <v>46256</v>
      </c>
      <c r="F1617" t="inlineStr">
        <is>
          <t>GÄVLEBORGS LÄN</t>
        </is>
      </c>
      <c r="G1617" t="inlineStr">
        <is>
          <t>BOLLNÄS</t>
        </is>
      </c>
      <c r="I1617" t="n">
        <v>22.8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2345-2024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45310</v>
      </c>
      <c r="E1618" s="1" t="n">
        <v>46256</v>
      </c>
      <c r="F1618" t="inlineStr">
        <is>
          <t>GÄVLEBORGS LÄN</t>
        </is>
      </c>
      <c r="G1618" t="inlineStr">
        <is>
          <t>BOLLNÄS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46724-2024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45583</v>
      </c>
      <c r="E1619" s="1" t="n">
        <v>46256</v>
      </c>
      <c r="F1619" t="inlineStr">
        <is>
          <t>GÄVLEBORGS LÄN</t>
        </is>
      </c>
      <c r="G1619" t="inlineStr">
        <is>
          <t>BOLLNÄS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46739-2024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45583</v>
      </c>
      <c r="E1620" s="1" t="n">
        <v>46256</v>
      </c>
      <c r="F1620" t="inlineStr">
        <is>
          <t>GÄVLEBORGS LÄN</t>
        </is>
      </c>
      <c r="G1620" t="inlineStr">
        <is>
          <t>BOLLNÄS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11293-2026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46256</v>
      </c>
      <c r="F1621" t="inlineStr">
        <is>
          <t>GÄVLEBORGS LÄN</t>
        </is>
      </c>
      <c r="G1621" t="inlineStr">
        <is>
          <t>BOLLNÄS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46254</v>
      </c>
      <c r="E1622" s="1" t="n">
        <v>46256</v>
      </c>
      <c r="F1622" t="inlineStr">
        <is>
          <t>GÄVLEBORGS LÄN</t>
        </is>
      </c>
      <c r="G1622" t="inlineStr">
        <is>
          <t>BOLLNÄS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30900-2026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46213</v>
      </c>
      <c r="E1623" s="1" t="n">
        <v>46256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4986-2026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46256</v>
      </c>
      <c r="F1624" t="inlineStr">
        <is>
          <t>GÄVLEBORGS LÄN</t>
        </is>
      </c>
      <c r="G1624" t="inlineStr">
        <is>
          <t>BOLLNÄS</t>
        </is>
      </c>
      <c r="I1624" t="n">
        <v>3.3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30763-2026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46212</v>
      </c>
      <c r="E1625" s="1" t="n">
        <v>46256</v>
      </c>
      <c r="F1625" t="inlineStr">
        <is>
          <t>GÄVLEBORGS LÄN</t>
        </is>
      </c>
      <c r="G1625" t="inlineStr">
        <is>
          <t>BOLLNÄS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6096-2026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46052</v>
      </c>
      <c r="E1626" s="1" t="n">
        <v>46256</v>
      </c>
      <c r="F1626" t="inlineStr">
        <is>
          <t>GÄVLEBORGS LÄN</t>
        </is>
      </c>
      <c r="G1626" t="inlineStr">
        <is>
          <t>BOLLNÄS</t>
        </is>
      </c>
      <c r="I1626" t="n">
        <v>16.8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30785-2026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46212</v>
      </c>
      <c r="E1627" s="1" t="n">
        <v>46256</v>
      </c>
      <c r="F1627" t="inlineStr">
        <is>
          <t>GÄVLEBORGS LÄN</t>
        </is>
      </c>
      <c r="G1627" t="inlineStr">
        <is>
          <t>BOLLNÄS</t>
        </is>
      </c>
      <c r="I1627" t="n">
        <v>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30788-2026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46212</v>
      </c>
      <c r="E1628" s="1" t="n">
        <v>46256</v>
      </c>
      <c r="F1628" t="inlineStr">
        <is>
          <t>GÄVLEBORGS LÄN</t>
        </is>
      </c>
      <c r="G1628" t="inlineStr">
        <is>
          <t>BOLLNÄS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46140</v>
      </c>
      <c r="E1629" s="1" t="n">
        <v>46256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8580-2026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46065</v>
      </c>
      <c r="E1630" s="1" t="n">
        <v>46256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7841-2026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46062</v>
      </c>
      <c r="E1631" s="1" t="n">
        <v>46256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6755-2024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45342</v>
      </c>
      <c r="E1632" s="1" t="n">
        <v>46256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3893-2026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46043</v>
      </c>
      <c r="E1633" s="1" t="n">
        <v>46256</v>
      </c>
      <c r="F1633" t="inlineStr">
        <is>
          <t>GÄVLEBORGS LÄN</t>
        </is>
      </c>
      <c r="G1633" t="inlineStr">
        <is>
          <t>BOLLNÄS</t>
        </is>
      </c>
      <c r="I1633" t="n">
        <v>5.4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11545-2026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46084</v>
      </c>
      <c r="E1634" s="1" t="n">
        <v>46256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9254-2026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46070</v>
      </c>
      <c r="E1635" s="1" t="n">
        <v>46256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20038-2026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46136</v>
      </c>
      <c r="E1636" s="1" t="n">
        <v>46256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30647-2026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46211</v>
      </c>
      <c r="E1637" s="1" t="n">
        <v>46256</v>
      </c>
      <c r="F1637" t="inlineStr">
        <is>
          <t>GÄVLEBORGS LÄN</t>
        </is>
      </c>
      <c r="G1637" t="inlineStr">
        <is>
          <t>BOLLNÄS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13150-2026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46093</v>
      </c>
      <c r="E1638" s="1" t="n">
        <v>46256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Sveaskog</t>
        </is>
      </c>
      <c r="I1638" t="n">
        <v>7.1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30764-2026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46256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46256</v>
      </c>
      <c r="F1640" t="inlineStr">
        <is>
          <t>GÄVLEBORGS LÄN</t>
        </is>
      </c>
      <c r="G1640" t="inlineStr">
        <is>
          <t>BOLLNÄS</t>
        </is>
      </c>
      <c r="I1640" t="n">
        <v>2.7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30777-2026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46256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30787-2026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46212</v>
      </c>
      <c r="E1642" s="1" t="n">
        <v>46256</v>
      </c>
      <c r="F1642" t="inlineStr">
        <is>
          <t>GÄVLEBORGS LÄN</t>
        </is>
      </c>
      <c r="G1642" t="inlineStr">
        <is>
          <t>BOLLNÄS</t>
        </is>
      </c>
      <c r="I1642" t="n">
        <v>3.7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5178-2026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46049</v>
      </c>
      <c r="E1643" s="1" t="n">
        <v>46256</v>
      </c>
      <c r="F1643" t="inlineStr">
        <is>
          <t>GÄVLEBORGS LÄN</t>
        </is>
      </c>
      <c r="G1643" t="inlineStr">
        <is>
          <t>BOLLNÄS</t>
        </is>
      </c>
      <c r="I1643" t="n">
        <v>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14611-2026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46101</v>
      </c>
      <c r="E1644" s="1" t="n">
        <v>46256</v>
      </c>
      <c r="F1644" t="inlineStr">
        <is>
          <t>GÄVLEBORGS LÄN</t>
        </is>
      </c>
      <c r="G1644" t="inlineStr">
        <is>
          <t>BOLLNÄS</t>
        </is>
      </c>
      <c r="I1644" t="n">
        <v>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13296-2026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46094</v>
      </c>
      <c r="E1645" s="1" t="n">
        <v>46256</v>
      </c>
      <c r="F1645" t="inlineStr">
        <is>
          <t>GÄVLEBORGS LÄN</t>
        </is>
      </c>
      <c r="G1645" t="inlineStr">
        <is>
          <t>BOLLNÄS</t>
        </is>
      </c>
      <c r="I1645" t="n">
        <v>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5551-2026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46050</v>
      </c>
      <c r="E1646" s="1" t="n">
        <v>46256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Kyrkan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4500-2026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46045</v>
      </c>
      <c r="E1647" s="1" t="n">
        <v>46256</v>
      </c>
      <c r="F1647" t="inlineStr">
        <is>
          <t>GÄVLEBORGS LÄN</t>
        </is>
      </c>
      <c r="G1647" t="inlineStr">
        <is>
          <t>BOLLNÄS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10225-2026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46076</v>
      </c>
      <c r="E1648" s="1" t="n">
        <v>46256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10228-2026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46076</v>
      </c>
      <c r="E1649" s="1" t="n">
        <v>46256</v>
      </c>
      <c r="F1649" t="inlineStr">
        <is>
          <t>GÄVLEBORGS LÄN</t>
        </is>
      </c>
      <c r="G1649" t="inlineStr">
        <is>
          <t>BOLLNÄS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4458-2026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46045</v>
      </c>
      <c r="E1650" s="1" t="n">
        <v>46256</v>
      </c>
      <c r="F1650" t="inlineStr">
        <is>
          <t>GÄVLEBORGS LÄN</t>
        </is>
      </c>
      <c r="G1650" t="inlineStr">
        <is>
          <t>BOLLNÄS</t>
        </is>
      </c>
      <c r="I1650" t="n">
        <v>4.6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10394-2026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46077</v>
      </c>
      <c r="E1651" s="1" t="n">
        <v>46256</v>
      </c>
      <c r="F1651" t="inlineStr">
        <is>
          <t>GÄVLEBORGS LÄN</t>
        </is>
      </c>
      <c r="G1651" t="inlineStr">
        <is>
          <t>BOLLNÄS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3105-2026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46041</v>
      </c>
      <c r="E1652" s="1" t="n">
        <v>46256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46056</v>
      </c>
      <c r="E1653" s="1" t="n">
        <v>46256</v>
      </c>
      <c r="F1653" t="inlineStr">
        <is>
          <t>GÄVLEBORGS LÄN</t>
        </is>
      </c>
      <c r="G1653" t="inlineStr">
        <is>
          <t>BOLLNÄS</t>
        </is>
      </c>
      <c r="I1653" t="n">
        <v>5.3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6491-2026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46056</v>
      </c>
      <c r="E1654" s="1" t="n">
        <v>46256</v>
      </c>
      <c r="F1654" t="inlineStr">
        <is>
          <t>GÄVLEBORGS LÄN</t>
        </is>
      </c>
      <c r="G1654" t="inlineStr">
        <is>
          <t>BOLLNÄS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4960-2026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46049</v>
      </c>
      <c r="E1655" s="1" t="n">
        <v>46256</v>
      </c>
      <c r="F1655" t="inlineStr">
        <is>
          <t>GÄVLEBORGS LÄN</t>
        </is>
      </c>
      <c r="G1655" t="inlineStr">
        <is>
          <t>BOLLNÄS</t>
        </is>
      </c>
      <c r="I1655" t="n">
        <v>4.6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46048</v>
      </c>
      <c r="E1656" s="1" t="n">
        <v>46256</v>
      </c>
      <c r="F1656" t="inlineStr">
        <is>
          <t>GÄVLEBORGS LÄN</t>
        </is>
      </c>
      <c r="G1656" t="inlineStr">
        <is>
          <t>BOLLNÄS</t>
        </is>
      </c>
      <c r="I1656" t="n">
        <v>18.3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12945-2026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46092</v>
      </c>
      <c r="E1657" s="1" t="n">
        <v>46256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Sveaskog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20620-2026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46141</v>
      </c>
      <c r="E1658" s="1" t="n">
        <v>46256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20678-2026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46141</v>
      </c>
      <c r="E1659" s="1" t="n">
        <v>46256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20724-2026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46141</v>
      </c>
      <c r="E1660" s="1" t="n">
        <v>46256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Kyrkan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45639-2023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45194</v>
      </c>
      <c r="E1661" s="1" t="n">
        <v>46256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11519-2026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46256</v>
      </c>
      <c r="F1662" t="inlineStr">
        <is>
          <t>GÄVLEBORGS LÄN</t>
        </is>
      </c>
      <c r="G1662" t="inlineStr">
        <is>
          <t>BOLLNÄS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48308-2024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45590</v>
      </c>
      <c r="E1663" s="1" t="n">
        <v>46256</v>
      </c>
      <c r="F1663" t="inlineStr">
        <is>
          <t>GÄVLEBORGS LÄN</t>
        </is>
      </c>
      <c r="G1663" t="inlineStr">
        <is>
          <t>BOLLNÄS</t>
        </is>
      </c>
      <c r="I1663" t="n">
        <v>2.1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20485-2026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46140</v>
      </c>
      <c r="E1664" s="1" t="n">
        <v>46256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4828-2026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46048</v>
      </c>
      <c r="E1665" s="1" t="n">
        <v>46256</v>
      </c>
      <c r="F1665" t="inlineStr">
        <is>
          <t>GÄVLEBORGS LÄN</t>
        </is>
      </c>
      <c r="G1665" t="inlineStr">
        <is>
          <t>BOLLNÄS</t>
        </is>
      </c>
      <c r="I1665" t="n">
        <v>5.3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10824-2026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46078</v>
      </c>
      <c r="E1666" s="1" t="n">
        <v>46256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3898-2026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46043</v>
      </c>
      <c r="E1667" s="1" t="n">
        <v>46256</v>
      </c>
      <c r="F1667" t="inlineStr">
        <is>
          <t>GÄVLEBORGS LÄN</t>
        </is>
      </c>
      <c r="G1667" t="inlineStr">
        <is>
          <t>BOLLNÄS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20547-2026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46140</v>
      </c>
      <c r="E1668" s="1" t="n">
        <v>46256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46256</v>
      </c>
      <c r="F1669" t="inlineStr">
        <is>
          <t>GÄVLEBORGS LÄN</t>
        </is>
      </c>
      <c r="G1669" t="inlineStr">
        <is>
          <t>BOLLNÄS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20609-2026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46140</v>
      </c>
      <c r="E1670" s="1" t="n">
        <v>46256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12239-2026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46087</v>
      </c>
      <c r="E1671" s="1" t="n">
        <v>46256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14632-2026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46101</v>
      </c>
      <c r="E1672" s="1" t="n">
        <v>46256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46256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651-2026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46029</v>
      </c>
      <c r="E1674" s="1" t="n">
        <v>46256</v>
      </c>
      <c r="F1674" t="inlineStr">
        <is>
          <t>GÄVLEBORGS LÄN</t>
        </is>
      </c>
      <c r="G1674" t="inlineStr">
        <is>
          <t>BOLLNÄS</t>
        </is>
      </c>
      <c r="I1674" t="n">
        <v>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13238-2026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46093</v>
      </c>
      <c r="E1675" s="1" t="n">
        <v>46256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9495-2026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46071</v>
      </c>
      <c r="E1676" s="1" t="n">
        <v>46256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4295-2026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46045</v>
      </c>
      <c r="E1677" s="1" t="n">
        <v>46256</v>
      </c>
      <c r="F1677" t="inlineStr">
        <is>
          <t>GÄVLEBORGS LÄN</t>
        </is>
      </c>
      <c r="G1677" t="inlineStr">
        <is>
          <t>BOLLNÄS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2276-2026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46036</v>
      </c>
      <c r="E1678" s="1" t="n">
        <v>46256</v>
      </c>
      <c r="F1678" t="inlineStr">
        <is>
          <t>GÄVLEBORGS LÄN</t>
        </is>
      </c>
      <c r="G1678" t="inlineStr">
        <is>
          <t>BOLLNÄS</t>
        </is>
      </c>
      <c r="I1678" t="n">
        <v>6.2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11344-2026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46082</v>
      </c>
      <c r="E1679" s="1" t="n">
        <v>46256</v>
      </c>
      <c r="F1679" t="inlineStr">
        <is>
          <t>GÄVLEBORGS LÄN</t>
        </is>
      </c>
      <c r="G1679" t="inlineStr">
        <is>
          <t>BOLLNÄS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20422-2026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46140</v>
      </c>
      <c r="E1680" s="1" t="n">
        <v>46256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20426-2026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46140</v>
      </c>
      <c r="E1681" s="1" t="n">
        <v>46256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13041-2026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46093</v>
      </c>
      <c r="E1682" s="1" t="n">
        <v>46256</v>
      </c>
      <c r="F1682" t="inlineStr">
        <is>
          <t>GÄVLEBORGS LÄN</t>
        </is>
      </c>
      <c r="G1682" t="inlineStr">
        <is>
          <t>BOLLNÄS</t>
        </is>
      </c>
      <c r="I1682" t="n">
        <v>7.6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20531-2026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46140</v>
      </c>
      <c r="E1683" s="1" t="n">
        <v>46256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5.7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18151-2024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46256</v>
      </c>
      <c r="F1684" t="inlineStr">
        <is>
          <t>GÄVLEBORGS LÄN</t>
        </is>
      </c>
      <c r="G1684" t="inlineStr">
        <is>
          <t>BOLLNÄS</t>
        </is>
      </c>
      <c r="I1684" t="n">
        <v>7.2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8844-2026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46066</v>
      </c>
      <c r="E1685" s="1" t="n">
        <v>46256</v>
      </c>
      <c r="F1685" t="inlineStr">
        <is>
          <t>GÄVLEBORGS LÄN</t>
        </is>
      </c>
      <c r="G1685" t="inlineStr">
        <is>
          <t>BOLLNÄS</t>
        </is>
      </c>
      <c r="I1685" t="n">
        <v>3.3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9719-2026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46072</v>
      </c>
      <c r="E1686" s="1" t="n">
        <v>46256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6330-2026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46055</v>
      </c>
      <c r="E1687" s="1" t="n">
        <v>46256</v>
      </c>
      <c r="F1687" t="inlineStr">
        <is>
          <t>GÄVLEBORGS LÄN</t>
        </is>
      </c>
      <c r="G1687" t="inlineStr">
        <is>
          <t>BOLLNÄS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6457-2026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46056</v>
      </c>
      <c r="E1688" s="1" t="n">
        <v>46256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9801-2026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46072</v>
      </c>
      <c r="E1689" s="1" t="n">
        <v>46256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Sveaskog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4770-2026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46048</v>
      </c>
      <c r="E1690" s="1" t="n">
        <v>46256</v>
      </c>
      <c r="F1690" t="inlineStr">
        <is>
          <t>GÄVLEBORGS LÄN</t>
        </is>
      </c>
      <c r="G1690" t="inlineStr">
        <is>
          <t>BOLLNÄS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5653-2026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46051</v>
      </c>
      <c r="E1691" s="1" t="n">
        <v>46256</v>
      </c>
      <c r="F1691" t="inlineStr">
        <is>
          <t>GÄVLEBORGS LÄN</t>
        </is>
      </c>
      <c r="G1691" t="inlineStr">
        <is>
          <t>BOLLNÄS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27590-2023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45097</v>
      </c>
      <c r="E1692" s="1" t="n">
        <v>46256</v>
      </c>
      <c r="F1692" t="inlineStr">
        <is>
          <t>GÄVLEBORGS LÄN</t>
        </is>
      </c>
      <c r="G1692" t="inlineStr">
        <is>
          <t>BOLLNÄS</t>
        </is>
      </c>
      <c r="I1692" t="n">
        <v>3.8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8045-2026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46063</v>
      </c>
      <c r="E1693" s="1" t="n">
        <v>46256</v>
      </c>
      <c r="F1693" t="inlineStr">
        <is>
          <t>GÄVLEBORGS LÄN</t>
        </is>
      </c>
      <c r="G1693" t="inlineStr">
        <is>
          <t>BOLLNÄS</t>
        </is>
      </c>
      <c r="I1693" t="n">
        <v>25.1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15814-2026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46107</v>
      </c>
      <c r="E1694" s="1" t="n">
        <v>46256</v>
      </c>
      <c r="F1694" t="inlineStr">
        <is>
          <t>GÄVLEBORGS LÄN</t>
        </is>
      </c>
      <c r="G1694" t="inlineStr">
        <is>
          <t>BOLLNÄS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12659-2026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46091</v>
      </c>
      <c r="E1695" s="1" t="n">
        <v>46256</v>
      </c>
      <c r="F1695" t="inlineStr">
        <is>
          <t>GÄVLEBORGS LÄN</t>
        </is>
      </c>
      <c r="G1695" t="inlineStr">
        <is>
          <t>BOLLNÄS</t>
        </is>
      </c>
      <c r="I1695" t="n">
        <v>8.699999999999999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20827-2026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46141</v>
      </c>
      <c r="E1696" s="1" t="n">
        <v>46256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24551-2024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45460</v>
      </c>
      <c r="E1697" s="1" t="n">
        <v>46256</v>
      </c>
      <c r="F1697" t="inlineStr">
        <is>
          <t>GÄVLEBORGS LÄN</t>
        </is>
      </c>
      <c r="G1697" t="inlineStr">
        <is>
          <t>BOLLNÄS</t>
        </is>
      </c>
      <c r="I1697" t="n">
        <v>6.8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46256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6405-2026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46055</v>
      </c>
      <c r="E1699" s="1" t="n">
        <v>46256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9.699999999999999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14615-2026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46101</v>
      </c>
      <c r="E1700" s="1" t="n">
        <v>46256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15163-2026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46105</v>
      </c>
      <c r="E1701" s="1" t="n">
        <v>46256</v>
      </c>
      <c r="F1701" t="inlineStr">
        <is>
          <t>GÄVLEBORGS LÄN</t>
        </is>
      </c>
      <c r="G1701" t="inlineStr">
        <is>
          <t>BOLLNÄS</t>
        </is>
      </c>
      <c r="I1701" t="n">
        <v>10.4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12643-2026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46091</v>
      </c>
      <c r="E1702" s="1" t="n">
        <v>46256</v>
      </c>
      <c r="F1702" t="inlineStr">
        <is>
          <t>GÄVLEBORGS LÄN</t>
        </is>
      </c>
      <c r="G1702" t="inlineStr">
        <is>
          <t>BOLLNÄS</t>
        </is>
      </c>
      <c r="I1702" t="n">
        <v>13.9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9216-2026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46070</v>
      </c>
      <c r="E1703" s="1" t="n">
        <v>46256</v>
      </c>
      <c r="F1703" t="inlineStr">
        <is>
          <t>GÄVLEBORGS LÄN</t>
        </is>
      </c>
      <c r="G1703" t="inlineStr">
        <is>
          <t>BOLLNÄS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19392-2026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46133</v>
      </c>
      <c r="E1704" s="1" t="n">
        <v>46256</v>
      </c>
      <c r="F1704" t="inlineStr">
        <is>
          <t>GÄVLEBORGS LÄN</t>
        </is>
      </c>
      <c r="G1704" t="inlineStr">
        <is>
          <t>BOLLNÄS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728-2026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46029</v>
      </c>
      <c r="E1705" s="1" t="n">
        <v>46256</v>
      </c>
      <c r="F1705" t="inlineStr">
        <is>
          <t>GÄVLEBORGS LÄN</t>
        </is>
      </c>
      <c r="G1705" t="inlineStr">
        <is>
          <t>BOLLNÄS</t>
        </is>
      </c>
      <c r="I1705" t="n">
        <v>12.9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31610-2024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45506</v>
      </c>
      <c r="E1706" s="1" t="n">
        <v>46256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Sveaskog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2910-2026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46038</v>
      </c>
      <c r="E1707" s="1" t="n">
        <v>46256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1389-2026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46031</v>
      </c>
      <c r="E1708" s="1" t="n">
        <v>46256</v>
      </c>
      <c r="F1708" t="inlineStr">
        <is>
          <t>GÄVLEBORGS LÄN</t>
        </is>
      </c>
      <c r="G1708" t="inlineStr">
        <is>
          <t>BOLLNÄS</t>
        </is>
      </c>
      <c r="I1708" t="n">
        <v>3.2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13862-2026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46098</v>
      </c>
      <c r="E1709" s="1" t="n">
        <v>46256</v>
      </c>
      <c r="F1709" t="inlineStr">
        <is>
          <t>GÄVLEBORGS LÄN</t>
        </is>
      </c>
      <c r="G1709" t="inlineStr">
        <is>
          <t>BOLLNÄS</t>
        </is>
      </c>
      <c r="I1709" t="n">
        <v>2.5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5996-2026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46052</v>
      </c>
      <c r="E1710" s="1" t="n">
        <v>46256</v>
      </c>
      <c r="F1710" t="inlineStr">
        <is>
          <t>GÄVLEBORGS LÄN</t>
        </is>
      </c>
      <c r="G1710" t="inlineStr">
        <is>
          <t>BOLLNÄS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20828-2026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46141</v>
      </c>
      <c r="E1711" s="1" t="n">
        <v>46256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5072-2026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46049</v>
      </c>
      <c r="E1712" s="1" t="n">
        <v>46256</v>
      </c>
      <c r="F1712" t="inlineStr">
        <is>
          <t>GÄVLEBORGS LÄN</t>
        </is>
      </c>
      <c r="G1712" t="inlineStr">
        <is>
          <t>BOLLNÄS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46052</v>
      </c>
      <c r="E1713" s="1" t="n">
        <v>46256</v>
      </c>
      <c r="F1713" t="inlineStr">
        <is>
          <t>GÄVLEBORGS LÄN</t>
        </is>
      </c>
      <c r="G1713" t="inlineStr">
        <is>
          <t>BOLLNÄS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20726-2026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46141</v>
      </c>
      <c r="E1714" s="1" t="n">
        <v>46256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Kyrkan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46256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5355-2026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46050</v>
      </c>
      <c r="E1716" s="1" t="n">
        <v>46256</v>
      </c>
      <c r="F1716" t="inlineStr">
        <is>
          <t>GÄVLEBORGS LÄN</t>
        </is>
      </c>
      <c r="G1716" t="inlineStr">
        <is>
          <t>BOLLNÄS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9755-2026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46072</v>
      </c>
      <c r="E1717" s="1" t="n">
        <v>46256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Sveaskog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46038</v>
      </c>
      <c r="E1718" s="1" t="n">
        <v>46256</v>
      </c>
      <c r="F1718" t="inlineStr">
        <is>
          <t>GÄVLEBORGS LÄN</t>
        </is>
      </c>
      <c r="G1718" t="inlineStr">
        <is>
          <t>BOLLNÄS</t>
        </is>
      </c>
      <c r="I1718" t="n">
        <v>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8966-2026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46069</v>
      </c>
      <c r="E1719" s="1" t="n">
        <v>46256</v>
      </c>
      <c r="F1719" t="inlineStr">
        <is>
          <t>GÄVLEBORGS LÄN</t>
        </is>
      </c>
      <c r="G1719" t="inlineStr">
        <is>
          <t>BOLLNÄS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2513-2026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46037</v>
      </c>
      <c r="E1720" s="1" t="n">
        <v>46256</v>
      </c>
      <c r="F1720" t="inlineStr">
        <is>
          <t>GÄVLEBORGS LÄN</t>
        </is>
      </c>
      <c r="G1720" t="inlineStr">
        <is>
          <t>BOLLNÄS</t>
        </is>
      </c>
      <c r="I1720" t="n">
        <v>4.4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40453-2024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45555</v>
      </c>
      <c r="E1721" s="1" t="n">
        <v>46256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15514-2026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46106</v>
      </c>
      <c r="E1722" s="1" t="n">
        <v>46256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35071-2023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46256</v>
      </c>
      <c r="F1723" t="inlineStr">
        <is>
          <t>GÄVLEBORGS LÄN</t>
        </is>
      </c>
      <c r="G1723" t="inlineStr">
        <is>
          <t>BOLLNÄS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13625-2026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46097</v>
      </c>
      <c r="E1724" s="1" t="n">
        <v>46256</v>
      </c>
      <c r="F1724" t="inlineStr">
        <is>
          <t>GÄVLEBORGS LÄN</t>
        </is>
      </c>
      <c r="G1724" t="inlineStr">
        <is>
          <t>BOLLNÄS</t>
        </is>
      </c>
      <c r="I1724" t="n">
        <v>3.6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20413-2026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46140</v>
      </c>
      <c r="E1725" s="1" t="n">
        <v>46256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46027</v>
      </c>
      <c r="E1726" s="1" t="n">
        <v>46256</v>
      </c>
      <c r="F1726" t="inlineStr">
        <is>
          <t>GÄVLEBORGS LÄN</t>
        </is>
      </c>
      <c r="G1726" t="inlineStr">
        <is>
          <t>BOLLNÄS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20767-2026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46141</v>
      </c>
      <c r="E1727" s="1" t="n">
        <v>46256</v>
      </c>
      <c r="F1727" t="inlineStr">
        <is>
          <t>GÄVLEBORGS LÄN</t>
        </is>
      </c>
      <c r="G1727" t="inlineStr">
        <is>
          <t>BOLLNÄS</t>
        </is>
      </c>
      <c r="I1727" t="n">
        <v>3.2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20770-2026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46141</v>
      </c>
      <c r="E1728" s="1" t="n">
        <v>46256</v>
      </c>
      <c r="F1728" t="inlineStr">
        <is>
          <t>GÄVLEBORGS LÄN</t>
        </is>
      </c>
      <c r="G1728" t="inlineStr">
        <is>
          <t>BOLLNÄS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12372-2026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46090</v>
      </c>
      <c r="E1729" s="1" t="n">
        <v>46256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11139-2026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46079</v>
      </c>
      <c r="E1730" s="1" t="n">
        <v>46256</v>
      </c>
      <c r="F1730" t="inlineStr">
        <is>
          <t>GÄVLEBORGS LÄN</t>
        </is>
      </c>
      <c r="G1730" t="inlineStr">
        <is>
          <t>BOLLNÄS</t>
        </is>
      </c>
      <c r="I1730" t="n">
        <v>3.9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20447-2026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46140</v>
      </c>
      <c r="E1731" s="1" t="n">
        <v>46256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8148-2026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46064</v>
      </c>
      <c r="E1732" s="1" t="n">
        <v>46256</v>
      </c>
      <c r="F1732" t="inlineStr">
        <is>
          <t>GÄVLEBORGS LÄN</t>
        </is>
      </c>
      <c r="G1732" t="inlineStr">
        <is>
          <t>BOLLNÄS</t>
        </is>
      </c>
      <c r="I1732" t="n">
        <v>23.9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8185-2026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46064</v>
      </c>
      <c r="E1733" s="1" t="n">
        <v>46256</v>
      </c>
      <c r="F1733" t="inlineStr">
        <is>
          <t>GÄVLEBORGS LÄN</t>
        </is>
      </c>
      <c r="G1733" t="inlineStr">
        <is>
          <t>BOLLNÄS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13914-2026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46098</v>
      </c>
      <c r="E1734" s="1" t="n">
        <v>46256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12014-2026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46085</v>
      </c>
      <c r="E1735" s="1" t="n">
        <v>46256</v>
      </c>
      <c r="F1735" t="inlineStr">
        <is>
          <t>GÄVLEBORGS LÄN</t>
        </is>
      </c>
      <c r="G1735" t="inlineStr">
        <is>
          <t>BOLLNÄS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12142-2026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46086</v>
      </c>
      <c r="E1736" s="1" t="n">
        <v>46256</v>
      </c>
      <c r="F1736" t="inlineStr">
        <is>
          <t>GÄVLEBORGS LÄN</t>
        </is>
      </c>
      <c r="G1736" t="inlineStr">
        <is>
          <t>BOLLNÄS</t>
        </is>
      </c>
      <c r="I1736" t="n">
        <v>3.5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8938-2026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46069</v>
      </c>
      <c r="E1737" s="1" t="n">
        <v>46256</v>
      </c>
      <c r="F1737" t="inlineStr">
        <is>
          <t>GÄVLEBORGS LÄN</t>
        </is>
      </c>
      <c r="G1737" t="inlineStr">
        <is>
          <t>BOLLNÄS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9731-2026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46072</v>
      </c>
      <c r="E1738" s="1" t="n">
        <v>46256</v>
      </c>
      <c r="F1738" t="inlineStr">
        <is>
          <t>GÄVLEBORGS LÄN</t>
        </is>
      </c>
      <c r="G1738" t="inlineStr">
        <is>
          <t>BOLLNÄS</t>
        </is>
      </c>
      <c r="I1738" t="n">
        <v>13.7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10978-2026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46079</v>
      </c>
      <c r="E1739" s="1" t="n">
        <v>46256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46024</v>
      </c>
      <c r="E1740" s="1" t="n">
        <v>46256</v>
      </c>
      <c r="F1740" t="inlineStr">
        <is>
          <t>GÄVLEBORGS LÄN</t>
        </is>
      </c>
      <c r="G1740" t="inlineStr">
        <is>
          <t>BOLLNÄS</t>
        </is>
      </c>
      <c r="I1740" t="n">
        <v>3.4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20486-2026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46140</v>
      </c>
      <c r="E1741" s="1" t="n">
        <v>46256</v>
      </c>
      <c r="F1741" t="inlineStr">
        <is>
          <t>GÄVLEBORGS LÄN</t>
        </is>
      </c>
      <c r="G1741" t="inlineStr">
        <is>
          <t>BOLLNÄS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10727-2026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46078</v>
      </c>
      <c r="E1742" s="1" t="n">
        <v>46256</v>
      </c>
      <c r="F1742" t="inlineStr">
        <is>
          <t>GÄVLEBORGS LÄN</t>
        </is>
      </c>
      <c r="G1742" t="inlineStr">
        <is>
          <t>BOLLNÄS</t>
        </is>
      </c>
      <c r="I1742" t="n">
        <v>3.6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15374-2026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46106</v>
      </c>
      <c r="E1743" s="1" t="n">
        <v>46256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Kyrkan</t>
        </is>
      </c>
      <c r="I1743" t="n">
        <v>4.7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46106</v>
      </c>
      <c r="E1744" s="1" t="n">
        <v>46256</v>
      </c>
      <c r="F1744" t="inlineStr">
        <is>
          <t>GÄVLEBORGS LÄN</t>
        </is>
      </c>
      <c r="G1744" t="inlineStr">
        <is>
          <t>BOLLNÄS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6833-2023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44967</v>
      </c>
      <c r="E1745" s="1" t="n">
        <v>46256</v>
      </c>
      <c r="F1745" t="inlineStr">
        <is>
          <t>GÄVLEBORGS LÄN</t>
        </is>
      </c>
      <c r="G1745" t="inlineStr">
        <is>
          <t>BOLLNÄS</t>
        </is>
      </c>
      <c r="I1745" t="n">
        <v>11.1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2292-2026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46036</v>
      </c>
      <c r="E1746" s="1" t="n">
        <v>46256</v>
      </c>
      <c r="F1746" t="inlineStr">
        <is>
          <t>GÄVLEBORGS LÄN</t>
        </is>
      </c>
      <c r="G1746" t="inlineStr">
        <is>
          <t>BOLLNÄS</t>
        </is>
      </c>
      <c r="I1746" t="n">
        <v>13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42643-2024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45566</v>
      </c>
      <c r="E1747" s="1" t="n">
        <v>46256</v>
      </c>
      <c r="F1747" t="inlineStr">
        <is>
          <t>GÄVLEBORGS LÄN</t>
        </is>
      </c>
      <c r="G1747" t="inlineStr">
        <is>
          <t>BOLLNÄS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42644-2024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45566</v>
      </c>
      <c r="E1748" s="1" t="n">
        <v>46256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11546-2026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46084</v>
      </c>
      <c r="E1749" s="1" t="n">
        <v>46256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20032-2026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46136</v>
      </c>
      <c r="E1750" s="1" t="n">
        <v>46256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öst AB</t>
        </is>
      </c>
      <c r="I1750" t="n">
        <v>20.5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46256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20963-2026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46142</v>
      </c>
      <c r="E1752" s="1" t="n">
        <v>46256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54209-2023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45232</v>
      </c>
      <c r="E1753" s="1" t="n">
        <v>46256</v>
      </c>
      <c r="F1753" t="inlineStr">
        <is>
          <t>GÄVLEBORGS LÄN</t>
        </is>
      </c>
      <c r="G1753" t="inlineStr">
        <is>
          <t>BOLLNÄS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20865-2026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46142</v>
      </c>
      <c r="E1754" s="1" t="n">
        <v>46256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20869-2026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46142</v>
      </c>
      <c r="E1755" s="1" t="n">
        <v>46256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20872-2026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46142</v>
      </c>
      <c r="E1756" s="1" t="n">
        <v>46256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20878-2026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46142</v>
      </c>
      <c r="E1757" s="1" t="n">
        <v>46256</v>
      </c>
      <c r="F1757" t="inlineStr">
        <is>
          <t>GÄVLEBORGS LÄN</t>
        </is>
      </c>
      <c r="G1757" t="inlineStr">
        <is>
          <t>BOLLNÄS</t>
        </is>
      </c>
      <c r="I1757" t="n">
        <v>4.3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20762-2026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46141</v>
      </c>
      <c r="E1758" s="1" t="n">
        <v>46256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20731-2026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46141</v>
      </c>
      <c r="E1759" s="1" t="n">
        <v>46256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Kyrkan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13327-2026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46094</v>
      </c>
      <c r="E1760" s="1" t="n">
        <v>46256</v>
      </c>
      <c r="F1760" t="inlineStr">
        <is>
          <t>GÄVLEBORGS LÄN</t>
        </is>
      </c>
      <c r="G1760" t="inlineStr">
        <is>
          <t>BOLLNÄS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20859-2026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46142</v>
      </c>
      <c r="E1761" s="1" t="n">
        <v>46256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20060-2026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46136</v>
      </c>
      <c r="E1762" s="1" t="n">
        <v>46256</v>
      </c>
      <c r="F1762" t="inlineStr">
        <is>
          <t>GÄVLEBORGS LÄN</t>
        </is>
      </c>
      <c r="G1762" t="inlineStr">
        <is>
          <t>BOLLNÄS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20868-2026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46142</v>
      </c>
      <c r="E1763" s="1" t="n">
        <v>46256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2993-2026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46256</v>
      </c>
      <c r="F1764" t="inlineStr">
        <is>
          <t>GÄVLEBORGS LÄN</t>
        </is>
      </c>
      <c r="G1764" t="inlineStr">
        <is>
          <t>BOLLNÄS</t>
        </is>
      </c>
      <c r="I1764" t="n">
        <v>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36607-2023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45153</v>
      </c>
      <c r="E1765" s="1" t="n">
        <v>46256</v>
      </c>
      <c r="F1765" t="inlineStr">
        <is>
          <t>GÄVLEBORGS LÄN</t>
        </is>
      </c>
      <c r="G1765" t="inlineStr">
        <is>
          <t>BOLLNÄS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2807-2026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46038</v>
      </c>
      <c r="E1766" s="1" t="n">
        <v>46256</v>
      </c>
      <c r="F1766" t="inlineStr">
        <is>
          <t>GÄVLEBORGS LÄN</t>
        </is>
      </c>
      <c r="G1766" t="inlineStr">
        <is>
          <t>BOLLNÄS</t>
        </is>
      </c>
      <c r="I1766" t="n">
        <v>5.4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26304-2022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44735</v>
      </c>
      <c r="E1767" s="1" t="n">
        <v>46256</v>
      </c>
      <c r="F1767" t="inlineStr">
        <is>
          <t>GÄVLEBORGS LÄN</t>
        </is>
      </c>
      <c r="G1767" t="inlineStr">
        <is>
          <t>BOLLNÄS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21040-2026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46146</v>
      </c>
      <c r="E1768" s="1" t="n">
        <v>46256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12607-2026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46091</v>
      </c>
      <c r="E1769" s="1" t="n">
        <v>46256</v>
      </c>
      <c r="F1769" t="inlineStr">
        <is>
          <t>GÄVLEBORGS LÄN</t>
        </is>
      </c>
      <c r="G1769" t="inlineStr">
        <is>
          <t>BOLLNÄS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21038-2026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46146</v>
      </c>
      <c r="E1770" s="1" t="n">
        <v>46256</v>
      </c>
      <c r="F1770" t="inlineStr">
        <is>
          <t>GÄVLEBORGS LÄN</t>
        </is>
      </c>
      <c r="G1770" t="inlineStr">
        <is>
          <t>BOLLNÄS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21101-2026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46146</v>
      </c>
      <c r="E1771" s="1" t="n">
        <v>46256</v>
      </c>
      <c r="F1771" t="inlineStr">
        <is>
          <t>GÄVLEBORGS LÄN</t>
        </is>
      </c>
      <c r="G1771" t="inlineStr">
        <is>
          <t>BOLLNÄS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21036-2026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46146</v>
      </c>
      <c r="E1772" s="1" t="n">
        <v>46256</v>
      </c>
      <c r="F1772" t="inlineStr">
        <is>
          <t>GÄVLEBORGS LÄN</t>
        </is>
      </c>
      <c r="G1772" t="inlineStr">
        <is>
          <t>BOLLNÄS</t>
        </is>
      </c>
      <c r="I1772" t="n">
        <v>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46055</v>
      </c>
      <c r="E1773" s="1" t="n">
        <v>46256</v>
      </c>
      <c r="F1773" t="inlineStr">
        <is>
          <t>GÄVLEBORGS LÄN</t>
        </is>
      </c>
      <c r="G1773" t="inlineStr">
        <is>
          <t>BOLLNÄS</t>
        </is>
      </c>
      <c r="I1773" t="n">
        <v>3.8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21133-2026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46146</v>
      </c>
      <c r="E1774" s="1" t="n">
        <v>46256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21241-2026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46147</v>
      </c>
      <c r="E1775" s="1" t="n">
        <v>46256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21242-2026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46147</v>
      </c>
      <c r="E1776" s="1" t="n">
        <v>46256</v>
      </c>
      <c r="F1776" t="inlineStr">
        <is>
          <t>GÄVLEBORGS LÄN</t>
        </is>
      </c>
      <c r="G1776" t="inlineStr">
        <is>
          <t>BOLLNÄS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2390-2026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46034</v>
      </c>
      <c r="E1777" s="1" t="n">
        <v>46256</v>
      </c>
      <c r="F1777" t="inlineStr">
        <is>
          <t>GÄVLEBORGS LÄN</t>
        </is>
      </c>
      <c r="G1777" t="inlineStr">
        <is>
          <t>BOLLNÄS</t>
        </is>
      </c>
      <c r="I1777" t="n">
        <v>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46037</v>
      </c>
      <c r="E1778" s="1" t="n">
        <v>46256</v>
      </c>
      <c r="F1778" t="inlineStr">
        <is>
          <t>GÄVLEBORGS LÄN</t>
        </is>
      </c>
      <c r="G1778" t="inlineStr">
        <is>
          <t>BOLLNÄS</t>
        </is>
      </c>
      <c r="I1778" t="n">
        <v>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21104-2026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46146</v>
      </c>
      <c r="E1779" s="1" t="n">
        <v>46256</v>
      </c>
      <c r="F1779" t="inlineStr">
        <is>
          <t>GÄVLEBORGS LÄN</t>
        </is>
      </c>
      <c r="G1779" t="inlineStr">
        <is>
          <t>BOLLNÄS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18334-2024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45422</v>
      </c>
      <c r="E1780" s="1" t="n">
        <v>46256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21309-2026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46147</v>
      </c>
      <c r="E1781" s="1" t="n">
        <v>46256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21313-2026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46147</v>
      </c>
      <c r="E1782" s="1" t="n">
        <v>46256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21299-2026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46147</v>
      </c>
      <c r="E1783" s="1" t="n">
        <v>46256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21300-2026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46147</v>
      </c>
      <c r="E1784" s="1" t="n">
        <v>46256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41730-2023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45176</v>
      </c>
      <c r="E1785" s="1" t="n">
        <v>46256</v>
      </c>
      <c r="F1785" t="inlineStr">
        <is>
          <t>GÄVLEBORGS LÄN</t>
        </is>
      </c>
      <c r="G1785" t="inlineStr">
        <is>
          <t>BOLLNÄS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14772-2026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46101</v>
      </c>
      <c r="E1786" s="1" t="n">
        <v>46256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Kommuner</t>
        </is>
      </c>
      <c r="I1786" t="n">
        <v>3.5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21517-2026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46148</v>
      </c>
      <c r="E1787" s="1" t="n">
        <v>46256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14262-2026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46099</v>
      </c>
      <c r="E1788" s="1" t="n">
        <v>46256</v>
      </c>
      <c r="F1788" t="inlineStr">
        <is>
          <t>GÄVLEBORGS LÄN</t>
        </is>
      </c>
      <c r="G1788" t="inlineStr">
        <is>
          <t>BOLLNÄS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21572-2026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46256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21691-2026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46149</v>
      </c>
      <c r="E1790" s="1" t="n">
        <v>46256</v>
      </c>
      <c r="F1790" t="inlineStr">
        <is>
          <t>GÄVLEBORGS LÄN</t>
        </is>
      </c>
      <c r="G1790" t="inlineStr">
        <is>
          <t>BOLLNÄS</t>
        </is>
      </c>
      <c r="I1790" t="n">
        <v>10.2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21715-2026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46149</v>
      </c>
      <c r="E1791" s="1" t="n">
        <v>46256</v>
      </c>
      <c r="F1791" t="inlineStr">
        <is>
          <t>GÄVLEBORGS LÄN</t>
        </is>
      </c>
      <c r="G1791" t="inlineStr">
        <is>
          <t>BOLLNÄS</t>
        </is>
      </c>
      <c r="I1791" t="n">
        <v>5.3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15654-2025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45748</v>
      </c>
      <c r="E1792" s="1" t="n">
        <v>46256</v>
      </c>
      <c r="F1792" t="inlineStr">
        <is>
          <t>GÄVLEBORGS LÄN</t>
        </is>
      </c>
      <c r="G1792" t="inlineStr">
        <is>
          <t>BOLLNÄS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21550-2026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46256</v>
      </c>
      <c r="F1793" t="inlineStr">
        <is>
          <t>GÄVLEBORGS LÄN</t>
        </is>
      </c>
      <c r="G1793" t="inlineStr">
        <is>
          <t>BOLLNÄS</t>
        </is>
      </c>
      <c r="I1793" t="n">
        <v>3.6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46149</v>
      </c>
      <c r="E1794" s="1" t="n">
        <v>46256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21681-2026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46149</v>
      </c>
      <c r="E1795" s="1" t="n">
        <v>46256</v>
      </c>
      <c r="F1795" t="inlineStr">
        <is>
          <t>GÄVLEBORGS LÄN</t>
        </is>
      </c>
      <c r="G1795" t="inlineStr">
        <is>
          <t>BOLLNÄS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2667-2025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45677</v>
      </c>
      <c r="E1796" s="1" t="n">
        <v>46256</v>
      </c>
      <c r="F1796" t="inlineStr">
        <is>
          <t>GÄVLEBORGS LÄN</t>
        </is>
      </c>
      <c r="G1796" t="inlineStr">
        <is>
          <t>BOLLNÄS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21741-2026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46149</v>
      </c>
      <c r="E1797" s="1" t="n">
        <v>46256</v>
      </c>
      <c r="F1797" t="inlineStr">
        <is>
          <t>GÄVLEBORGS LÄN</t>
        </is>
      </c>
      <c r="G1797" t="inlineStr">
        <is>
          <t>BOLLNÄS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21520-2026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46148</v>
      </c>
      <c r="E1798" s="1" t="n">
        <v>46256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21521-2026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46148</v>
      </c>
      <c r="E1799" s="1" t="n">
        <v>46256</v>
      </c>
      <c r="F1799" t="inlineStr">
        <is>
          <t>GÄVLEBORGS LÄN</t>
        </is>
      </c>
      <c r="G1799" t="inlineStr">
        <is>
          <t>BOLLNÄS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21399-2026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46256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21639-2026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46149</v>
      </c>
      <c r="E1801" s="1" t="n">
        <v>46256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21680-2026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46149</v>
      </c>
      <c r="E1802" s="1" t="n">
        <v>46256</v>
      </c>
      <c r="F1802" t="inlineStr">
        <is>
          <t>GÄVLEBORGS LÄN</t>
        </is>
      </c>
      <c r="G1802" t="inlineStr">
        <is>
          <t>BOLLNÄS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21474-2026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46148</v>
      </c>
      <c r="E1803" s="1" t="n">
        <v>46256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10805-2026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46078</v>
      </c>
      <c r="E1804" s="1" t="n">
        <v>46256</v>
      </c>
      <c r="F1804" t="inlineStr">
        <is>
          <t>GÄVLEBORGS LÄN</t>
        </is>
      </c>
      <c r="G1804" t="inlineStr">
        <is>
          <t>BOLLNÄS</t>
        </is>
      </c>
      <c r="I1804" t="n">
        <v>9.6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46256</v>
      </c>
      <c r="F1805" t="inlineStr">
        <is>
          <t>GÄVLEBORGS LÄN</t>
        </is>
      </c>
      <c r="G1805" t="inlineStr">
        <is>
          <t>BOLLNÄS</t>
        </is>
      </c>
      <c r="I1805" t="n">
        <v>6.9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21698-2026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46149</v>
      </c>
      <c r="E1806" s="1" t="n">
        <v>46256</v>
      </c>
      <c r="F1806" t="inlineStr">
        <is>
          <t>GÄVLEBORGS LÄN</t>
        </is>
      </c>
      <c r="G1806" t="inlineStr">
        <is>
          <t>BOLLNÄS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46256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46256</v>
      </c>
      <c r="F1808" t="inlineStr">
        <is>
          <t>GÄVLEBORGS LÄN</t>
        </is>
      </c>
      <c r="G1808" t="inlineStr">
        <is>
          <t>BOLLNÄS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22835-2024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45448</v>
      </c>
      <c r="E1809" s="1" t="n">
        <v>46256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46148</v>
      </c>
      <c r="E1810" s="1" t="n">
        <v>46256</v>
      </c>
      <c r="F1810" t="inlineStr">
        <is>
          <t>GÄVLEBORGS LÄN</t>
        </is>
      </c>
      <c r="G1810" t="inlineStr">
        <is>
          <t>BOLLNÄS</t>
        </is>
      </c>
      <c r="I1810" t="n">
        <v>4.3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46148</v>
      </c>
      <c r="E1811" s="1" t="n">
        <v>46256</v>
      </c>
      <c r="F1811" t="inlineStr">
        <is>
          <t>GÄVLEBORGS LÄN</t>
        </is>
      </c>
      <c r="G1811" t="inlineStr">
        <is>
          <t>BOLLNÄS</t>
        </is>
      </c>
      <c r="I1811" t="n">
        <v>8.9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21666-2026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46149</v>
      </c>
      <c r="E1812" s="1" t="n">
        <v>46256</v>
      </c>
      <c r="F1812" t="inlineStr">
        <is>
          <t>GÄVLEBORGS LÄN</t>
        </is>
      </c>
      <c r="G1812" t="inlineStr">
        <is>
          <t>BOLLNÄS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21671-2026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46149</v>
      </c>
      <c r="E1813" s="1" t="n">
        <v>46256</v>
      </c>
      <c r="F1813" t="inlineStr">
        <is>
          <t>GÄVLEBORGS LÄN</t>
        </is>
      </c>
      <c r="G1813" t="inlineStr">
        <is>
          <t>BOLLNÄS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21677-2026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46256</v>
      </c>
      <c r="F1814" t="inlineStr">
        <is>
          <t>GÄVLEBORGS LÄN</t>
        </is>
      </c>
      <c r="G1814" t="inlineStr">
        <is>
          <t>BOLLNÄS</t>
        </is>
      </c>
      <c r="I1814" t="n">
        <v>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61592-2022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44916</v>
      </c>
      <c r="E1815" s="1" t="n">
        <v>46256</v>
      </c>
      <c r="F1815" t="inlineStr">
        <is>
          <t>GÄVLEBORGS LÄN</t>
        </is>
      </c>
      <c r="G1815" t="inlineStr">
        <is>
          <t>BOLLNÄS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21600-2026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46256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21693-2026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46256</v>
      </c>
      <c r="F1817" t="inlineStr">
        <is>
          <t>GÄVLEBORGS LÄN</t>
        </is>
      </c>
      <c r="G1817" t="inlineStr">
        <is>
          <t>BOLLNÄS</t>
        </is>
      </c>
      <c r="I1817" t="n">
        <v>1.6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21485-2026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46148</v>
      </c>
      <c r="E1818" s="1" t="n">
        <v>46256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7129-2025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45702</v>
      </c>
      <c r="E1819" s="1" t="n">
        <v>46256</v>
      </c>
      <c r="F1819" t="inlineStr">
        <is>
          <t>GÄVLEBORGS LÄN</t>
        </is>
      </c>
      <c r="G1819" t="inlineStr">
        <is>
          <t>BOLLNÄS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21695-2026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46256</v>
      </c>
      <c r="F1820" t="inlineStr">
        <is>
          <t>GÄVLEBORGS LÄN</t>
        </is>
      </c>
      <c r="G1820" t="inlineStr">
        <is>
          <t>BOLLNÄS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55570-2024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45622</v>
      </c>
      <c r="E1821" s="1" t="n">
        <v>46256</v>
      </c>
      <c r="F1821" t="inlineStr">
        <is>
          <t>GÄVLEBORGS LÄN</t>
        </is>
      </c>
      <c r="G1821" t="inlineStr">
        <is>
          <t>BOLLNÄS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13465-2025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45736</v>
      </c>
      <c r="E1822" s="1" t="n">
        <v>46256</v>
      </c>
      <c r="F1822" t="inlineStr">
        <is>
          <t>GÄVLEBORGS LÄN</t>
        </is>
      </c>
      <c r="G1822" t="inlineStr">
        <is>
          <t>BOLLNÄS</t>
        </is>
      </c>
      <c r="I1822" t="n">
        <v>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21791-2026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46150</v>
      </c>
      <c r="E1823" s="1" t="n">
        <v>46256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46256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46097</v>
      </c>
      <c r="E1825" s="1" t="n">
        <v>46256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16049-2026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46108</v>
      </c>
      <c r="E1826" s="1" t="n">
        <v>46256</v>
      </c>
      <c r="F1826" t="inlineStr">
        <is>
          <t>GÄVLEBORGS LÄN</t>
        </is>
      </c>
      <c r="G1826" t="inlineStr">
        <is>
          <t>BOLLNÄS</t>
        </is>
      </c>
      <c r="I1826" t="n">
        <v>13.8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11561-2026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46084</v>
      </c>
      <c r="E1827" s="1" t="n">
        <v>46256</v>
      </c>
      <c r="F1827" t="inlineStr">
        <is>
          <t>GÄVLEBORGS LÄN</t>
        </is>
      </c>
      <c r="G1827" t="inlineStr">
        <is>
          <t>BOLLNÄS</t>
        </is>
      </c>
      <c r="I1827" t="n">
        <v>8.199999999999999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16453-2026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46112</v>
      </c>
      <c r="E1828" s="1" t="n">
        <v>46256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4.9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21764-2026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46150</v>
      </c>
      <c r="E1829" s="1" t="n">
        <v>46256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21769-2026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46150</v>
      </c>
      <c r="E1830" s="1" t="n">
        <v>46256</v>
      </c>
      <c r="F1830" t="inlineStr">
        <is>
          <t>GÄVLEBORGS LÄN</t>
        </is>
      </c>
      <c r="G1830" t="inlineStr">
        <is>
          <t>BOLLNÄS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21793-2026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46150</v>
      </c>
      <c r="E1831" s="1" t="n">
        <v>46256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21920-2026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46150</v>
      </c>
      <c r="E1832" s="1" t="n">
        <v>46256</v>
      </c>
      <c r="F1832" t="inlineStr">
        <is>
          <t>GÄVLEBORGS LÄN</t>
        </is>
      </c>
      <c r="G1832" t="inlineStr">
        <is>
          <t>BOLLNÄS</t>
        </is>
      </c>
      <c r="I1832" t="n">
        <v>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21767-2026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46150</v>
      </c>
      <c r="E1833" s="1" t="n">
        <v>46256</v>
      </c>
      <c r="F1833" t="inlineStr">
        <is>
          <t>GÄVLEBORGS LÄN</t>
        </is>
      </c>
      <c r="G1833" t="inlineStr">
        <is>
          <t>BOLLNÄS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15812-2026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46107</v>
      </c>
      <c r="E1834" s="1" t="n">
        <v>46256</v>
      </c>
      <c r="F1834" t="inlineStr">
        <is>
          <t>GÄVLEBORGS LÄN</t>
        </is>
      </c>
      <c r="G1834" t="inlineStr">
        <is>
          <t>BOLLNÄS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22195-2026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46153</v>
      </c>
      <c r="E1835" s="1" t="n">
        <v>46256</v>
      </c>
      <c r="F1835" t="inlineStr">
        <is>
          <t>GÄVLEBORGS LÄN</t>
        </is>
      </c>
      <c r="G1835" t="inlineStr">
        <is>
          <t>BOLLNÄS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22065-2026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46153</v>
      </c>
      <c r="E1836" s="1" t="n">
        <v>46256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7100-2026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46058</v>
      </c>
      <c r="E1837" s="1" t="n">
        <v>46256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22187-2026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46153</v>
      </c>
      <c r="E1838" s="1" t="n">
        <v>46256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16964-2026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46114</v>
      </c>
      <c r="E1839" s="1" t="n">
        <v>46256</v>
      </c>
      <c r="F1839" t="inlineStr">
        <is>
          <t>GÄVLEBORGS LÄN</t>
        </is>
      </c>
      <c r="G1839" t="inlineStr">
        <is>
          <t>BOLLNÄS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16965-2026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46114</v>
      </c>
      <c r="E1840" s="1" t="n">
        <v>46256</v>
      </c>
      <c r="F1840" t="inlineStr">
        <is>
          <t>GÄVLEBORGS LÄN</t>
        </is>
      </c>
      <c r="G1840" t="inlineStr">
        <is>
          <t>BOLLNÄS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22058-2026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46153</v>
      </c>
      <c r="E1841" s="1" t="n">
        <v>46256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16919-2025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45755</v>
      </c>
      <c r="E1842" s="1" t="n">
        <v>46256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22179-2026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46256</v>
      </c>
      <c r="F1843" t="inlineStr">
        <is>
          <t>GÄVLEBORGS LÄN</t>
        </is>
      </c>
      <c r="G1843" t="inlineStr">
        <is>
          <t>BOLLNÄS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2403-2026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46036</v>
      </c>
      <c r="E1844" s="1" t="n">
        <v>46256</v>
      </c>
      <c r="F1844" t="inlineStr">
        <is>
          <t>GÄVLEBORGS LÄN</t>
        </is>
      </c>
      <c r="G1844" t="inlineStr">
        <is>
          <t>BOLLNÄS</t>
        </is>
      </c>
      <c r="I1844" t="n">
        <v>8.6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8036-2026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46063</v>
      </c>
      <c r="E1845" s="1" t="n">
        <v>46256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16966-2026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46114</v>
      </c>
      <c r="E1846" s="1" t="n">
        <v>46256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16971-2026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46114</v>
      </c>
      <c r="E1847" s="1" t="n">
        <v>46256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1542-2026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46034</v>
      </c>
      <c r="E1848" s="1" t="n">
        <v>46256</v>
      </c>
      <c r="F1848" t="inlineStr">
        <is>
          <t>GÄVLEBORGS LÄN</t>
        </is>
      </c>
      <c r="G1848" t="inlineStr">
        <is>
          <t>BOLLNÄS</t>
        </is>
      </c>
      <c r="I1848" t="n">
        <v>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22206-2026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46153</v>
      </c>
      <c r="E1849" s="1" t="n">
        <v>46256</v>
      </c>
      <c r="F1849" t="inlineStr">
        <is>
          <t>GÄVLEBORGS LÄN</t>
        </is>
      </c>
      <c r="G1849" t="inlineStr">
        <is>
          <t>BOLLNÄS</t>
        </is>
      </c>
      <c r="I1849" t="n">
        <v>3.8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14986-2025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45743</v>
      </c>
      <c r="E1850" s="1" t="n">
        <v>46256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22185-2026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46153</v>
      </c>
      <c r="E1851" s="1" t="n">
        <v>46256</v>
      </c>
      <c r="F1851" t="inlineStr">
        <is>
          <t>GÄVLEBORGS LÄN</t>
        </is>
      </c>
      <c r="G1851" t="inlineStr">
        <is>
          <t>BOLLNÄS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22190-2026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46153</v>
      </c>
      <c r="E1852" s="1" t="n">
        <v>46256</v>
      </c>
      <c r="F1852" t="inlineStr">
        <is>
          <t>GÄVLEBORGS LÄN</t>
        </is>
      </c>
      <c r="G1852" t="inlineStr">
        <is>
          <t>BOLLNÄS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8156-2026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46064</v>
      </c>
      <c r="E1853" s="1" t="n">
        <v>46256</v>
      </c>
      <c r="F1853" t="inlineStr">
        <is>
          <t>GÄVLEBORGS LÄN</t>
        </is>
      </c>
      <c r="G1853" t="inlineStr">
        <is>
          <t>BOLLNÄS</t>
        </is>
      </c>
      <c r="I1853" t="n">
        <v>6.8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46256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22494-2026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46155</v>
      </c>
      <c r="E1855" s="1" t="n">
        <v>46256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22496-2026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46155</v>
      </c>
      <c r="E1856" s="1" t="n">
        <v>46256</v>
      </c>
      <c r="F1856" t="inlineStr">
        <is>
          <t>GÄVLEBORGS LÄN</t>
        </is>
      </c>
      <c r="G1856" t="inlineStr">
        <is>
          <t>BOLLNÄS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22554-2026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46155</v>
      </c>
      <c r="E1857" s="1" t="n">
        <v>46256</v>
      </c>
      <c r="F1857" t="inlineStr">
        <is>
          <t>GÄVLEBORGS LÄN</t>
        </is>
      </c>
      <c r="G1857" t="inlineStr">
        <is>
          <t>BOLLNÄS</t>
        </is>
      </c>
      <c r="I1857" t="n">
        <v>29.4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59637-2024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45639</v>
      </c>
      <c r="E1858" s="1" t="n">
        <v>46256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22394-2026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46154</v>
      </c>
      <c r="E1859" s="1" t="n">
        <v>46256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46091</v>
      </c>
      <c r="E1860" s="1" t="n">
        <v>46256</v>
      </c>
      <c r="F1860" t="inlineStr">
        <is>
          <t>GÄVLEBORGS LÄN</t>
        </is>
      </c>
      <c r="G1860" t="inlineStr">
        <is>
          <t>BOLLNÄS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12487-2026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46090</v>
      </c>
      <c r="E1861" s="1" t="n">
        <v>46256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Holmen skog AB</t>
        </is>
      </c>
      <c r="I1861" t="n">
        <v>8.199999999999999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8840-2026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46066</v>
      </c>
      <c r="E1862" s="1" t="n">
        <v>46256</v>
      </c>
      <c r="F1862" t="inlineStr">
        <is>
          <t>GÄVLEBORGS LÄN</t>
        </is>
      </c>
      <c r="G1862" t="inlineStr">
        <is>
          <t>BOLLNÄS</t>
        </is>
      </c>
      <c r="I1862" t="n">
        <v>16.7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22532-2026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46155</v>
      </c>
      <c r="E1863" s="1" t="n">
        <v>46256</v>
      </c>
      <c r="F1863" t="inlineStr">
        <is>
          <t>GÄVLEBORGS LÄN</t>
        </is>
      </c>
      <c r="G1863" t="inlineStr">
        <is>
          <t>BOLLNÄS</t>
        </is>
      </c>
      <c r="I1863" t="n">
        <v>10.6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12869-2026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46092</v>
      </c>
      <c r="E1864" s="1" t="n">
        <v>46256</v>
      </c>
      <c r="F1864" t="inlineStr">
        <is>
          <t>GÄVLEBORGS LÄN</t>
        </is>
      </c>
      <c r="G1864" t="inlineStr">
        <is>
          <t>BOLLNÄS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8203-2026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46064</v>
      </c>
      <c r="E1865" s="1" t="n">
        <v>46256</v>
      </c>
      <c r="F1865" t="inlineStr">
        <is>
          <t>GÄVLEBORGS LÄN</t>
        </is>
      </c>
      <c r="G1865" t="inlineStr">
        <is>
          <t>BOLLNÄS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22502-2026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46155</v>
      </c>
      <c r="E1866" s="1" t="n">
        <v>46256</v>
      </c>
      <c r="F1866" t="inlineStr">
        <is>
          <t>GÄVLEBORGS LÄN</t>
        </is>
      </c>
      <c r="G1866" t="inlineStr">
        <is>
          <t>BOLLNÄS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63716-2021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44509</v>
      </c>
      <c r="E1867" s="1" t="n">
        <v>46256</v>
      </c>
      <c r="F1867" t="inlineStr">
        <is>
          <t>GÄVLEBORGS LÄN</t>
        </is>
      </c>
      <c r="G1867" t="inlineStr">
        <is>
          <t>BOLLNÄS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45675</v>
      </c>
      <c r="E1868" s="1" t="n">
        <v>46256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13540-2026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46094</v>
      </c>
      <c r="E1869" s="1" t="n">
        <v>46256</v>
      </c>
      <c r="F1869" t="inlineStr">
        <is>
          <t>GÄVLEBORGS LÄN</t>
        </is>
      </c>
      <c r="G1869" t="inlineStr">
        <is>
          <t>BOLLNÄS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22540-2026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46256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22549-2026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46155</v>
      </c>
      <c r="E1871" s="1" t="n">
        <v>46256</v>
      </c>
      <c r="F1871" t="inlineStr">
        <is>
          <t>GÄVLEBORGS LÄN</t>
        </is>
      </c>
      <c r="G1871" t="inlineStr">
        <is>
          <t>BOLLNÄS</t>
        </is>
      </c>
      <c r="I1871" t="n">
        <v>10.8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22489-2026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46256</v>
      </c>
      <c r="F1872" t="inlineStr">
        <is>
          <t>GÄVLEBORGS LÄN</t>
        </is>
      </c>
      <c r="G1872" t="inlineStr">
        <is>
          <t>BOLLNÄS</t>
        </is>
      </c>
      <c r="I1872" t="n">
        <v>4.8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22503-2026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46155</v>
      </c>
      <c r="E1873" s="1" t="n">
        <v>46256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22513-2026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46256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732-2026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46029</v>
      </c>
      <c r="E1875" s="1" t="n">
        <v>46256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9336-2026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46070</v>
      </c>
      <c r="E1876" s="1" t="n">
        <v>46256</v>
      </c>
      <c r="F1876" t="inlineStr">
        <is>
          <t>GÄVLEBORGS LÄN</t>
        </is>
      </c>
      <c r="G1876" t="inlineStr">
        <is>
          <t>BOLLNÄS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1546-2026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46034</v>
      </c>
      <c r="E1877" s="1" t="n">
        <v>46256</v>
      </c>
      <c r="F1877" t="inlineStr">
        <is>
          <t>GÄVLEBORGS LÄN</t>
        </is>
      </c>
      <c r="G1877" t="inlineStr">
        <is>
          <t>BOLLNÄS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6473-2026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46056</v>
      </c>
      <c r="E1878" s="1" t="n">
        <v>46256</v>
      </c>
      <c r="F1878" t="inlineStr">
        <is>
          <t>GÄVLEBORGS LÄN</t>
        </is>
      </c>
      <c r="G1878" t="inlineStr">
        <is>
          <t>BOLLNÄS</t>
        </is>
      </c>
      <c r="I1878" t="n">
        <v>7.3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22254-2026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46154</v>
      </c>
      <c r="E1879" s="1" t="n">
        <v>46256</v>
      </c>
      <c r="F1879" t="inlineStr">
        <is>
          <t>GÄVLEBORGS LÄN</t>
        </is>
      </c>
      <c r="G1879" t="inlineStr">
        <is>
          <t>BOLLNÄS</t>
        </is>
      </c>
      <c r="I1879" t="n">
        <v>5.8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22303-2026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46154</v>
      </c>
      <c r="E1880" s="1" t="n">
        <v>46256</v>
      </c>
      <c r="F1880" t="inlineStr">
        <is>
          <t>GÄVLEBORGS LÄN</t>
        </is>
      </c>
      <c r="G1880" t="inlineStr">
        <is>
          <t>BOLLNÄS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22311-2026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46154</v>
      </c>
      <c r="E1881" s="1" t="n">
        <v>46256</v>
      </c>
      <c r="F1881" t="inlineStr">
        <is>
          <t>GÄVLEBORGS LÄN</t>
        </is>
      </c>
      <c r="G1881" t="inlineStr">
        <is>
          <t>BOLLNÄS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46256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46049</v>
      </c>
      <c r="E1883" s="1" t="n">
        <v>46256</v>
      </c>
      <c r="F1883" t="inlineStr">
        <is>
          <t>GÄVLEBORGS LÄN</t>
        </is>
      </c>
      <c r="G1883" t="inlineStr">
        <is>
          <t>BOLLNÄS</t>
        </is>
      </c>
      <c r="I1883" t="n">
        <v>7.1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21503-2026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46148</v>
      </c>
      <c r="E1884" s="1" t="n">
        <v>46256</v>
      </c>
      <c r="F1884" t="inlineStr">
        <is>
          <t>GÄVLEBORGS LÄN</t>
        </is>
      </c>
      <c r="G1884" t="inlineStr">
        <is>
          <t>BOLLNÄS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12992-2026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46092</v>
      </c>
      <c r="E1885" s="1" t="n">
        <v>46256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13680-2026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46097</v>
      </c>
      <c r="E1886" s="1" t="n">
        <v>46256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6.1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20705-2025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45776</v>
      </c>
      <c r="E1887" s="1" t="n">
        <v>46256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9420-2026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46071</v>
      </c>
      <c r="E1888" s="1" t="n">
        <v>46256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22599-2026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46155</v>
      </c>
      <c r="E1889" s="1" t="n">
        <v>46256</v>
      </c>
      <c r="F1889" t="inlineStr">
        <is>
          <t>GÄVLEBORGS LÄN</t>
        </is>
      </c>
      <c r="G1889" t="inlineStr">
        <is>
          <t>BOLLNÄS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22601-2026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46155</v>
      </c>
      <c r="E1890" s="1" t="n">
        <v>46256</v>
      </c>
      <c r="F1890" t="inlineStr">
        <is>
          <t>GÄVLEBORGS LÄN</t>
        </is>
      </c>
      <c r="G1890" t="inlineStr">
        <is>
          <t>BOLLNÄS</t>
        </is>
      </c>
      <c r="I1890" t="n">
        <v>3.2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22605-2026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46155</v>
      </c>
      <c r="E1891" s="1" t="n">
        <v>46256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22300-2026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46154</v>
      </c>
      <c r="E1892" s="1" t="n">
        <v>46256</v>
      </c>
      <c r="F1892" t="inlineStr">
        <is>
          <t>GÄVLEBORGS LÄN</t>
        </is>
      </c>
      <c r="G1892" t="inlineStr">
        <is>
          <t>BOLLNÄS</t>
        </is>
      </c>
      <c r="I1892" t="n">
        <v>3.8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22301-2026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46154</v>
      </c>
      <c r="E1893" s="1" t="n">
        <v>46256</v>
      </c>
      <c r="F1893" t="inlineStr">
        <is>
          <t>GÄVLEBORGS LÄN</t>
        </is>
      </c>
      <c r="G1893" t="inlineStr">
        <is>
          <t>BOLLNÄS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9612-2026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46072</v>
      </c>
      <c r="E1894" s="1" t="n">
        <v>46256</v>
      </c>
      <c r="F1894" t="inlineStr">
        <is>
          <t>GÄVLEBORGS LÄN</t>
        </is>
      </c>
      <c r="G1894" t="inlineStr">
        <is>
          <t>BOLLNÄS</t>
        </is>
      </c>
      <c r="I1894" t="n">
        <v>7.9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22499-2026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46155</v>
      </c>
      <c r="E1895" s="1" t="n">
        <v>46256</v>
      </c>
      <c r="F1895" t="inlineStr">
        <is>
          <t>GÄVLEBORGS LÄN</t>
        </is>
      </c>
      <c r="G1895" t="inlineStr">
        <is>
          <t>BOLLNÄS</t>
        </is>
      </c>
      <c r="I1895" t="n">
        <v>4.5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22510-2026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46155</v>
      </c>
      <c r="E1896" s="1" t="n">
        <v>46256</v>
      </c>
      <c r="F1896" t="inlineStr">
        <is>
          <t>GÄVLEBORGS LÄN</t>
        </is>
      </c>
      <c r="G1896" t="inlineStr">
        <is>
          <t>BOLLNÄS</t>
        </is>
      </c>
      <c r="I1896" t="n">
        <v>6.1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22606-2026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46155</v>
      </c>
      <c r="E1897" s="1" t="n">
        <v>46256</v>
      </c>
      <c r="F1897" t="inlineStr">
        <is>
          <t>GÄVLEBORGS LÄN</t>
        </is>
      </c>
      <c r="G1897" t="inlineStr">
        <is>
          <t>BOLLNÄS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6001-2026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46052</v>
      </c>
      <c r="E1898" s="1" t="n">
        <v>46256</v>
      </c>
      <c r="F1898" t="inlineStr">
        <is>
          <t>GÄVLEBORGS LÄN</t>
        </is>
      </c>
      <c r="G1898" t="inlineStr">
        <is>
          <t>BOLLNÄS</t>
        </is>
      </c>
      <c r="I1898" t="n">
        <v>6.3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46256</v>
      </c>
      <c r="F1899" t="inlineStr">
        <is>
          <t>GÄVLEBORGS LÄN</t>
        </is>
      </c>
      <c r="G1899" t="inlineStr">
        <is>
          <t>BOLLNÄS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22305-2026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46154</v>
      </c>
      <c r="E1900" s="1" t="n">
        <v>46256</v>
      </c>
      <c r="F1900" t="inlineStr">
        <is>
          <t>GÄVLEBORGS LÄN</t>
        </is>
      </c>
      <c r="G1900" t="inlineStr">
        <is>
          <t>BOLLNÄS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22316-2026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46154</v>
      </c>
      <c r="E1901" s="1" t="n">
        <v>46256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22761-2026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46157</v>
      </c>
      <c r="E1902" s="1" t="n">
        <v>46256</v>
      </c>
      <c r="F1902" t="inlineStr">
        <is>
          <t>GÄVLEBORGS LÄN</t>
        </is>
      </c>
      <c r="G1902" t="inlineStr">
        <is>
          <t>BOLLNÄS</t>
        </is>
      </c>
      <c r="I1902" t="n">
        <v>6.1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22746-2026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46157</v>
      </c>
      <c r="E1903" s="1" t="n">
        <v>46256</v>
      </c>
      <c r="F1903" t="inlineStr">
        <is>
          <t>GÄVLEBORGS LÄN</t>
        </is>
      </c>
      <c r="G1903" t="inlineStr">
        <is>
          <t>BOLLNÄS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20710-2025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45776</v>
      </c>
      <c r="E1904" s="1" t="n">
        <v>46256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20036-2026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46136</v>
      </c>
      <c r="E1905" s="1" t="n">
        <v>46256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öst AB</t>
        </is>
      </c>
      <c r="I1905" t="n">
        <v>23.8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22905-2026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46160</v>
      </c>
      <c r="E1906" s="1" t="n">
        <v>46256</v>
      </c>
      <c r="F1906" t="inlineStr">
        <is>
          <t>GÄVLEBORGS LÄN</t>
        </is>
      </c>
      <c r="G1906" t="inlineStr">
        <is>
          <t>BOLLNÄS</t>
        </is>
      </c>
      <c r="I1906" t="n">
        <v>12.3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23084-2026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46161</v>
      </c>
      <c r="E1907" s="1" t="n">
        <v>46256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23085-2026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46161</v>
      </c>
      <c r="E1908" s="1" t="n">
        <v>46256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46800-2024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45583</v>
      </c>
      <c r="E1909" s="1" t="n">
        <v>46256</v>
      </c>
      <c r="F1909" t="inlineStr">
        <is>
          <t>GÄVLEBORGS LÄN</t>
        </is>
      </c>
      <c r="G1909" t="inlineStr">
        <is>
          <t>BOLLNÄS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23083-2026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46256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23086-2026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46161</v>
      </c>
      <c r="E1911" s="1" t="n">
        <v>46256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21393-2025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45782</v>
      </c>
      <c r="E1912" s="1" t="n">
        <v>46256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23089-2026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46161</v>
      </c>
      <c r="E1913" s="1" t="n">
        <v>46256</v>
      </c>
      <c r="F1913" t="inlineStr">
        <is>
          <t>GÄVLEBORGS LÄN</t>
        </is>
      </c>
      <c r="G1913" t="inlineStr">
        <is>
          <t>BOLLNÄS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23090-2026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46161</v>
      </c>
      <c r="E1914" s="1" t="n">
        <v>46256</v>
      </c>
      <c r="F1914" t="inlineStr">
        <is>
          <t>GÄVLEBORGS LÄN</t>
        </is>
      </c>
      <c r="G1914" t="inlineStr">
        <is>
          <t>BOLLNÄS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46161</v>
      </c>
      <c r="E1915" s="1" t="n">
        <v>46256</v>
      </c>
      <c r="F1915" t="inlineStr">
        <is>
          <t>GÄVLEBORGS LÄN</t>
        </is>
      </c>
      <c r="G1915" t="inlineStr">
        <is>
          <t>BOLLNÄS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45782-2024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45579</v>
      </c>
      <c r="E1916" s="1" t="n">
        <v>46256</v>
      </c>
      <c r="F1916" t="inlineStr">
        <is>
          <t>GÄVLEBORGS LÄN</t>
        </is>
      </c>
      <c r="G1916" t="inlineStr">
        <is>
          <t>BOLLNÄS</t>
        </is>
      </c>
      <c r="I1916" t="n">
        <v>9.199999999999999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16365-2026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46111</v>
      </c>
      <c r="E1917" s="1" t="n">
        <v>46256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19135-2024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46256</v>
      </c>
      <c r="F1918" t="inlineStr">
        <is>
          <t>GÄVLEBORGS LÄN</t>
        </is>
      </c>
      <c r="G1918" t="inlineStr">
        <is>
          <t>BOLLNÄS</t>
        </is>
      </c>
      <c r="I1918" t="n">
        <v>4.7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21562-2025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45782</v>
      </c>
      <c r="E1919" s="1" t="n">
        <v>46256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21873-2025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45784</v>
      </c>
      <c r="E1920" s="1" t="n">
        <v>46256</v>
      </c>
      <c r="F1920" t="inlineStr">
        <is>
          <t>GÄVLEBORGS LÄN</t>
        </is>
      </c>
      <c r="G1920" t="inlineStr">
        <is>
          <t>BOLLNÄS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36256-2024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45534</v>
      </c>
      <c r="E1921" s="1" t="n">
        <v>46256</v>
      </c>
      <c r="F1921" t="inlineStr">
        <is>
          <t>GÄVLEBORGS LÄN</t>
        </is>
      </c>
      <c r="G1921" t="inlineStr">
        <is>
          <t>BOLLNÄS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42579-2024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45565</v>
      </c>
      <c r="E1922" s="1" t="n">
        <v>46256</v>
      </c>
      <c r="F1922" t="inlineStr">
        <is>
          <t>GÄVLEBORGS LÄN</t>
        </is>
      </c>
      <c r="G1922" t="inlineStr">
        <is>
          <t>BOLLNÄS</t>
        </is>
      </c>
      <c r="I1922" t="n">
        <v>7.9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48270-2024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45590</v>
      </c>
      <c r="E1923" s="1" t="n">
        <v>46256</v>
      </c>
      <c r="F1923" t="inlineStr">
        <is>
          <t>GÄVLEBORGS LÄN</t>
        </is>
      </c>
      <c r="G1923" t="inlineStr">
        <is>
          <t>BOLLNÄS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23335-2024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45453</v>
      </c>
      <c r="E1924" s="1" t="n">
        <v>46256</v>
      </c>
      <c r="F1924" t="inlineStr">
        <is>
          <t>GÄVLEBORGS LÄN</t>
        </is>
      </c>
      <c r="G1924" t="inlineStr">
        <is>
          <t>BOLLNÄS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45428</v>
      </c>
      <c r="E1925" s="1" t="n">
        <v>46256</v>
      </c>
      <c r="F1925" t="inlineStr">
        <is>
          <t>GÄVLEBORGS LÄN</t>
        </is>
      </c>
      <c r="G1925" t="inlineStr">
        <is>
          <t>BOLLNÄS</t>
        </is>
      </c>
      <c r="I1925" t="n">
        <v>3.2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31649-2024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46256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22815-2026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46160</v>
      </c>
      <c r="E1927" s="1" t="n">
        <v>46256</v>
      </c>
      <c r="F1927" t="inlineStr">
        <is>
          <t>GÄVLEBORGS LÄN</t>
        </is>
      </c>
      <c r="G1927" t="inlineStr">
        <is>
          <t>BOLLNÄS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42580-2024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45565</v>
      </c>
      <c r="E1928" s="1" t="n">
        <v>46256</v>
      </c>
      <c r="F1928" t="inlineStr">
        <is>
          <t>GÄVLEBORGS LÄN</t>
        </is>
      </c>
      <c r="G1928" t="inlineStr">
        <is>
          <t>BOLLNÄS</t>
        </is>
      </c>
      <c r="I1928" t="n">
        <v>7.9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52748-2024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45610</v>
      </c>
      <c r="E1929" s="1" t="n">
        <v>46256</v>
      </c>
      <c r="F1929" t="inlineStr">
        <is>
          <t>GÄVLEBORGS LÄN</t>
        </is>
      </c>
      <c r="G1929" t="inlineStr">
        <is>
          <t>BOLLNÄS</t>
        </is>
      </c>
      <c r="I1929" t="n">
        <v>1.5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56229-2024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45624</v>
      </c>
      <c r="E1930" s="1" t="n">
        <v>46256</v>
      </c>
      <c r="F1930" t="inlineStr">
        <is>
          <t>GÄVLEBORGS LÄN</t>
        </is>
      </c>
      <c r="G1930" t="inlineStr">
        <is>
          <t>BOLLNÄS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28083-2024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45476</v>
      </c>
      <c r="E1931" s="1" t="n">
        <v>46256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23172-2026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46161</v>
      </c>
      <c r="E1932" s="1" t="n">
        <v>46256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44344-2024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45573</v>
      </c>
      <c r="E1933" s="1" t="n">
        <v>46256</v>
      </c>
      <c r="F1933" t="inlineStr">
        <is>
          <t>GÄVLEBORGS LÄN</t>
        </is>
      </c>
      <c r="G1933" t="inlineStr">
        <is>
          <t>BOLLNÄS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44120-2022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44839</v>
      </c>
      <c r="E1934" s="1" t="n">
        <v>46256</v>
      </c>
      <c r="F1934" t="inlineStr">
        <is>
          <t>GÄVLEBORGS LÄN</t>
        </is>
      </c>
      <c r="G1934" t="inlineStr">
        <is>
          <t>BOLLNÄS</t>
        </is>
      </c>
      <c r="I1934" t="n">
        <v>10.3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43750-2023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45187</v>
      </c>
      <c r="E1935" s="1" t="n">
        <v>46256</v>
      </c>
      <c r="F1935" t="inlineStr">
        <is>
          <t>GÄVLEBORGS LÄN</t>
        </is>
      </c>
      <c r="G1935" t="inlineStr">
        <is>
          <t>BOLLNÄS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22982-2026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46160</v>
      </c>
      <c r="E1936" s="1" t="n">
        <v>46256</v>
      </c>
      <c r="F1936" t="inlineStr">
        <is>
          <t>GÄVLEBORGS LÄN</t>
        </is>
      </c>
      <c r="G1936" t="inlineStr">
        <is>
          <t>BOLLNÄS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22985-2026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46160</v>
      </c>
      <c r="E1937" s="1" t="n">
        <v>46256</v>
      </c>
      <c r="F1937" t="inlineStr">
        <is>
          <t>GÄVLEBORGS LÄN</t>
        </is>
      </c>
      <c r="G1937" t="inlineStr">
        <is>
          <t>BOLLNÄS</t>
        </is>
      </c>
      <c r="I1937" t="n">
        <v>4.6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23092-2026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46161</v>
      </c>
      <c r="E1938" s="1" t="n">
        <v>46256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23093-2026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46161</v>
      </c>
      <c r="E1939" s="1" t="n">
        <v>46256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22134-2025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45785</v>
      </c>
      <c r="E1940" s="1" t="n">
        <v>46256</v>
      </c>
      <c r="F1940" t="inlineStr">
        <is>
          <t>GÄVLEBORGS LÄN</t>
        </is>
      </c>
      <c r="G1940" t="inlineStr">
        <is>
          <t>BOLLNÄS</t>
        </is>
      </c>
      <c r="I1940" t="n">
        <v>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23544-2026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46163</v>
      </c>
      <c r="E1941" s="1" t="n">
        <v>46256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41670-2024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45560</v>
      </c>
      <c r="E1942" s="1" t="n">
        <v>46256</v>
      </c>
      <c r="F1942" t="inlineStr">
        <is>
          <t>GÄVLEBORGS LÄN</t>
        </is>
      </c>
      <c r="G1942" t="inlineStr">
        <is>
          <t>BOLLNÄS</t>
        </is>
      </c>
      <c r="I1942" t="n">
        <v>11.5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23478-2026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46163</v>
      </c>
      <c r="E1943" s="1" t="n">
        <v>46256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23523-2026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46163</v>
      </c>
      <c r="E1944" s="1" t="n">
        <v>46256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23268-2026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46162</v>
      </c>
      <c r="E1945" s="1" t="n">
        <v>46256</v>
      </c>
      <c r="F1945" t="inlineStr">
        <is>
          <t>GÄVLEBORGS LÄN</t>
        </is>
      </c>
      <c r="G1945" t="inlineStr">
        <is>
          <t>BOLLNÄS</t>
        </is>
      </c>
      <c r="I1945" t="n">
        <v>3.6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23272-2026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46162</v>
      </c>
      <c r="E1946" s="1" t="n">
        <v>46256</v>
      </c>
      <c r="F1946" t="inlineStr">
        <is>
          <t>GÄVLEBORGS LÄN</t>
        </is>
      </c>
      <c r="G1946" t="inlineStr">
        <is>
          <t>BOLLNÄS</t>
        </is>
      </c>
      <c r="I1946" t="n">
        <v>6.7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45789</v>
      </c>
      <c r="E1947" s="1" t="n">
        <v>46256</v>
      </c>
      <c r="F1947" t="inlineStr">
        <is>
          <t>GÄVLEBORGS LÄN</t>
        </is>
      </c>
      <c r="G1947" t="inlineStr">
        <is>
          <t>BOLLNÄS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38146-2023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45161</v>
      </c>
      <c r="E1948" s="1" t="n">
        <v>46256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23278-2026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46162</v>
      </c>
      <c r="E1949" s="1" t="n">
        <v>46256</v>
      </c>
      <c r="F1949" t="inlineStr">
        <is>
          <t>GÄVLEBORGS LÄN</t>
        </is>
      </c>
      <c r="G1949" t="inlineStr">
        <is>
          <t>BOLLNÄS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23289-2026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46162</v>
      </c>
      <c r="E1950" s="1" t="n">
        <v>46256</v>
      </c>
      <c r="F1950" t="inlineStr">
        <is>
          <t>GÄVLEBORGS LÄN</t>
        </is>
      </c>
      <c r="G1950" t="inlineStr">
        <is>
          <t>BOLLNÄS</t>
        </is>
      </c>
      <c r="I1950" t="n">
        <v>9.9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23296-2026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46162</v>
      </c>
      <c r="E1951" s="1" t="n">
        <v>46256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23298-2026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46162</v>
      </c>
      <c r="E1952" s="1" t="n">
        <v>46256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23251-2026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46162</v>
      </c>
      <c r="E1953" s="1" t="n">
        <v>46256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46163</v>
      </c>
      <c r="E1954" s="1" t="n">
        <v>46256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48336-2023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45205</v>
      </c>
      <c r="E1955" s="1" t="n">
        <v>46256</v>
      </c>
      <c r="F1955" t="inlineStr">
        <is>
          <t>GÄVLEBORGS LÄN</t>
        </is>
      </c>
      <c r="G1955" t="inlineStr">
        <is>
          <t>BOLLNÄS</t>
        </is>
      </c>
      <c r="I1955" t="n">
        <v>6.1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22927-2025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45790</v>
      </c>
      <c r="E1956" s="1" t="n">
        <v>46256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46256</v>
      </c>
      <c r="F1957" t="inlineStr">
        <is>
          <t>GÄVLEBORGS LÄN</t>
        </is>
      </c>
      <c r="G1957" t="inlineStr">
        <is>
          <t>BOLLNÄS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47820-2024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45588</v>
      </c>
      <c r="E1958" s="1" t="n">
        <v>46256</v>
      </c>
      <c r="F1958" t="inlineStr">
        <is>
          <t>GÄVLEBORGS LÄN</t>
        </is>
      </c>
      <c r="G1958" t="inlineStr">
        <is>
          <t>BOLLNÄS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47894-2024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46256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8519-2025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45709</v>
      </c>
      <c r="E1960" s="1" t="n">
        <v>46256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23883-2025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45793</v>
      </c>
      <c r="E1961" s="1" t="n">
        <v>46256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10485-2024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45366</v>
      </c>
      <c r="E1962" s="1" t="n">
        <v>46256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56755-2022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44894</v>
      </c>
      <c r="E1963" s="1" t="n">
        <v>46256</v>
      </c>
      <c r="F1963" t="inlineStr">
        <is>
          <t>GÄVLEBORGS LÄN</t>
        </is>
      </c>
      <c r="G1963" t="inlineStr">
        <is>
          <t>BOLLNÄS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48666-2022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44859</v>
      </c>
      <c r="E1964" s="1" t="n">
        <v>46256</v>
      </c>
      <c r="F1964" t="inlineStr">
        <is>
          <t>GÄVLEBORGS LÄN</t>
        </is>
      </c>
      <c r="G1964" t="inlineStr">
        <is>
          <t>BOLLNÄS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46795-2024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45583</v>
      </c>
      <c r="E1965" s="1" t="n">
        <v>46256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49883-2023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45213</v>
      </c>
      <c r="E1966" s="1" t="n">
        <v>46256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23882-2025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45793</v>
      </c>
      <c r="E1967" s="1" t="n">
        <v>46256</v>
      </c>
      <c r="F1967" t="inlineStr">
        <is>
          <t>GÄVLEBORGS LÄN</t>
        </is>
      </c>
      <c r="G1967" t="inlineStr">
        <is>
          <t>BOLLNÄS</t>
        </is>
      </c>
      <c r="I1967" t="n">
        <v>3.7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55941-2024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45623</v>
      </c>
      <c r="E1968" s="1" t="n">
        <v>46256</v>
      </c>
      <c r="F1968" t="inlineStr">
        <is>
          <t>GÄVLEBORGS LÄN</t>
        </is>
      </c>
      <c r="G1968" t="inlineStr">
        <is>
          <t>BOLLNÄS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38594-2024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45546</v>
      </c>
      <c r="E1969" s="1" t="n">
        <v>46256</v>
      </c>
      <c r="F1969" t="inlineStr">
        <is>
          <t>GÄVLEBORGS LÄN</t>
        </is>
      </c>
      <c r="G1969" t="inlineStr">
        <is>
          <t>BOLLNÄS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17376-2024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45414</v>
      </c>
      <c r="E1970" s="1" t="n">
        <v>46256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24314-2025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45797</v>
      </c>
      <c r="E1971" s="1" t="n">
        <v>46256</v>
      </c>
      <c r="F1971" t="inlineStr">
        <is>
          <t>GÄVLEBORGS LÄN</t>
        </is>
      </c>
      <c r="G1971" t="inlineStr">
        <is>
          <t>BOLLNÄS</t>
        </is>
      </c>
      <c r="I1971" t="n">
        <v>3.9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24319-2025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45797</v>
      </c>
      <c r="E1972" s="1" t="n">
        <v>46256</v>
      </c>
      <c r="F1972" t="inlineStr">
        <is>
          <t>GÄVLEBORGS LÄN</t>
        </is>
      </c>
      <c r="G1972" t="inlineStr">
        <is>
          <t>BOLLNÄS</t>
        </is>
      </c>
      <c r="I1972" t="n">
        <v>7.6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29742-2024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45485</v>
      </c>
      <c r="E1973" s="1" t="n">
        <v>46256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24937-2025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45799</v>
      </c>
      <c r="E1974" s="1" t="n">
        <v>46256</v>
      </c>
      <c r="F1974" t="inlineStr">
        <is>
          <t>GÄVLEBORGS LÄN</t>
        </is>
      </c>
      <c r="G1974" t="inlineStr">
        <is>
          <t>BOLLNÄS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24918-2025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45799</v>
      </c>
      <c r="E1975" s="1" t="n">
        <v>46256</v>
      </c>
      <c r="F1975" t="inlineStr">
        <is>
          <t>GÄVLEBORGS LÄN</t>
        </is>
      </c>
      <c r="G1975" t="inlineStr">
        <is>
          <t>BOLLNÄS</t>
        </is>
      </c>
      <c r="I1975" t="n">
        <v>2.6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4000-2023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45237</v>
      </c>
      <c r="E1976" s="1" t="n">
        <v>46256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Holmen skog AB</t>
        </is>
      </c>
      <c r="I1976" t="n">
        <v>16.2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10329-2021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44546</v>
      </c>
      <c r="E1977" s="1" t="n">
        <v>46256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188.9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972-2023</t>
        </is>
      </c>
      <c r="B1978" t="inlineStr">
        <is>
          <t>samrådsanmälan</t>
        </is>
      </c>
      <c r="C1978" t="inlineStr">
        <is>
          <t>Annan skogsbruksåtgärd</t>
        </is>
      </c>
      <c r="D1978" s="1" t="n">
        <v>45005</v>
      </c>
      <c r="E1978" s="1" t="n">
        <v>46256</v>
      </c>
      <c r="F1978" t="inlineStr">
        <is>
          <t>GÄVLEBORGS LÄN</t>
        </is>
      </c>
      <c r="G1978" t="inlineStr">
        <is>
          <t>BOLLNÄS</t>
        </is>
      </c>
      <c r="I1978" t="n">
        <v>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392-2025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45695</v>
      </c>
      <c r="E1979" s="1" t="n">
        <v>46256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öst AB</t>
        </is>
      </c>
      <c r="I1979" t="n">
        <v>32.2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5000-2024</t>
        </is>
      </c>
      <c r="B1980" t="inlineStr">
        <is>
          <t>samrådsanmälan</t>
        </is>
      </c>
      <c r="C1980" t="inlineStr">
        <is>
          <t>Annan skogsbruksåtgärd</t>
        </is>
      </c>
      <c r="D1980" s="1" t="n">
        <v>45631</v>
      </c>
      <c r="E1980" s="1" t="n">
        <v>46256</v>
      </c>
      <c r="F1980" t="inlineStr">
        <is>
          <t>GÄVLEBORGS LÄN</t>
        </is>
      </c>
      <c r="G1980" t="inlineStr">
        <is>
          <t>BOLLNÄS</t>
        </is>
      </c>
      <c r="I1980" t="n">
        <v>3.7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400-2025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45699</v>
      </c>
      <c r="E1981" s="1" t="n">
        <v>46256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32.2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1092-2024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45391</v>
      </c>
      <c r="E1982" s="1" t="n">
        <v>46256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523.4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188-2022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44566</v>
      </c>
      <c r="E1983" s="1" t="n">
        <v>46256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17.9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180-2022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44566</v>
      </c>
      <c r="E1984" s="1" t="n">
        <v>46256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60.4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560-2022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44589</v>
      </c>
      <c r="E1985" s="1" t="n">
        <v>46256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öst AB</t>
        </is>
      </c>
      <c r="I1985" t="n">
        <v>56.9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586-2024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45351</v>
      </c>
      <c r="E1986" s="1" t="n">
        <v>46256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205.2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1359-2025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45775</v>
      </c>
      <c r="E1987" s="1" t="n">
        <v>46256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1309-2025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45770</v>
      </c>
      <c r="E1988" s="1" t="n">
        <v>46256</v>
      </c>
      <c r="F1988" t="inlineStr">
        <is>
          <t>GÄVLEBORGS LÄN</t>
        </is>
      </c>
      <c r="G1988" t="inlineStr">
        <is>
          <t>BOLLNÄS</t>
        </is>
      </c>
      <c r="I1988" t="n">
        <v>31.8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1894-2025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45825</v>
      </c>
      <c r="E1989" s="1" t="n">
        <v>46256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10.7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1074-2024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45387</v>
      </c>
      <c r="E1990" s="1" t="n">
        <v>46256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245.9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424-2026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46070</v>
      </c>
      <c r="E1991" s="1" t="n">
        <v>46256</v>
      </c>
      <c r="F1991" t="inlineStr">
        <is>
          <t>GÄVLEBORGS LÄN</t>
        </is>
      </c>
      <c r="G1991" t="inlineStr">
        <is>
          <t>BOLLNÄS</t>
        </is>
      </c>
      <c r="I1991" t="n">
        <v>33.3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479-2026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46072</v>
      </c>
      <c r="E1992" s="1" t="n">
        <v>46256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Sveaskog</t>
        </is>
      </c>
      <c r="I1992" t="n">
        <v>2.8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672-2026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46090</v>
      </c>
      <c r="E1993" s="1" t="n">
        <v>46256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1042-2026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46125</v>
      </c>
      <c r="E1994" s="1" t="n">
        <v>46256</v>
      </c>
      <c r="F1994" t="inlineStr">
        <is>
          <t>GÄVLEBORGS LÄN</t>
        </is>
      </c>
      <c r="G1994" t="inlineStr">
        <is>
          <t>BOLLNÄS</t>
        </is>
      </c>
      <c r="I1994" t="n">
        <v>7.8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1559-2026</t>
        </is>
      </c>
      <c r="B1995" t="inlineStr">
        <is>
          <t>samrådsanmälan</t>
        </is>
      </c>
      <c r="C1995" t="inlineStr">
        <is>
          <t>Stubbskörd</t>
        </is>
      </c>
      <c r="D1995" s="1" t="n">
        <v>46168</v>
      </c>
      <c r="E1995" s="1" t="n">
        <v>46256</v>
      </c>
      <c r="F1995" t="inlineStr">
        <is>
          <t>GÄVLEBORGS LÄN</t>
        </is>
      </c>
      <c r="G1995" t="inlineStr">
        <is>
          <t>BOLLNÄS</t>
        </is>
      </c>
      <c r="I1995" t="n">
        <v>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>
      <c r="A1996" t="inlineStr">
        <is>
          <t>S 1599-2026</t>
        </is>
      </c>
      <c r="B1996" t="inlineStr">
        <is>
          <t>samrådsanmälan</t>
        </is>
      </c>
      <c r="C1996" t="inlineStr">
        <is>
          <t>Annan skogsbruksåtgärd</t>
        </is>
      </c>
      <c r="D1996" s="1" t="n">
        <v>46174</v>
      </c>
      <c r="E1996" s="1" t="n">
        <v>46256</v>
      </c>
      <c r="F1996" t="inlineStr">
        <is>
          <t>GÄVLEBORGS LÄN</t>
        </is>
      </c>
      <c r="G1996" t="inlineStr">
        <is>
          <t>BOLLNÄS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2026-08-22T01:49:24Z</dcterms:created>
  <dcterms:modified xmlns:dcterms="http://purl.org/dc/terms/" xmlns:xsi="http://www.w3.org/2001/XMLSchema-instance" xsi:type="dcterms:W3CDTF">2026-08-22T01:49:26Z</dcterms:modified>
</cp:coreProperties>
</file>