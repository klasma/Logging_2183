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46292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46292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46292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46292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46292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11946-2026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46292</v>
      </c>
      <c r="F12" t="inlineStr">
        <is>
          <t>GÄVLEBORGS LÄN</t>
        </is>
      </c>
      <c r="G12" t="inlineStr">
        <is>
          <t>BOLLNÄS</t>
        </is>
      </c>
      <c r="I12" t="n">
        <v>8.5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Månlåsbräken
Sandviol</t>
        </is>
      </c>
      <c r="W12">
        <f>HYPERLINK("https://klasma.github.io/Logging_2183/artfynd/A 11946-2026 artfynd.xlsx", "A 11946-2026")</f>
        <v/>
      </c>
      <c r="X12">
        <f>HYPERLINK("https://klasma.github.io/Logging_2183/kartor/A 11946-2026 karta.png", "A 11946-2026")</f>
        <v/>
      </c>
      <c r="Y12">
        <f>HYPERLINK("https://klasma.github.io/Logging_2183/kartor_geotiff/A 11946-2026 georefererad karta.tif", "A 11946-2026")</f>
        <v/>
      </c>
      <c r="AA12">
        <f>HYPERLINK("https://klasma.github.io/Logging_2183/klagomål/A 11946-2026 FSC-klagomål.docx", "A 11946-2026")</f>
        <v/>
      </c>
      <c r="AB12">
        <f>HYPERLINK("https://klasma.github.io/Logging_2183/klagomålsmail/A 11946-2026 FSC-klagomål mail.docx", "A 11946-2026")</f>
        <v/>
      </c>
      <c r="AC12">
        <f>HYPERLINK("https://klasma.github.io/Logging_2183/tillsyn/A 11946-2026 tillsynsbegäran.docx", "A 11946-2026")</f>
        <v/>
      </c>
      <c r="AD12">
        <f>HYPERLINK("https://klasma.github.io/Logging_2183/tillsynsmail/A 11946-2026 tillsynsbegäran mail.docx", "A 11946-2026")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46292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46292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46292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46292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46292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46292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46292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46292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46292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46292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38529-2022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46292</v>
      </c>
      <c r="F23" t="inlineStr">
        <is>
          <t>GÄVLEBORGS LÄN</t>
        </is>
      </c>
      <c r="G23" t="inlineStr">
        <is>
          <t>BOLLNÄS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Skrovlig taggsvamp</t>
        </is>
      </c>
      <c r="W23">
        <f>HYPERLINK("https://klasma.github.io/Logging_2183/artfynd/A 38529-2022 artfynd.xlsx", "A 38529-2022")</f>
        <v/>
      </c>
      <c r="X23">
        <f>HYPERLINK("https://klasma.github.io/Logging_2183/kartor/A 38529-2022 karta.png", "A 38529-2022")</f>
        <v/>
      </c>
      <c r="Y23">
        <f>HYPERLINK("https://klasma.github.io/Logging_2183/kartor_geotiff/A 38529-2022 georefererad karta.tif", "A 38529-2022")</f>
        <v/>
      </c>
      <c r="AA23">
        <f>HYPERLINK("https://klasma.github.io/Logging_2183/klagomål/A 38529-2022 FSC-klagomål.docx", "A 38529-2022")</f>
        <v/>
      </c>
      <c r="AB23">
        <f>HYPERLINK("https://klasma.github.io/Logging_2183/klagomålsmail/A 38529-2022 FSC-klagomål mail.docx", "A 38529-2022")</f>
        <v/>
      </c>
      <c r="AC23">
        <f>HYPERLINK("https://klasma.github.io/Logging_2183/tillsyn/A 38529-2022 tillsynsbegäran.docx", "A 38529-2022")</f>
        <v/>
      </c>
      <c r="AD23">
        <f>HYPERLINK("https://klasma.github.io/Logging_2183/tillsynsmail/A 38529-2022 tillsynsbegäran mail.docx", "A 38529-2022")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46292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46292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46292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46292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46292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46292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46292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14438-2026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46292</v>
      </c>
      <c r="F31" t="inlineStr">
        <is>
          <t>GÄVLEBORGS LÄN</t>
        </is>
      </c>
      <c r="G31" t="inlineStr">
        <is>
          <t>BOLLNÄS</t>
        </is>
      </c>
      <c r="I31" t="n">
        <v>26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Dofttaggsvamp</t>
        </is>
      </c>
      <c r="W31">
        <f>HYPERLINK("https://klasma.github.io/Logging_2183/artfynd/A 14438-2026 artfynd.xlsx", "A 14438-2026")</f>
        <v/>
      </c>
      <c r="X31">
        <f>HYPERLINK("https://klasma.github.io/Logging_2183/kartor/A 14438-2026 karta.png", "A 14438-2026")</f>
        <v/>
      </c>
      <c r="Y31">
        <f>HYPERLINK("https://klasma.github.io/Logging_2183/kartor_geotiff/A 14438-2026 georefererad karta.tif", "A 14438-2026")</f>
        <v/>
      </c>
      <c r="AA31">
        <f>HYPERLINK("https://klasma.github.io/Logging_2183/klagomål/A 14438-2026 FSC-klagomål.docx", "A 14438-2026")</f>
        <v/>
      </c>
      <c r="AB31">
        <f>HYPERLINK("https://klasma.github.io/Logging_2183/klagomålsmail/A 14438-2026 FSC-klagomål mail.docx", "A 14438-2026")</f>
        <v/>
      </c>
      <c r="AC31">
        <f>HYPERLINK("https://klasma.github.io/Logging_2183/tillsyn/A 14438-2026 tillsynsbegäran.docx", "A 14438-2026")</f>
        <v/>
      </c>
      <c r="AD31">
        <f>HYPERLINK("https://klasma.github.io/Logging_2183/tillsynsmail/A 14438-2026 tillsynsbegäran mail.docx", "A 14438-2026")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46292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46292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22731-2022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46292</v>
      </c>
      <c r="F34" t="inlineStr">
        <is>
          <t>GÄVLEBORGS LÄN</t>
        </is>
      </c>
      <c r="G34" t="inlineStr">
        <is>
          <t>BOLLNÄS</t>
        </is>
      </c>
      <c r="I34" t="n">
        <v>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Brunklöver</t>
        </is>
      </c>
      <c r="W34">
        <f>HYPERLINK("https://klasma.github.io/Logging_2183/artfynd/A 22731-2022 artfynd.xlsx", "A 22731-2022")</f>
        <v/>
      </c>
      <c r="X34">
        <f>HYPERLINK("https://klasma.github.io/Logging_2183/kartor/A 22731-2022 karta.png", "A 22731-2022")</f>
        <v/>
      </c>
      <c r="Y34">
        <f>HYPERLINK("https://klasma.github.io/Logging_2183/kartor_geotiff/A 22731-2022 georefererad karta.tif", "A 22731-2022")</f>
        <v/>
      </c>
      <c r="AA34">
        <f>HYPERLINK("https://klasma.github.io/Logging_2183/klagomål/A 22731-2022 FSC-klagomål.docx", "A 22731-2022")</f>
        <v/>
      </c>
      <c r="AB34">
        <f>HYPERLINK("https://klasma.github.io/Logging_2183/klagomålsmail/A 22731-2022 FSC-klagomål mail.docx", "A 22731-2022")</f>
        <v/>
      </c>
      <c r="AC34">
        <f>HYPERLINK("https://klasma.github.io/Logging_2183/tillsyn/A 22731-2022 tillsynsbegäran.docx", "A 22731-2022")</f>
        <v/>
      </c>
      <c r="AD34">
        <f>HYPERLINK("https://klasma.github.io/Logging_2183/tillsynsmail/A 22731-2022 tillsynsbegäran mail.docx", "A 22731-2022")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46292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13034-2026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46093</v>
      </c>
      <c r="E36" s="1" t="n">
        <v>46292</v>
      </c>
      <c r="F36" t="inlineStr">
        <is>
          <t>GÄVLEBORGS LÄN</t>
        </is>
      </c>
      <c r="G36" t="inlineStr">
        <is>
          <t>BOLLNÄS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Skogsfru</t>
        </is>
      </c>
      <c r="W36">
        <f>HYPERLINK("https://klasma.github.io/Logging_2183/artfynd/A 13034-2026 artfynd.xlsx", "A 13034-2026")</f>
        <v/>
      </c>
      <c r="X36">
        <f>HYPERLINK("https://klasma.github.io/Logging_2183/kartor/A 13034-2026 karta.png", "A 13034-2026")</f>
        <v/>
      </c>
      <c r="Y36">
        <f>HYPERLINK("https://klasma.github.io/Logging_2183/kartor_geotiff/A 13034-2026 georefererad karta.tif", "A 13034-2026")</f>
        <v/>
      </c>
      <c r="AA36">
        <f>HYPERLINK("https://klasma.github.io/Logging_2183/klagomål/A 13034-2026 FSC-klagomål.docx", "A 13034-2026")</f>
        <v/>
      </c>
      <c r="AB36">
        <f>HYPERLINK("https://klasma.github.io/Logging_2183/klagomålsmail/A 13034-2026 FSC-klagomål mail.docx", "A 13034-2026")</f>
        <v/>
      </c>
      <c r="AC36">
        <f>HYPERLINK("https://klasma.github.io/Logging_2183/tillsyn/A 13034-2026 tillsynsbegäran.docx", "A 13034-2026")</f>
        <v/>
      </c>
      <c r="AD36">
        <f>HYPERLINK("https://klasma.github.io/Logging_2183/tillsynsmail/A 13034-2026 tillsynsbegäran mail.docx", "A 13034-2026")</f>
        <v/>
      </c>
    </row>
    <row r="37" ht="15" customHeight="1">
      <c r="A37" t="inlineStr">
        <is>
          <t>A 510-2026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46292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Slaguggla</t>
        </is>
      </c>
      <c r="W37">
        <f>HYPERLINK("https://klasma.github.io/Logging_2183/artfynd/A 510-2026 artfynd.xlsx", "A 510-2026")</f>
        <v/>
      </c>
      <c r="X37">
        <f>HYPERLINK("https://klasma.github.io/Logging_2183/kartor/A 510-2026 karta.png", "A 510-2026")</f>
        <v/>
      </c>
      <c r="Y37">
        <f>HYPERLINK("https://klasma.github.io/Logging_2183/kartor_geotiff/A 510-2026 georefererad karta.tif", "A 510-2026")</f>
        <v/>
      </c>
      <c r="AA37">
        <f>HYPERLINK("https://klasma.github.io/Logging_2183/klagomål/A 510-2026 FSC-klagomål.docx", "A 510-2026")</f>
        <v/>
      </c>
      <c r="AB37">
        <f>HYPERLINK("https://klasma.github.io/Logging_2183/klagomålsmail/A 510-2026 FSC-klagomål mail.docx", "A 510-2026")</f>
        <v/>
      </c>
      <c r="AC37">
        <f>HYPERLINK("https://klasma.github.io/Logging_2183/tillsyn/A 510-2026 tillsynsbegäran.docx", "A 510-2026")</f>
        <v/>
      </c>
      <c r="AD37">
        <f>HYPERLINK("https://klasma.github.io/Logging_2183/tillsynsmail/A 510-2026 tillsynsbegäran mail.docx", "A 510-2026")</f>
        <v/>
      </c>
      <c r="AE37">
        <f>HYPERLINK("https://klasma.github.io/Logging_2183/fåglar/A 510-2026 prioriterade fågelarter.docx", "A 510-2026")</f>
        <v/>
      </c>
    </row>
    <row r="38" ht="15" customHeight="1">
      <c r="A38" t="inlineStr">
        <is>
          <t>A 14979-2026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46292</v>
      </c>
      <c r="F38" t="inlineStr">
        <is>
          <t>GÄVLEBORGS LÄN</t>
        </is>
      </c>
      <c r="G38" t="inlineStr">
        <is>
          <t>BOLLNÄS</t>
        </is>
      </c>
      <c r="I38" t="n">
        <v>25.1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14979-2026 artfynd.xlsx", "A 14979-2026")</f>
        <v/>
      </c>
      <c r="X38">
        <f>HYPERLINK("https://klasma.github.io/Logging_2183/kartor/A 14979-2026 karta.png", "A 14979-2026")</f>
        <v/>
      </c>
      <c r="Y38">
        <f>HYPERLINK("https://klasma.github.io/Logging_2183/kartor_geotiff/A 14979-2026 georefererad karta.tif", "A 14979-2026")</f>
        <v/>
      </c>
      <c r="AA38">
        <f>HYPERLINK("https://klasma.github.io/Logging_2183/klagomål/A 14979-2026 FSC-klagomål.docx", "A 14979-2026")</f>
        <v/>
      </c>
      <c r="AB38">
        <f>HYPERLINK("https://klasma.github.io/Logging_2183/klagomålsmail/A 14979-2026 FSC-klagomål mail.docx", "A 14979-2026")</f>
        <v/>
      </c>
      <c r="AC38">
        <f>HYPERLINK("https://klasma.github.io/Logging_2183/tillsyn/A 14979-2026 tillsynsbegäran.docx", "A 14979-2026")</f>
        <v/>
      </c>
      <c r="AD38">
        <f>HYPERLINK("https://klasma.github.io/Logging_2183/tillsynsmail/A 14979-2026 tillsynsbegäran mail.docx", "A 14979-2026")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46292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41663-2025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45902</v>
      </c>
      <c r="E40" s="1" t="n">
        <v>46292</v>
      </c>
      <c r="F40" t="inlineStr">
        <is>
          <t>GÄVLEBORGS LÄN</t>
        </is>
      </c>
      <c r="G40" t="inlineStr">
        <is>
          <t>BOLLNÄS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HYPERLINK("https://klasma.github.io/Logging_2183/artfynd/A 41663-2025 artfynd.xlsx", "A 41663-2025")</f>
        <v/>
      </c>
      <c r="X40">
        <f>HYPERLINK("https://klasma.github.io/Logging_2183/kartor/A 41663-2025 karta.png", "A 41663-2025")</f>
        <v/>
      </c>
      <c r="Y40">
        <f>HYPERLINK("https://klasma.github.io/Logging_2183/kartor_geotiff/A 41663-2025 georefererad karta.tif", "A 41663-2025")</f>
        <v/>
      </c>
      <c r="AA40">
        <f>HYPERLINK("https://klasma.github.io/Logging_2183/klagomål/A 41663-2025 FSC-klagomål.docx", "A 41663-2025")</f>
        <v/>
      </c>
      <c r="AB40">
        <f>HYPERLINK("https://klasma.github.io/Logging_2183/klagomålsmail/A 41663-2025 FSC-klagomål mail.docx", "A 41663-2025")</f>
        <v/>
      </c>
      <c r="AC40">
        <f>HYPERLINK("https://klasma.github.io/Logging_2183/tillsyn/A 41663-2025 tillsynsbegäran.docx", "A 41663-2025")</f>
        <v/>
      </c>
      <c r="AD40">
        <f>HYPERLINK("https://klasma.github.io/Logging_2183/tillsynsmail/A 41663-2025 tillsynsbegäran mail.docx", "A 41663-2025")</f>
        <v/>
      </c>
    </row>
    <row r="41" ht="15" customHeight="1">
      <c r="A41" t="inlineStr">
        <is>
          <t>A 32411-2025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46292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HYPERLINK("https://klasma.github.io/Logging_2183/artfynd/A 32411-2025 artfynd.xlsx", "A 32411-2025")</f>
        <v/>
      </c>
      <c r="X41">
        <f>HYPERLINK("https://klasma.github.io/Logging_2183/kartor/A 32411-2025 karta.png", "A 32411-2025")</f>
        <v/>
      </c>
      <c r="Y41">
        <f>HYPERLINK("https://klasma.github.io/Logging_2183/kartor_geotiff/A 32411-2025 georefererad karta.tif", "A 32411-2025")</f>
        <v/>
      </c>
      <c r="AA41">
        <f>HYPERLINK("https://klasma.github.io/Logging_2183/klagomål/A 32411-2025 FSC-klagomål.docx", "A 32411-2025")</f>
        <v/>
      </c>
      <c r="AB41">
        <f>HYPERLINK("https://klasma.github.io/Logging_2183/klagomålsmail/A 32411-2025 FSC-klagomål mail.docx", "A 32411-2025")</f>
        <v/>
      </c>
      <c r="AC41">
        <f>HYPERLINK("https://klasma.github.io/Logging_2183/tillsyn/A 32411-2025 tillsynsbegäran.docx", "A 32411-2025")</f>
        <v/>
      </c>
      <c r="AD41">
        <f>HYPERLINK("https://klasma.github.io/Logging_2183/tillsynsmail/A 32411-2025 tillsynsbegäran mail.docx", "A 32411-2025")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46292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46292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35088-2026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46292</v>
      </c>
      <c r="F44" t="inlineStr">
        <is>
          <t>GÄVLEBORGS LÄN</t>
        </is>
      </c>
      <c r="G44" t="inlineStr">
        <is>
          <t>BOLLNÄS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Skogsfru</t>
        </is>
      </c>
      <c r="W44">
        <f>HYPERLINK("https://klasma.github.io/Logging_2183/artfynd/A 35088-2026 artfynd.xlsx", "A 35088-2026")</f>
        <v/>
      </c>
      <c r="X44">
        <f>HYPERLINK("https://klasma.github.io/Logging_2183/kartor/A 35088-2026 karta.png", "A 35088-2026")</f>
        <v/>
      </c>
      <c r="Y44">
        <f>HYPERLINK("https://klasma.github.io/Logging_2183/kartor_geotiff/A 35088-2026 georefererad karta.tif", "A 35088-2026")</f>
        <v/>
      </c>
      <c r="AA44">
        <f>HYPERLINK("https://klasma.github.io/Logging_2183/klagomål/A 35088-2026 FSC-klagomål.docx", "A 35088-2026")</f>
        <v/>
      </c>
      <c r="AB44">
        <f>HYPERLINK("https://klasma.github.io/Logging_2183/klagomålsmail/A 35088-2026 FSC-klagomål mail.docx", "A 35088-2026")</f>
        <v/>
      </c>
      <c r="AC44">
        <f>HYPERLINK("https://klasma.github.io/Logging_2183/tillsyn/A 35088-2026 tillsynsbegäran.docx", "A 35088-2026")</f>
        <v/>
      </c>
      <c r="AD44">
        <f>HYPERLINK("https://klasma.github.io/Logging_2183/tillsynsmail/A 35088-2026 tillsynsbegäran mail.docx", "A 35088-2026")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46292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46292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46292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46292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46292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46292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46292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29712-2023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46292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Nordfladdermus</t>
        </is>
      </c>
      <c r="W53">
        <f>HYPERLINK("https://klasma.github.io/Logging_2183/artfynd/A 29712-2023 artfynd.xlsx", "A 29712-2023")</f>
        <v/>
      </c>
      <c r="X53">
        <f>HYPERLINK("https://klasma.github.io/Logging_2183/kartor/A 29712-2023 karta.png", "A 29712-2023")</f>
        <v/>
      </c>
      <c r="Y53">
        <f>HYPERLINK("https://klasma.github.io/Logging_2183/kartor_geotiff/A 29712-2023 georefererad karta.tif", "A 29712-2023")</f>
        <v/>
      </c>
      <c r="AA53">
        <f>HYPERLINK("https://klasma.github.io/Logging_2183/klagomål/A 29712-2023 FSC-klagomål.docx", "A 29712-2023")</f>
        <v/>
      </c>
      <c r="AB53">
        <f>HYPERLINK("https://klasma.github.io/Logging_2183/klagomålsmail/A 29712-2023 FSC-klagomål mail.docx", "A 29712-2023")</f>
        <v/>
      </c>
      <c r="AC53">
        <f>HYPERLINK("https://klasma.github.io/Logging_2183/tillsyn/A 29712-2023 tillsynsbegäran.docx", "A 29712-2023")</f>
        <v/>
      </c>
      <c r="AD53">
        <f>HYPERLINK("https://klasma.github.io/Logging_2183/tillsynsmail/A 29712-2023 tillsynsbegäran mail.docx", "A 29712-2023")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46292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46292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46292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1535-2023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45054</v>
      </c>
      <c r="E57" s="1" t="n">
        <v>46292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13.8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HYPERLINK("https://klasma.github.io/Logging_2183/artfynd/S 1535-2023 artfynd.xlsx", "S 1535-2023")</f>
        <v/>
      </c>
      <c r="X57">
        <f>HYPERLINK("https://klasma.github.io/Logging_2183/kartor/S 1535-2023 karta.png", "S 1535-2023")</f>
        <v/>
      </c>
      <c r="Y57">
        <f>HYPERLINK("https://klasma.github.io/Logging_2183/kartor_geotiff/S 1535-2023 georefererad karta.tif", "S 1535-2023")</f>
        <v/>
      </c>
      <c r="AA57">
        <f>HYPERLINK("https://klasma.github.io/Logging_2183/klagomål/S 1535-2023 FSC-klagomål.docx", "S 1535-2023")</f>
        <v/>
      </c>
      <c r="AB57">
        <f>HYPERLINK("https://klasma.github.io/Logging_2183/klagomålsmail/S 1535-2023 FSC-klagomål mail.docx", "S 1535-2023")</f>
        <v/>
      </c>
      <c r="AC57">
        <f>HYPERLINK("https://klasma.github.io/Logging_2183/tillsyn/S 1535-2023 tillsynsbegäran.docx", "S 1535-2023")</f>
        <v/>
      </c>
      <c r="AD57">
        <f>HYPERLINK("https://klasma.github.io/Logging_2183/tillsynsmail/S 1535-2023 tillsynsbegäran mail.docx", "S 1535-2023")</f>
        <v/>
      </c>
      <c r="AE57">
        <f>HYPERLINK("https://klasma.github.io/Logging_2183/fåglar/S 1535-2023 prioriterade fågelarter.docx", "S 1535-2023")</f>
        <v/>
      </c>
    </row>
    <row r="58" ht="15" customHeight="1">
      <c r="A58" t="inlineStr">
        <is>
          <t>S 2952-2025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45952</v>
      </c>
      <c r="E58" s="1" t="n">
        <v>46292</v>
      </c>
      <c r="F58" t="inlineStr">
        <is>
          <t>GÄVLEBORGS LÄN</t>
        </is>
      </c>
      <c r="G58" t="inlineStr">
        <is>
          <t>BOLLNÄS</t>
        </is>
      </c>
      <c r="H58" t="inlineStr">
        <is>
          <t>Sveaskog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HYPERLINK("https://klasma.github.io/Logging_2183/artfynd/S 2952-2025 artfynd.xlsx", "S 2952-2025")</f>
        <v/>
      </c>
      <c r="X58">
        <f>HYPERLINK("https://klasma.github.io/Logging_2183/kartor/S 2952-2025 karta.png", "S 2952-2025")</f>
        <v/>
      </c>
      <c r="Y58">
        <f>HYPERLINK("https://klasma.github.io/Logging_2183/kartor_geotiff/S 2952-2025 georefererad karta.tif", "S 2952-2025")</f>
        <v/>
      </c>
      <c r="AA58">
        <f>HYPERLINK("https://klasma.github.io/Logging_2183/klagomål/S 2952-2025 FSC-klagomål.docx", "S 2952-2025")</f>
        <v/>
      </c>
      <c r="AB58">
        <f>HYPERLINK("https://klasma.github.io/Logging_2183/klagomålsmail/S 2952-2025 FSC-klagomål mail.docx", "S 2952-2025")</f>
        <v/>
      </c>
      <c r="AC58">
        <f>HYPERLINK("https://klasma.github.io/Logging_2183/tillsyn/S 2952-2025 tillsynsbegäran.docx", "S 2952-2025")</f>
        <v/>
      </c>
      <c r="AD58">
        <f>HYPERLINK("https://klasma.github.io/Logging_2183/tillsynsmail/S 2952-2025 tillsynsbegäran mail.docx", "S 2952-2025")</f>
        <v/>
      </c>
    </row>
    <row r="59" ht="15" customHeight="1">
      <c r="A59" t="inlineStr">
        <is>
          <t>A 53069-2022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46292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46292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46292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46292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46292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46292</v>
      </c>
      <c r="F64" t="inlineStr">
        <is>
          <t>GÄVLEBORGS LÄN</t>
        </is>
      </c>
      <c r="G64" t="inlineStr">
        <is>
          <t>BOLLNÄS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46292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46292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46292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46292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46292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46292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46292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46292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46292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46292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46292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46292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46292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46292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46292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46292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46292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46292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46292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46292</v>
      </c>
      <c r="F84" t="inlineStr">
        <is>
          <t>GÄVLEBORGS LÄN</t>
        </is>
      </c>
      <c r="G84" t="inlineStr">
        <is>
          <t>BOLLNÄS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46292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46292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46292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46292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46292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46292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46292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46292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46292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46292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46292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46292</v>
      </c>
      <c r="F96" t="inlineStr">
        <is>
          <t>GÄVLEBORGS LÄN</t>
        </is>
      </c>
      <c r="G96" t="inlineStr">
        <is>
          <t>BOLLNÄS</t>
        </is>
      </c>
      <c r="H96" t="inlineStr">
        <is>
          <t>Bergvik skog väst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46292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46292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46292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46292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46292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46292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44483</v>
      </c>
      <c r="E103" s="1" t="n">
        <v>46292</v>
      </c>
      <c r="F103" t="inlineStr">
        <is>
          <t>GÄVLEBORGS LÄN</t>
        </is>
      </c>
      <c r="G103" t="inlineStr">
        <is>
          <t>BOLLNÄS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46292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44603</v>
      </c>
      <c r="E105" s="1" t="n">
        <v>46292</v>
      </c>
      <c r="F105" t="inlineStr">
        <is>
          <t>GÄVLEBORGS LÄN</t>
        </is>
      </c>
      <c r="G105" t="inlineStr">
        <is>
          <t>BOLLNÄS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44728</v>
      </c>
      <c r="E106" s="1" t="n">
        <v>46292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63882-2021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44509</v>
      </c>
      <c r="E107" s="1" t="n">
        <v>46292</v>
      </c>
      <c r="F107" t="inlineStr">
        <is>
          <t>GÄVLEBORGS LÄN</t>
        </is>
      </c>
      <c r="G107" t="inlineStr">
        <is>
          <t>BOLLNÄS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46292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46292</v>
      </c>
      <c r="F109" t="inlineStr">
        <is>
          <t>GÄVLEBORGS LÄN</t>
        </is>
      </c>
      <c r="G109" t="inlineStr">
        <is>
          <t>BOLLNÄS</t>
        </is>
      </c>
      <c r="H109" t="inlineStr">
        <is>
          <t>Bergvik skog väst AB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46292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46292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46292</v>
      </c>
      <c r="F112" t="inlineStr">
        <is>
          <t>GÄVLEBORGS LÄN</t>
        </is>
      </c>
      <c r="G112" t="inlineStr">
        <is>
          <t>BOLLNÄS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46292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44722</v>
      </c>
      <c r="E114" s="1" t="n">
        <v>46292</v>
      </c>
      <c r="F114" t="inlineStr">
        <is>
          <t>GÄVLEBORGS LÄN</t>
        </is>
      </c>
      <c r="G114" t="inlineStr">
        <is>
          <t>BOLLNÄS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46292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46292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44151-2022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44839</v>
      </c>
      <c r="E117" s="1" t="n">
        <v>46292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46292</v>
      </c>
      <c r="F118" t="inlineStr">
        <is>
          <t>GÄVLEBORGS LÄN</t>
        </is>
      </c>
      <c r="G118" t="inlineStr">
        <is>
          <t>BOLLNÄS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46292</v>
      </c>
      <c r="F119" t="inlineStr">
        <is>
          <t>GÄVLEBORGS LÄN</t>
        </is>
      </c>
      <c r="G119" t="inlineStr">
        <is>
          <t>BOLLNÄS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22126-2022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44712</v>
      </c>
      <c r="E120" s="1" t="n">
        <v>46292</v>
      </c>
      <c r="F120" t="inlineStr">
        <is>
          <t>GÄVLEBORGS LÄN</t>
        </is>
      </c>
      <c r="G120" t="inlineStr">
        <is>
          <t>BOLLNÄS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46292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46292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46292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46292</v>
      </c>
      <c r="F124" t="inlineStr">
        <is>
          <t>GÄVLEBORGS LÄN</t>
        </is>
      </c>
      <c r="G124" t="inlineStr">
        <is>
          <t>BOLLNÄS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46292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45041</v>
      </c>
      <c r="E126" s="1" t="n">
        <v>46292</v>
      </c>
      <c r="F126" t="inlineStr">
        <is>
          <t>GÄVLEBORGS LÄN</t>
        </is>
      </c>
      <c r="G126" t="inlineStr">
        <is>
          <t>BOLLNÄS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45677</v>
      </c>
      <c r="E127" s="1" t="n">
        <v>46292</v>
      </c>
      <c r="F127" t="inlineStr">
        <is>
          <t>GÄVLEBORGS LÄN</t>
        </is>
      </c>
      <c r="G127" t="inlineStr">
        <is>
          <t>BOLLNÄS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46292</v>
      </c>
      <c r="F128" t="inlineStr">
        <is>
          <t>GÄVLEBORGS LÄN</t>
        </is>
      </c>
      <c r="G128" t="inlineStr">
        <is>
          <t>BOLLNÄS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46292</v>
      </c>
      <c r="F129" t="inlineStr">
        <is>
          <t>GÄVLEBORGS LÄN</t>
        </is>
      </c>
      <c r="G129" t="inlineStr">
        <is>
          <t>BOLLNÄS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46292</v>
      </c>
      <c r="F130" t="inlineStr">
        <is>
          <t>GÄVLEBORGS LÄN</t>
        </is>
      </c>
      <c r="G130" t="inlineStr">
        <is>
          <t>BOLLNÄS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46292</v>
      </c>
      <c r="F131" t="inlineStr">
        <is>
          <t>GÄVLEBORGS LÄN</t>
        </is>
      </c>
      <c r="G131" t="inlineStr">
        <is>
          <t>BOLLNÄS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46292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46292</v>
      </c>
      <c r="F133" t="inlineStr">
        <is>
          <t>GÄVLEBORGS LÄN</t>
        </is>
      </c>
      <c r="G133" t="inlineStr">
        <is>
          <t>BOLLNÄS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46292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46292</v>
      </c>
      <c r="F135" t="inlineStr">
        <is>
          <t>GÄVLEBORGS LÄN</t>
        </is>
      </c>
      <c r="G135" t="inlineStr">
        <is>
          <t>BOLLNÄS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46292</v>
      </c>
      <c r="F136" t="inlineStr">
        <is>
          <t>GÄVLEBORGS LÄN</t>
        </is>
      </c>
      <c r="G136" t="inlineStr">
        <is>
          <t>BOLLNÄS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46292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46292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46292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46292</v>
      </c>
      <c r="F140" t="inlineStr">
        <is>
          <t>GÄVLEBORGS LÄN</t>
        </is>
      </c>
      <c r="G140" t="inlineStr">
        <is>
          <t>BOLLNÄS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46292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46292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46292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46292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46292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46292</v>
      </c>
      <c r="F146" t="inlineStr">
        <is>
          <t>GÄVLEBORGS LÄN</t>
        </is>
      </c>
      <c r="G146" t="inlineStr">
        <is>
          <t>BOLLNÄS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46292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46292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46292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46292</v>
      </c>
      <c r="F150" t="inlineStr">
        <is>
          <t>GÄVLEBORGS LÄN</t>
        </is>
      </c>
      <c r="G150" t="inlineStr">
        <is>
          <t>BOLLNÄS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46292</v>
      </c>
      <c r="F151" t="inlineStr">
        <is>
          <t>GÄVLEBORGS LÄN</t>
        </is>
      </c>
      <c r="G151" t="inlineStr">
        <is>
          <t>BOLLNÄS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46292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46292</v>
      </c>
      <c r="F153" t="inlineStr">
        <is>
          <t>GÄVLEBORGS LÄN</t>
        </is>
      </c>
      <c r="G153" t="inlineStr">
        <is>
          <t>BOLLNÄS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46292</v>
      </c>
      <c r="F154" t="inlineStr">
        <is>
          <t>GÄVLEBORGS LÄN</t>
        </is>
      </c>
      <c r="G154" t="inlineStr">
        <is>
          <t>BOLLNÄS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46292</v>
      </c>
      <c r="F155" t="inlineStr">
        <is>
          <t>GÄVLEBORGS LÄN</t>
        </is>
      </c>
      <c r="G155" t="inlineStr">
        <is>
          <t>BOLLNÄS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46292</v>
      </c>
      <c r="F156" t="inlineStr">
        <is>
          <t>GÄVLEBORGS LÄN</t>
        </is>
      </c>
      <c r="G156" t="inlineStr">
        <is>
          <t>BOLLNÄS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46292</v>
      </c>
      <c r="F157" t="inlineStr">
        <is>
          <t>GÄVLEBORGS LÄN</t>
        </is>
      </c>
      <c r="G157" t="inlineStr">
        <is>
          <t>BOLLNÄS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46292</v>
      </c>
      <c r="F158" t="inlineStr">
        <is>
          <t>GÄVLEBORGS LÄN</t>
        </is>
      </c>
      <c r="G158" t="inlineStr">
        <is>
          <t>BOLLNÄS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46292</v>
      </c>
      <c r="F159" t="inlineStr">
        <is>
          <t>GÄVLEBORGS LÄN</t>
        </is>
      </c>
      <c r="G159" t="inlineStr">
        <is>
          <t>BOLLNÄS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46292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46292</v>
      </c>
      <c r="F161" t="inlineStr">
        <is>
          <t>GÄVLEBORGS LÄN</t>
        </is>
      </c>
      <c r="G161" t="inlineStr">
        <is>
          <t>BOLLNÄS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46292</v>
      </c>
      <c r="F162" t="inlineStr">
        <is>
          <t>GÄVLEBORGS LÄN</t>
        </is>
      </c>
      <c r="G162" t="inlineStr">
        <is>
          <t>BOLLNÄS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46292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46292</v>
      </c>
      <c r="F164" t="inlineStr">
        <is>
          <t>GÄVLEBORGS LÄN</t>
        </is>
      </c>
      <c r="G164" t="inlineStr">
        <is>
          <t>BOLLNÄS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46292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46292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46292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46292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46292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46292</v>
      </c>
      <c r="F170" t="inlineStr">
        <is>
          <t>GÄVLEBORGS LÄN</t>
        </is>
      </c>
      <c r="G170" t="inlineStr">
        <is>
          <t>BOLLNÄS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46292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46292</v>
      </c>
      <c r="F172" t="inlineStr">
        <is>
          <t>GÄVLEBORGS LÄN</t>
        </is>
      </c>
      <c r="G172" t="inlineStr">
        <is>
          <t>BOLLNÄS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46292</v>
      </c>
      <c r="F173" t="inlineStr">
        <is>
          <t>GÄVLEBORGS LÄN</t>
        </is>
      </c>
      <c r="G173" t="inlineStr">
        <is>
          <t>BOLLNÄS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46292</v>
      </c>
      <c r="F174" t="inlineStr">
        <is>
          <t>GÄVLEBORGS LÄN</t>
        </is>
      </c>
      <c r="G174" t="inlineStr">
        <is>
          <t>BOLLNÄS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46292</v>
      </c>
      <c r="F175" t="inlineStr">
        <is>
          <t>GÄVLEBORGS LÄN</t>
        </is>
      </c>
      <c r="G175" t="inlineStr">
        <is>
          <t>BOLLNÄS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46292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46292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46292</v>
      </c>
      <c r="F178" t="inlineStr">
        <is>
          <t>GÄVLEBORGS LÄN</t>
        </is>
      </c>
      <c r="G178" t="inlineStr">
        <is>
          <t>BOLLNÄS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46292</v>
      </c>
      <c r="F179" t="inlineStr">
        <is>
          <t>GÄVLEBORGS LÄN</t>
        </is>
      </c>
      <c r="G179" t="inlineStr">
        <is>
          <t>BOLLNÄS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46292</v>
      </c>
      <c r="F180" t="inlineStr">
        <is>
          <t>GÄVLEBORGS LÄN</t>
        </is>
      </c>
      <c r="G180" t="inlineStr">
        <is>
          <t>BOLLNÄS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46292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46292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46292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46292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45497</v>
      </c>
      <c r="E185" s="1" t="n">
        <v>46292</v>
      </c>
      <c r="F185" t="inlineStr">
        <is>
          <t>GÄVLEBORGS LÄN</t>
        </is>
      </c>
      <c r="G185" t="inlineStr">
        <is>
          <t>BOLLNÄS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46292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46292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45506</v>
      </c>
      <c r="E188" s="1" t="n">
        <v>46292</v>
      </c>
      <c r="F188" t="inlineStr">
        <is>
          <t>GÄVLEBORGS LÄN</t>
        </is>
      </c>
      <c r="G188" t="inlineStr">
        <is>
          <t>BOLLNÄS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46292</v>
      </c>
      <c r="F189" t="inlineStr">
        <is>
          <t>GÄVLEBORGS LÄN</t>
        </is>
      </c>
      <c r="G189" t="inlineStr">
        <is>
          <t>BOLLNÄS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46292</v>
      </c>
      <c r="F190" t="inlineStr">
        <is>
          <t>GÄVLEBORGS LÄN</t>
        </is>
      </c>
      <c r="G190" t="inlineStr">
        <is>
          <t>BOLLNÄS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46292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46292</v>
      </c>
      <c r="F192" t="inlineStr">
        <is>
          <t>GÄVLEBORGS LÄN</t>
        </is>
      </c>
      <c r="G192" t="inlineStr">
        <is>
          <t>BOLLNÄS</t>
        </is>
      </c>
      <c r="I192" t="n">
        <v>15.2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46292</v>
      </c>
      <c r="F193" t="inlineStr">
        <is>
          <t>GÄVLEBORGS LÄN</t>
        </is>
      </c>
      <c r="G193" t="inlineStr">
        <is>
          <t>BOLLNÄS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46292</v>
      </c>
      <c r="F194" t="inlineStr">
        <is>
          <t>GÄVLEBORGS LÄN</t>
        </is>
      </c>
      <c r="G194" t="inlineStr">
        <is>
          <t>BOLLNÄS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46292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46292</v>
      </c>
      <c r="F196" t="inlineStr">
        <is>
          <t>GÄVLEBORGS LÄN</t>
        </is>
      </c>
      <c r="G196" t="inlineStr">
        <is>
          <t>BOLLNÄS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46292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45490</v>
      </c>
      <c r="E198" s="1" t="n">
        <v>46292</v>
      </c>
      <c r="F198" t="inlineStr">
        <is>
          <t>GÄVLEBORGS LÄN</t>
        </is>
      </c>
      <c r="G198" t="inlineStr">
        <is>
          <t>BOLLNÄS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46292</v>
      </c>
      <c r="F199" t="inlineStr">
        <is>
          <t>GÄVLEBORGS LÄN</t>
        </is>
      </c>
      <c r="G199" t="inlineStr">
        <is>
          <t>BOLLNÄS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46292</v>
      </c>
      <c r="F200" t="inlineStr">
        <is>
          <t>GÄVLEBORGS LÄN</t>
        </is>
      </c>
      <c r="G200" t="inlineStr">
        <is>
          <t>BOLLNÄS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46292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46292</v>
      </c>
      <c r="F202" t="inlineStr">
        <is>
          <t>GÄVLEBORGS LÄN</t>
        </is>
      </c>
      <c r="G202" t="inlineStr">
        <is>
          <t>BOLLNÄS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46292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46292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46292</v>
      </c>
      <c r="F205" t="inlineStr">
        <is>
          <t>GÄVLEBORGS LÄN</t>
        </is>
      </c>
      <c r="G205" t="inlineStr">
        <is>
          <t>BOLLNÄS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46292</v>
      </c>
      <c r="F206" t="inlineStr">
        <is>
          <t>GÄVLEBORGS LÄN</t>
        </is>
      </c>
      <c r="G206" t="inlineStr">
        <is>
          <t>BOLLNÄS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44526</v>
      </c>
      <c r="E207" s="1" t="n">
        <v>46292</v>
      </c>
      <c r="F207" t="inlineStr">
        <is>
          <t>GÄVLEBORGS LÄN</t>
        </is>
      </c>
      <c r="G207" t="inlineStr">
        <is>
          <t>BOLLNÄS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46292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46292</v>
      </c>
      <c r="F209" t="inlineStr">
        <is>
          <t>GÄVLEBORGS LÄN</t>
        </is>
      </c>
      <c r="G209" t="inlineStr">
        <is>
          <t>BOLLNÄS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46292</v>
      </c>
      <c r="F210" t="inlineStr">
        <is>
          <t>GÄVLEBORGS LÄN</t>
        </is>
      </c>
      <c r="G210" t="inlineStr">
        <is>
          <t>BOLLNÄS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46292</v>
      </c>
      <c r="F211" t="inlineStr">
        <is>
          <t>GÄVLEBORGS LÄN</t>
        </is>
      </c>
      <c r="G211" t="inlineStr">
        <is>
          <t>BOLLNÄS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46292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46292</v>
      </c>
      <c r="F213" t="inlineStr">
        <is>
          <t>GÄVLEBORGS LÄN</t>
        </is>
      </c>
      <c r="G213" t="inlineStr">
        <is>
          <t>BOLLNÄS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46292</v>
      </c>
      <c r="F214" t="inlineStr">
        <is>
          <t>GÄVLEBORGS LÄN</t>
        </is>
      </c>
      <c r="G214" t="inlineStr">
        <is>
          <t>BOLLNÄS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46292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46292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46292</v>
      </c>
      <c r="F217" t="inlineStr">
        <is>
          <t>GÄVLEBORGS LÄN</t>
        </is>
      </c>
      <c r="G217" t="inlineStr">
        <is>
          <t>BOLLNÄS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46292</v>
      </c>
      <c r="F218" t="inlineStr">
        <is>
          <t>GÄVLEBORGS LÄN</t>
        </is>
      </c>
      <c r="G218" t="inlineStr">
        <is>
          <t>BOLLNÄS</t>
        </is>
      </c>
      <c r="I218" t="n">
        <v>9.6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46292</v>
      </c>
      <c r="F219" t="inlineStr">
        <is>
          <t>GÄVLEBORGS LÄN</t>
        </is>
      </c>
      <c r="G219" t="inlineStr">
        <is>
          <t>BOLLNÄS</t>
        </is>
      </c>
      <c r="I219" t="n">
        <v>13.2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46292</v>
      </c>
      <c r="F220" t="inlineStr">
        <is>
          <t>GÄVLEBORGS LÄN</t>
        </is>
      </c>
      <c r="G220" t="inlineStr">
        <is>
          <t>BOLLNÄS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46292</v>
      </c>
      <c r="F221" t="inlineStr">
        <is>
          <t>GÄVLEBORGS LÄN</t>
        </is>
      </c>
      <c r="G221" t="inlineStr">
        <is>
          <t>BOLLNÄS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46292</v>
      </c>
      <c r="F222" t="inlineStr">
        <is>
          <t>GÄVLEBORGS LÄN</t>
        </is>
      </c>
      <c r="G222" t="inlineStr">
        <is>
          <t>BOLLNÄS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46292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46292</v>
      </c>
      <c r="F224" t="inlineStr">
        <is>
          <t>GÄVLEBORGS LÄN</t>
        </is>
      </c>
      <c r="G224" t="inlineStr">
        <is>
          <t>BOLLNÄS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46292</v>
      </c>
      <c r="F225" t="inlineStr">
        <is>
          <t>GÄVLEBORGS LÄN</t>
        </is>
      </c>
      <c r="G225" t="inlineStr">
        <is>
          <t>BOLLNÄS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46292</v>
      </c>
      <c r="F226" t="inlineStr">
        <is>
          <t>GÄVLEBORGS LÄN</t>
        </is>
      </c>
      <c r="G226" t="inlineStr">
        <is>
          <t>BOLLNÄS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46292</v>
      </c>
      <c r="F227" t="inlineStr">
        <is>
          <t>GÄVLEBORGS LÄN</t>
        </is>
      </c>
      <c r="G227" t="inlineStr">
        <is>
          <t>BOLLNÄS</t>
        </is>
      </c>
      <c r="I227" t="n">
        <v>26.9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46292</v>
      </c>
      <c r="F228" t="inlineStr">
        <is>
          <t>GÄVLEBORGS LÄN</t>
        </is>
      </c>
      <c r="G228" t="inlineStr">
        <is>
          <t>BOLLNÄS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46292</v>
      </c>
      <c r="F229" t="inlineStr">
        <is>
          <t>GÄVLEBORGS LÄN</t>
        </is>
      </c>
      <c r="G229" t="inlineStr">
        <is>
          <t>BOLLNÄS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46292</v>
      </c>
      <c r="F230" t="inlineStr">
        <is>
          <t>GÄVLEBORGS LÄN</t>
        </is>
      </c>
      <c r="G230" t="inlineStr">
        <is>
          <t>BOLLNÄS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46292</v>
      </c>
      <c r="F231" t="inlineStr">
        <is>
          <t>GÄVLEBORGS LÄN</t>
        </is>
      </c>
      <c r="G231" t="inlineStr">
        <is>
          <t>BOLLNÄS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46292</v>
      </c>
      <c r="F232" t="inlineStr">
        <is>
          <t>GÄVLEBORGS LÄN</t>
        </is>
      </c>
      <c r="G232" t="inlineStr">
        <is>
          <t>BOLLNÄS</t>
        </is>
      </c>
      <c r="I232" t="n">
        <v>24.3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46292</v>
      </c>
      <c r="F233" t="inlineStr">
        <is>
          <t>GÄVLEBORGS LÄN</t>
        </is>
      </c>
      <c r="G233" t="inlineStr">
        <is>
          <t>BOLLNÄS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46292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46292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46292</v>
      </c>
      <c r="F236" t="inlineStr">
        <is>
          <t>GÄVLEBORGS LÄN</t>
        </is>
      </c>
      <c r="G236" t="inlineStr">
        <is>
          <t>BOLLNÄS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45894</v>
      </c>
      <c r="E237" s="1" t="n">
        <v>46292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46292</v>
      </c>
      <c r="F238" t="inlineStr">
        <is>
          <t>GÄVLEBORGS LÄN</t>
        </is>
      </c>
      <c r="G238" t="inlineStr">
        <is>
          <t>BOLLNÄS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46292</v>
      </c>
      <c r="F239" t="inlineStr">
        <is>
          <t>GÄVLEBORGS LÄN</t>
        </is>
      </c>
      <c r="G239" t="inlineStr">
        <is>
          <t>BOLLNÄS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46292</v>
      </c>
      <c r="F240" t="inlineStr">
        <is>
          <t>GÄVLEBORGS LÄN</t>
        </is>
      </c>
      <c r="G240" t="inlineStr">
        <is>
          <t>BOLLNÄS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46292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46292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46292</v>
      </c>
      <c r="F243" t="inlineStr">
        <is>
          <t>GÄVLEBORGS LÄN</t>
        </is>
      </c>
      <c r="G243" t="inlineStr">
        <is>
          <t>BOLLNÄS</t>
        </is>
      </c>
      <c r="I243" t="n">
        <v>17.7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46292</v>
      </c>
      <c r="F244" t="inlineStr">
        <is>
          <t>GÄVLEBORGS LÄN</t>
        </is>
      </c>
      <c r="G244" t="inlineStr">
        <is>
          <t>BOLLNÄS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46292</v>
      </c>
      <c r="F245" t="inlineStr">
        <is>
          <t>GÄVLEBORGS LÄN</t>
        </is>
      </c>
      <c r="G245" t="inlineStr">
        <is>
          <t>BOLLNÄS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46292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46292</v>
      </c>
      <c r="F247" t="inlineStr">
        <is>
          <t>GÄVLEBORGS LÄN</t>
        </is>
      </c>
      <c r="G247" t="inlineStr">
        <is>
          <t>BOLLNÄS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46292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46292</v>
      </c>
      <c r="F249" t="inlineStr">
        <is>
          <t>GÄVLEBORGS LÄN</t>
        </is>
      </c>
      <c r="G249" t="inlineStr">
        <is>
          <t>BOLLNÄS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46292</v>
      </c>
      <c r="F250" t="inlineStr">
        <is>
          <t>GÄVLEBORGS LÄN</t>
        </is>
      </c>
      <c r="G250" t="inlineStr">
        <is>
          <t>BOLLNÄS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46292</v>
      </c>
      <c r="F251" t="inlineStr">
        <is>
          <t>GÄVLEBORGS LÄN</t>
        </is>
      </c>
      <c r="G251" t="inlineStr">
        <is>
          <t>BOLLNÄS</t>
        </is>
      </c>
      <c r="I251" t="n">
        <v>18.3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46292</v>
      </c>
      <c r="F252" t="inlineStr">
        <is>
          <t>GÄVLEBORGS LÄN</t>
        </is>
      </c>
      <c r="G252" t="inlineStr">
        <is>
          <t>BOLLNÄS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46292</v>
      </c>
      <c r="F253" t="inlineStr">
        <is>
          <t>GÄVLEBORGS LÄN</t>
        </is>
      </c>
      <c r="G253" t="inlineStr">
        <is>
          <t>BOLLNÄS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46040</v>
      </c>
      <c r="E254" s="1" t="n">
        <v>46292</v>
      </c>
      <c r="F254" t="inlineStr">
        <is>
          <t>GÄVLEBORGS LÄN</t>
        </is>
      </c>
      <c r="G254" t="inlineStr">
        <is>
          <t>BOLLNÄS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46292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46292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46292</v>
      </c>
      <c r="F257" t="inlineStr">
        <is>
          <t>GÄVLEBORGS LÄN</t>
        </is>
      </c>
      <c r="G257" t="inlineStr">
        <is>
          <t>BOLLNÄS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46292</v>
      </c>
      <c r="F258" t="inlineStr">
        <is>
          <t>GÄVLEBORGS LÄN</t>
        </is>
      </c>
      <c r="G258" t="inlineStr">
        <is>
          <t>BOLLNÄS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46292</v>
      </c>
      <c r="F259" t="inlineStr">
        <is>
          <t>GÄVLEBORGS LÄN</t>
        </is>
      </c>
      <c r="G259" t="inlineStr">
        <is>
          <t>BOLLNÄS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46292</v>
      </c>
      <c r="F260" t="inlineStr">
        <is>
          <t>GÄVLEBORGS LÄN</t>
        </is>
      </c>
      <c r="G260" t="inlineStr">
        <is>
          <t>BOLLNÄS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46292</v>
      </c>
      <c r="F261" t="inlineStr">
        <is>
          <t>GÄVLEBORGS LÄN</t>
        </is>
      </c>
      <c r="G261" t="inlineStr">
        <is>
          <t>BOLLNÄS</t>
        </is>
      </c>
      <c r="I261" t="n">
        <v>31.3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46040</v>
      </c>
      <c r="E262" s="1" t="n">
        <v>46292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46292</v>
      </c>
      <c r="F263" t="inlineStr">
        <is>
          <t>GÄVLEBORGS LÄN</t>
        </is>
      </c>
      <c r="G263" t="inlineStr">
        <is>
          <t>BOLLNÄS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46292</v>
      </c>
      <c r="F264" t="inlineStr">
        <is>
          <t>GÄVLEBORGS LÄN</t>
        </is>
      </c>
      <c r="G264" t="inlineStr">
        <is>
          <t>BOLLNÄS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46292</v>
      </c>
      <c r="F265" t="inlineStr">
        <is>
          <t>GÄVLEBORGS LÄN</t>
        </is>
      </c>
      <c r="G265" t="inlineStr">
        <is>
          <t>BOLLNÄS</t>
        </is>
      </c>
      <c r="I265" t="n">
        <v>34.3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46292</v>
      </c>
      <c r="F266" t="inlineStr">
        <is>
          <t>GÄVLEBORGS LÄN</t>
        </is>
      </c>
      <c r="G266" t="inlineStr">
        <is>
          <t>BOLLNÄS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46292</v>
      </c>
      <c r="F267" t="inlineStr">
        <is>
          <t>GÄVLEBORGS LÄN</t>
        </is>
      </c>
      <c r="G267" t="inlineStr">
        <is>
          <t>BOLLNÄS</t>
        </is>
      </c>
      <c r="I267" t="n">
        <v>18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46292</v>
      </c>
      <c r="F268" t="inlineStr">
        <is>
          <t>GÄVLEBORGS LÄN</t>
        </is>
      </c>
      <c r="G268" t="inlineStr">
        <is>
          <t>BOLLNÄS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46292</v>
      </c>
      <c r="F269" t="inlineStr">
        <is>
          <t>GÄVLEBORGS LÄN</t>
        </is>
      </c>
      <c r="G269" t="inlineStr">
        <is>
          <t>BOLLNÄS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46292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46292</v>
      </c>
      <c r="F271" t="inlineStr">
        <is>
          <t>GÄVLEBORGS LÄN</t>
        </is>
      </c>
      <c r="G271" t="inlineStr">
        <is>
          <t>BOLLNÄS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46292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46292</v>
      </c>
      <c r="F273" t="inlineStr">
        <is>
          <t>GÄVLEBORGS LÄN</t>
        </is>
      </c>
      <c r="G273" t="inlineStr">
        <is>
          <t>BOLLNÄS</t>
        </is>
      </c>
      <c r="I273" t="n">
        <v>36.1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46292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46292</v>
      </c>
      <c r="F275" t="inlineStr">
        <is>
          <t>GÄVLEBORGS LÄN</t>
        </is>
      </c>
      <c r="G275" t="inlineStr">
        <is>
          <t>BOLLNÄS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46292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46292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46292</v>
      </c>
      <c r="F278" t="inlineStr">
        <is>
          <t>GÄVLEBORGS LÄN</t>
        </is>
      </c>
      <c r="G278" t="inlineStr">
        <is>
          <t>BOLLNÄS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46292</v>
      </c>
      <c r="F279" t="inlineStr">
        <is>
          <t>GÄVLEBORGS LÄN</t>
        </is>
      </c>
      <c r="G279" t="inlineStr">
        <is>
          <t>BOLLNÄS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46292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46292</v>
      </c>
      <c r="F281" t="inlineStr">
        <is>
          <t>GÄVLEBORGS LÄN</t>
        </is>
      </c>
      <c r="G281" t="inlineStr">
        <is>
          <t>BOLLNÄS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46292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46292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46292</v>
      </c>
      <c r="F284" t="inlineStr">
        <is>
          <t>GÄVLEBORGS LÄN</t>
        </is>
      </c>
      <c r="G284" t="inlineStr">
        <is>
          <t>BOLLNÄS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46292</v>
      </c>
      <c r="F285" t="inlineStr">
        <is>
          <t>GÄVLEBORGS LÄN</t>
        </is>
      </c>
      <c r="G285" t="inlineStr">
        <is>
          <t>BOLLNÄS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46292</v>
      </c>
      <c r="F286" t="inlineStr">
        <is>
          <t>GÄVLEBORGS LÄN</t>
        </is>
      </c>
      <c r="G286" t="inlineStr">
        <is>
          <t>BOLLNÄS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46292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46292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46292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46292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46292</v>
      </c>
      <c r="F291" t="inlineStr">
        <is>
          <t>GÄVLEBORGS LÄN</t>
        </is>
      </c>
      <c r="G291" t="inlineStr">
        <is>
          <t>BOLLNÄS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46292</v>
      </c>
      <c r="F292" t="inlineStr">
        <is>
          <t>GÄVLEBORGS LÄN</t>
        </is>
      </c>
      <c r="G292" t="inlineStr">
        <is>
          <t>BOLLNÄS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44910</v>
      </c>
      <c r="E293" s="1" t="n">
        <v>46292</v>
      </c>
      <c r="F293" t="inlineStr">
        <is>
          <t>GÄVLEBORGS LÄN</t>
        </is>
      </c>
      <c r="G293" t="inlineStr">
        <is>
          <t>BOLLNÄS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46292</v>
      </c>
      <c r="F294" t="inlineStr">
        <is>
          <t>GÄVLEBORGS LÄN</t>
        </is>
      </c>
      <c r="G294" t="inlineStr">
        <is>
          <t>BOLLNÄS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46292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46292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46292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46292</v>
      </c>
      <c r="F298" t="inlineStr">
        <is>
          <t>GÄVLEBORGS LÄN</t>
        </is>
      </c>
      <c r="G298" t="inlineStr">
        <is>
          <t>BOLLNÄS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46292</v>
      </c>
      <c r="F299" t="inlineStr">
        <is>
          <t>GÄVLEBORGS LÄN</t>
        </is>
      </c>
      <c r="G299" t="inlineStr">
        <is>
          <t>BOLLNÄS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46292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46292</v>
      </c>
      <c r="F301" t="inlineStr">
        <is>
          <t>GÄVLEBORGS LÄN</t>
        </is>
      </c>
      <c r="G301" t="inlineStr">
        <is>
          <t>BOLLNÄS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46292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46292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46292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46292</v>
      </c>
      <c r="F305" t="inlineStr">
        <is>
          <t>GÄVLEBORGS LÄN</t>
        </is>
      </c>
      <c r="G305" t="inlineStr">
        <is>
          <t>BOLLNÄS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46292</v>
      </c>
      <c r="F306" t="inlineStr">
        <is>
          <t>GÄVLEBORGS LÄN</t>
        </is>
      </c>
      <c r="G306" t="inlineStr">
        <is>
          <t>BOLLNÄS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46292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46292</v>
      </c>
      <c r="F308" t="inlineStr">
        <is>
          <t>GÄVLEBORGS LÄN</t>
        </is>
      </c>
      <c r="G308" t="inlineStr">
        <is>
          <t>BOLLNÄS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46292</v>
      </c>
      <c r="F309" t="inlineStr">
        <is>
          <t>GÄVLEBORGS LÄN</t>
        </is>
      </c>
      <c r="G309" t="inlineStr">
        <is>
          <t>BOLLNÄS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46292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46292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46292</v>
      </c>
      <c r="F312" t="inlineStr">
        <is>
          <t>GÄVLEBORGS LÄN</t>
        </is>
      </c>
      <c r="G312" t="inlineStr">
        <is>
          <t>BOLLNÄS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46292</v>
      </c>
      <c r="F313" t="inlineStr">
        <is>
          <t>GÄVLEBORGS LÄN</t>
        </is>
      </c>
      <c r="G313" t="inlineStr">
        <is>
          <t>BOLLNÄS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46292</v>
      </c>
      <c r="F314" t="inlineStr">
        <is>
          <t>GÄVLEBORGS LÄN</t>
        </is>
      </c>
      <c r="G314" t="inlineStr">
        <is>
          <t>BOLLNÄS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46292</v>
      </c>
      <c r="F315" t="inlineStr">
        <is>
          <t>GÄVLEBORGS LÄN</t>
        </is>
      </c>
      <c r="G315" t="inlineStr">
        <is>
          <t>BOLLNÄS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45904</v>
      </c>
      <c r="E316" s="1" t="n">
        <v>46292</v>
      </c>
      <c r="F316" t="inlineStr">
        <is>
          <t>GÄVLEBORGS LÄN</t>
        </is>
      </c>
      <c r="G316" t="inlineStr">
        <is>
          <t>BOLLNÄS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46292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46292</v>
      </c>
      <c r="F318" t="inlineStr">
        <is>
          <t>GÄVLEBORGS LÄN</t>
        </is>
      </c>
      <c r="G318" t="inlineStr">
        <is>
          <t>BOLLNÄS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46292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46292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46292</v>
      </c>
      <c r="F321" t="inlineStr">
        <is>
          <t>GÄVLEBORGS LÄN</t>
        </is>
      </c>
      <c r="G321" t="inlineStr">
        <is>
          <t>BOLLNÄS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46292</v>
      </c>
      <c r="F322" t="inlineStr">
        <is>
          <t>GÄVLEBORGS LÄN</t>
        </is>
      </c>
      <c r="G322" t="inlineStr">
        <is>
          <t>BOLLNÄS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46292</v>
      </c>
      <c r="F323" t="inlineStr">
        <is>
          <t>GÄVLEBORGS LÄN</t>
        </is>
      </c>
      <c r="G323" t="inlineStr">
        <is>
          <t>BOLLNÄS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46292</v>
      </c>
      <c r="F324" t="inlineStr">
        <is>
          <t>GÄVLEBORGS LÄN</t>
        </is>
      </c>
      <c r="G324" t="inlineStr">
        <is>
          <t>BOLLNÄS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46292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46292</v>
      </c>
      <c r="F326" t="inlineStr">
        <is>
          <t>GÄVLEBORGS LÄN</t>
        </is>
      </c>
      <c r="G326" t="inlineStr">
        <is>
          <t>BOLLNÄS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46292</v>
      </c>
      <c r="F327" t="inlineStr">
        <is>
          <t>GÄVLEBORGS LÄN</t>
        </is>
      </c>
      <c r="G327" t="inlineStr">
        <is>
          <t>BOLLNÄS</t>
        </is>
      </c>
      <c r="I327" t="n">
        <v>28.2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46292</v>
      </c>
      <c r="F328" t="inlineStr">
        <is>
          <t>GÄVLEBORGS LÄN</t>
        </is>
      </c>
      <c r="G328" t="inlineStr">
        <is>
          <t>BOLLNÄS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46292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46292</v>
      </c>
      <c r="F330" t="inlineStr">
        <is>
          <t>GÄVLEBORGS LÄN</t>
        </is>
      </c>
      <c r="G330" t="inlineStr">
        <is>
          <t>BOLLNÄS</t>
        </is>
      </c>
      <c r="H330" t="inlineStr">
        <is>
          <t>Holmen skog AB</t>
        </is>
      </c>
      <c r="I330" t="n">
        <v>17.7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46292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46292</v>
      </c>
      <c r="F332" t="inlineStr">
        <is>
          <t>GÄVLEBORGS LÄN</t>
        </is>
      </c>
      <c r="G332" t="inlineStr">
        <is>
          <t>BOLLNÄS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45716</v>
      </c>
      <c r="E333" s="1" t="n">
        <v>46292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46292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46292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46292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46292</v>
      </c>
      <c r="F337" t="inlineStr">
        <is>
          <t>GÄVLEBORGS LÄN</t>
        </is>
      </c>
      <c r="G337" t="inlineStr">
        <is>
          <t>BOLLNÄS</t>
        </is>
      </c>
      <c r="I337" t="n">
        <v>12.3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46292</v>
      </c>
      <c r="F338" t="inlineStr">
        <is>
          <t>GÄVLEBORGS LÄN</t>
        </is>
      </c>
      <c r="G338" t="inlineStr">
        <is>
          <t>BOLLNÄS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46292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46292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46292</v>
      </c>
      <c r="F341" t="inlineStr">
        <is>
          <t>GÄVLEBORGS LÄN</t>
        </is>
      </c>
      <c r="G341" t="inlineStr">
        <is>
          <t>BOLLNÄS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46292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46292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46292</v>
      </c>
      <c r="F344" t="inlineStr">
        <is>
          <t>GÄVLEBORGS LÄN</t>
        </is>
      </c>
      <c r="G344" t="inlineStr">
        <is>
          <t>BOLLNÄS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46292</v>
      </c>
      <c r="F345" t="inlineStr">
        <is>
          <t>GÄVLEBORGS LÄN</t>
        </is>
      </c>
      <c r="G345" t="inlineStr">
        <is>
          <t>BOLLNÄS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46292</v>
      </c>
      <c r="F346" t="inlineStr">
        <is>
          <t>GÄVLEBORGS LÄN</t>
        </is>
      </c>
      <c r="G346" t="inlineStr">
        <is>
          <t>BOLLNÄS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46292</v>
      </c>
      <c r="F347" t="inlineStr">
        <is>
          <t>GÄVLEBORGS LÄN</t>
        </is>
      </c>
      <c r="G347" t="inlineStr">
        <is>
          <t>BOLLNÄS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46292</v>
      </c>
      <c r="F348" t="inlineStr">
        <is>
          <t>GÄVLEBORGS LÄN</t>
        </is>
      </c>
      <c r="G348" t="inlineStr">
        <is>
          <t>BOLLNÄS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46292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46292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46292</v>
      </c>
      <c r="F351" t="inlineStr">
        <is>
          <t>GÄVLEBORGS LÄN</t>
        </is>
      </c>
      <c r="G351" t="inlineStr">
        <is>
          <t>BOLLNÄS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46292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46292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46292</v>
      </c>
      <c r="F354" t="inlineStr">
        <is>
          <t>GÄVLEBORGS LÄN</t>
        </is>
      </c>
      <c r="G354" t="inlineStr">
        <is>
          <t>BOLLNÄS</t>
        </is>
      </c>
      <c r="I354" t="n">
        <v>16.2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46292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46292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46292</v>
      </c>
      <c r="F357" t="inlineStr">
        <is>
          <t>GÄVLEBORGS LÄN</t>
        </is>
      </c>
      <c r="G357" t="inlineStr">
        <is>
          <t>BOLLNÄS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46292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46292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46292</v>
      </c>
      <c r="F360" t="inlineStr">
        <is>
          <t>GÄVLEBORGS LÄN</t>
        </is>
      </c>
      <c r="G360" t="inlineStr">
        <is>
          <t>BOLLNÄS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46292</v>
      </c>
      <c r="F361" t="inlineStr">
        <is>
          <t>GÄVLEBORGS LÄN</t>
        </is>
      </c>
      <c r="G361" t="inlineStr">
        <is>
          <t>BOLLNÄS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46292</v>
      </c>
      <c r="F362" t="inlineStr">
        <is>
          <t>GÄVLEBORGS LÄN</t>
        </is>
      </c>
      <c r="G362" t="inlineStr">
        <is>
          <t>BOLLNÄS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46292</v>
      </c>
      <c r="F363" t="inlineStr">
        <is>
          <t>GÄVLEBORGS LÄN</t>
        </is>
      </c>
      <c r="G363" t="inlineStr">
        <is>
          <t>BOLLNÄS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46292</v>
      </c>
      <c r="F364" t="inlineStr">
        <is>
          <t>GÄVLEBORGS LÄN</t>
        </is>
      </c>
      <c r="G364" t="inlineStr">
        <is>
          <t>BOLLNÄS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46292</v>
      </c>
      <c r="F365" t="inlineStr">
        <is>
          <t>GÄVLEBORGS LÄN</t>
        </is>
      </c>
      <c r="G365" t="inlineStr">
        <is>
          <t>BOLLNÄS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46292</v>
      </c>
      <c r="F366" t="inlineStr">
        <is>
          <t>GÄVLEBORGS LÄN</t>
        </is>
      </c>
      <c r="G366" t="inlineStr">
        <is>
          <t>BOLLNÄS</t>
        </is>
      </c>
      <c r="I366" t="n">
        <v>18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46292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46292</v>
      </c>
      <c r="F368" t="inlineStr">
        <is>
          <t>GÄVLEBORGS LÄN</t>
        </is>
      </c>
      <c r="G368" t="inlineStr">
        <is>
          <t>BOLLNÄS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46292</v>
      </c>
      <c r="F369" t="inlineStr">
        <is>
          <t>GÄVLEBORGS LÄN</t>
        </is>
      </c>
      <c r="G369" t="inlineStr">
        <is>
          <t>BOLLNÄS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46292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46292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46292</v>
      </c>
      <c r="F372" t="inlineStr">
        <is>
          <t>GÄVLEBORGS LÄN</t>
        </is>
      </c>
      <c r="G372" t="inlineStr">
        <is>
          <t>BOLLNÄS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46292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46292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46292</v>
      </c>
      <c r="F375" t="inlineStr">
        <is>
          <t>GÄVLEBORGS LÄN</t>
        </is>
      </c>
      <c r="G375" t="inlineStr">
        <is>
          <t>BOLLNÄS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46292</v>
      </c>
      <c r="F376" t="inlineStr">
        <is>
          <t>GÄVLEBORGS LÄN</t>
        </is>
      </c>
      <c r="G376" t="inlineStr">
        <is>
          <t>BOLLNÄS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46292</v>
      </c>
      <c r="F377" t="inlineStr">
        <is>
          <t>GÄVLEBORGS LÄN</t>
        </is>
      </c>
      <c r="G377" t="inlineStr">
        <is>
          <t>BOLLNÄS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46292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46292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46292</v>
      </c>
      <c r="F380" t="inlineStr">
        <is>
          <t>GÄVLEBORGS LÄN</t>
        </is>
      </c>
      <c r="G380" t="inlineStr">
        <is>
          <t>BOLLNÄS</t>
        </is>
      </c>
      <c r="I380" t="n">
        <v>21.8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46292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46292</v>
      </c>
      <c r="F382" t="inlineStr">
        <is>
          <t>GÄVLEBORGS LÄN</t>
        </is>
      </c>
      <c r="G382" t="inlineStr">
        <is>
          <t>BOLLNÄS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46292</v>
      </c>
      <c r="F383" t="inlineStr">
        <is>
          <t>GÄVLEBORGS LÄN</t>
        </is>
      </c>
      <c r="G383" t="inlineStr">
        <is>
          <t>BOLLNÄS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46292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46292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46292</v>
      </c>
      <c r="F386" t="inlineStr">
        <is>
          <t>GÄVLEBORGS LÄN</t>
        </is>
      </c>
      <c r="G386" t="inlineStr">
        <is>
          <t>BOLLNÄS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46292</v>
      </c>
      <c r="F387" t="inlineStr">
        <is>
          <t>GÄVLEBORGS LÄN</t>
        </is>
      </c>
      <c r="G387" t="inlineStr">
        <is>
          <t>BOLLNÄS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46292</v>
      </c>
      <c r="F388" t="inlineStr">
        <is>
          <t>GÄVLEBORGS LÄN</t>
        </is>
      </c>
      <c r="G388" t="inlineStr">
        <is>
          <t>BOLLNÄS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46292</v>
      </c>
      <c r="F389" t="inlineStr">
        <is>
          <t>GÄVLEBORGS LÄN</t>
        </is>
      </c>
      <c r="G389" t="inlineStr">
        <is>
          <t>BOLLNÄS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46292</v>
      </c>
      <c r="F390" t="inlineStr">
        <is>
          <t>GÄVLEBORGS LÄN</t>
        </is>
      </c>
      <c r="G390" t="inlineStr">
        <is>
          <t>BOLLNÄS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46292</v>
      </c>
      <c r="F391" t="inlineStr">
        <is>
          <t>GÄVLEBORGS LÄN</t>
        </is>
      </c>
      <c r="G391" t="inlineStr">
        <is>
          <t>BOLLNÄS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46292</v>
      </c>
      <c r="F392" t="inlineStr">
        <is>
          <t>GÄVLEBORGS LÄN</t>
        </is>
      </c>
      <c r="G392" t="inlineStr">
        <is>
          <t>BOLLNÄS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46292</v>
      </c>
      <c r="F393" t="inlineStr">
        <is>
          <t>GÄVLEBORGS LÄN</t>
        </is>
      </c>
      <c r="G393" t="inlineStr">
        <is>
          <t>BOLLNÄS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46292</v>
      </c>
      <c r="F394" t="inlineStr">
        <is>
          <t>GÄVLEBORGS LÄN</t>
        </is>
      </c>
      <c r="G394" t="inlineStr">
        <is>
          <t>BOLLNÄS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46292</v>
      </c>
      <c r="F395" t="inlineStr">
        <is>
          <t>GÄVLEBORGS LÄN</t>
        </is>
      </c>
      <c r="G395" t="inlineStr">
        <is>
          <t>BOLLNÄS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46292</v>
      </c>
      <c r="F396" t="inlineStr">
        <is>
          <t>GÄVLEBORGS LÄN</t>
        </is>
      </c>
      <c r="G396" t="inlineStr">
        <is>
          <t>BOLLNÄS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46292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46292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46292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46292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46292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46292</v>
      </c>
      <c r="F402" t="inlineStr">
        <is>
          <t>GÄVLEBORGS LÄN</t>
        </is>
      </c>
      <c r="G402" t="inlineStr">
        <is>
          <t>BOLLNÄS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46292</v>
      </c>
      <c r="F403" t="inlineStr">
        <is>
          <t>GÄVLEBORGS LÄN</t>
        </is>
      </c>
      <c r="G403" t="inlineStr">
        <is>
          <t>BOLLNÄS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46292</v>
      </c>
      <c r="F404" t="inlineStr">
        <is>
          <t>GÄVLEBORGS LÄN</t>
        </is>
      </c>
      <c r="G404" t="inlineStr">
        <is>
          <t>BOLLNÄS</t>
        </is>
      </c>
      <c r="H404" t="inlineStr">
        <is>
          <t>Kyrkan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46060</v>
      </c>
      <c r="E405" s="1" t="n">
        <v>46292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46292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46292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46292</v>
      </c>
      <c r="F408" t="inlineStr">
        <is>
          <t>GÄVLEBORGS LÄN</t>
        </is>
      </c>
      <c r="G408" t="inlineStr">
        <is>
          <t>BOLLNÄS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46292</v>
      </c>
      <c r="F409" t="inlineStr">
        <is>
          <t>GÄVLEBORGS LÄN</t>
        </is>
      </c>
      <c r="G409" t="inlineStr">
        <is>
          <t>BOLLNÄS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45524</v>
      </c>
      <c r="E410" s="1" t="n">
        <v>46292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46292</v>
      </c>
      <c r="F411" t="inlineStr">
        <is>
          <t>GÄVLEBORGS LÄN</t>
        </is>
      </c>
      <c r="G411" t="inlineStr">
        <is>
          <t>BOLLNÄS</t>
        </is>
      </c>
      <c r="H411" t="inlineStr">
        <is>
          <t>Kommuner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46292</v>
      </c>
      <c r="F412" t="inlineStr">
        <is>
          <t>GÄVLEBORGS LÄN</t>
        </is>
      </c>
      <c r="G412" t="inlineStr">
        <is>
          <t>BOLLNÄS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46292</v>
      </c>
      <c r="F413" t="inlineStr">
        <is>
          <t>GÄVLEBORGS LÄN</t>
        </is>
      </c>
      <c r="G413" t="inlineStr">
        <is>
          <t>BOLLNÄS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46292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46292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46292</v>
      </c>
      <c r="F416" t="inlineStr">
        <is>
          <t>GÄVLEBORGS LÄN</t>
        </is>
      </c>
      <c r="G416" t="inlineStr">
        <is>
          <t>BOLLNÄS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46292</v>
      </c>
      <c r="F417" t="inlineStr">
        <is>
          <t>GÄVLEBORGS LÄN</t>
        </is>
      </c>
      <c r="G417" t="inlineStr">
        <is>
          <t>BOLLNÄS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46292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46292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46292</v>
      </c>
      <c r="F420" t="inlineStr">
        <is>
          <t>GÄVLEBORGS LÄN</t>
        </is>
      </c>
      <c r="G420" t="inlineStr">
        <is>
          <t>BOLLNÄS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46292</v>
      </c>
      <c r="F421" t="inlineStr">
        <is>
          <t>GÄVLEBORGS LÄN</t>
        </is>
      </c>
      <c r="G421" t="inlineStr">
        <is>
          <t>BOLLNÄS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46292</v>
      </c>
      <c r="F422" t="inlineStr">
        <is>
          <t>GÄVLEBORGS LÄN</t>
        </is>
      </c>
      <c r="G422" t="inlineStr">
        <is>
          <t>BOLLNÄS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46292</v>
      </c>
      <c r="F423" t="inlineStr">
        <is>
          <t>GÄVLEBORGS LÄN</t>
        </is>
      </c>
      <c r="G423" t="inlineStr">
        <is>
          <t>BOLLNÄS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46292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8012-2026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46292</v>
      </c>
      <c r="F425" t="inlineStr">
        <is>
          <t>GÄVLEBORGS LÄN</t>
        </is>
      </c>
      <c r="G425" t="inlineStr">
        <is>
          <t>BOLLNÄS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46292</v>
      </c>
      <c r="F426" t="inlineStr">
        <is>
          <t>GÄVLEBORGS LÄN</t>
        </is>
      </c>
      <c r="G426" t="inlineStr">
        <is>
          <t>BOLLNÄS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46292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44594</v>
      </c>
      <c r="E428" s="1" t="n">
        <v>46292</v>
      </c>
      <c r="F428" t="inlineStr">
        <is>
          <t>GÄVLEBORGS LÄN</t>
        </is>
      </c>
      <c r="G428" t="inlineStr">
        <is>
          <t>BOLLNÄS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45919</v>
      </c>
      <c r="E429" s="1" t="n">
        <v>46292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46292</v>
      </c>
      <c r="F430" t="inlineStr">
        <is>
          <t>GÄVLEBORGS LÄN</t>
        </is>
      </c>
      <c r="G430" t="inlineStr">
        <is>
          <t>BOLLNÄS</t>
        </is>
      </c>
      <c r="I430" t="n">
        <v>13.7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45922</v>
      </c>
      <c r="E431" s="1" t="n">
        <v>46292</v>
      </c>
      <c r="F431" t="inlineStr">
        <is>
          <t>GÄVLEBORGS LÄN</t>
        </is>
      </c>
      <c r="G431" t="inlineStr">
        <is>
          <t>BOLLNÄS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46292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46292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46292</v>
      </c>
      <c r="F434" t="inlineStr">
        <is>
          <t>GÄVLEBORGS LÄN</t>
        </is>
      </c>
      <c r="G434" t="inlineStr">
        <is>
          <t>BOLLNÄS</t>
        </is>
      </c>
      <c r="I434" t="n">
        <v>12.2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46292</v>
      </c>
      <c r="F435" t="inlineStr">
        <is>
          <t>GÄVLEBORGS LÄN</t>
        </is>
      </c>
      <c r="G435" t="inlineStr">
        <is>
          <t>BOLLNÄS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46292</v>
      </c>
      <c r="F436" t="inlineStr">
        <is>
          <t>GÄVLEBORGS LÄN</t>
        </is>
      </c>
      <c r="G436" t="inlineStr">
        <is>
          <t>BOLLNÄS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46292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46292</v>
      </c>
      <c r="F438" t="inlineStr">
        <is>
          <t>GÄVLEBORGS LÄN</t>
        </is>
      </c>
      <c r="G438" t="inlineStr">
        <is>
          <t>BOLLNÄS</t>
        </is>
      </c>
      <c r="H438" t="inlineStr">
        <is>
          <t>Sveaskog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46292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46292</v>
      </c>
      <c r="F440" t="inlineStr">
        <is>
          <t>GÄVLEBORGS LÄN</t>
        </is>
      </c>
      <c r="G440" t="inlineStr">
        <is>
          <t>BOLLNÄS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46292</v>
      </c>
      <c r="F441" t="inlineStr">
        <is>
          <t>GÄVLEBORGS LÄN</t>
        </is>
      </c>
      <c r="G441" t="inlineStr">
        <is>
          <t>BOLLNÄS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46292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46292</v>
      </c>
      <c r="F443" t="inlineStr">
        <is>
          <t>GÄVLEBORGS LÄN</t>
        </is>
      </c>
      <c r="G443" t="inlineStr">
        <is>
          <t>BOLLNÄS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46292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46292</v>
      </c>
      <c r="F445" t="inlineStr">
        <is>
          <t>GÄVLEBORGS LÄN</t>
        </is>
      </c>
      <c r="G445" t="inlineStr">
        <is>
          <t>BOLLNÄS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46292</v>
      </c>
      <c r="F446" t="inlineStr">
        <is>
          <t>GÄVLEBORGS LÄN</t>
        </is>
      </c>
      <c r="G446" t="inlineStr">
        <is>
          <t>BOLLNÄS</t>
        </is>
      </c>
      <c r="H446" t="inlineStr">
        <is>
          <t>Kommuner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9177-2026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46070</v>
      </c>
      <c r="E447" s="1" t="n">
        <v>46292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46292</v>
      </c>
      <c r="F448" t="inlineStr">
        <is>
          <t>GÄVLEBORGS LÄN</t>
        </is>
      </c>
      <c r="G448" t="inlineStr">
        <is>
          <t>BOLLNÄS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46292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46292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46292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46292</v>
      </c>
      <c r="F452" t="inlineStr">
        <is>
          <t>GÄVLEBORGS LÄN</t>
        </is>
      </c>
      <c r="G452" t="inlineStr">
        <is>
          <t>BOLLNÄS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46292</v>
      </c>
      <c r="F453" t="inlineStr">
        <is>
          <t>GÄVLEBORGS LÄN</t>
        </is>
      </c>
      <c r="G453" t="inlineStr">
        <is>
          <t>BOLLNÄS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45923</v>
      </c>
      <c r="E454" s="1" t="n">
        <v>46292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46292</v>
      </c>
      <c r="F455" t="inlineStr">
        <is>
          <t>GÄVLEBORGS LÄN</t>
        </is>
      </c>
      <c r="G455" t="inlineStr">
        <is>
          <t>BOLLNÄS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46292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46292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46292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46292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46292</v>
      </c>
      <c r="F460" t="inlineStr">
        <is>
          <t>GÄVLEBORGS LÄN</t>
        </is>
      </c>
      <c r="G460" t="inlineStr">
        <is>
          <t>BOLLNÄS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46292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46292</v>
      </c>
      <c r="F462" t="inlineStr">
        <is>
          <t>GÄVLEBORGS LÄN</t>
        </is>
      </c>
      <c r="G462" t="inlineStr">
        <is>
          <t>BOLLNÄS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9242-2026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46070</v>
      </c>
      <c r="E463" s="1" t="n">
        <v>46292</v>
      </c>
      <c r="F463" t="inlineStr">
        <is>
          <t>GÄVLEBORGS LÄN</t>
        </is>
      </c>
      <c r="G463" t="inlineStr">
        <is>
          <t>BOLLNÄS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46292</v>
      </c>
      <c r="F464" t="inlineStr">
        <is>
          <t>GÄVLEBORGS LÄN</t>
        </is>
      </c>
      <c r="G464" t="inlineStr">
        <is>
          <t>BOLLNÄS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46068</v>
      </c>
      <c r="E465" s="1" t="n">
        <v>46292</v>
      </c>
      <c r="F465" t="inlineStr">
        <is>
          <t>GÄVLEBORGS LÄN</t>
        </is>
      </c>
      <c r="G465" t="inlineStr">
        <is>
          <t>BOLLNÄS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46292</v>
      </c>
      <c r="F466" t="inlineStr">
        <is>
          <t>GÄVLEBORGS LÄN</t>
        </is>
      </c>
      <c r="G466" t="inlineStr">
        <is>
          <t>BOLLNÄS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46292</v>
      </c>
      <c r="F467" t="inlineStr">
        <is>
          <t>GÄVLEBORGS LÄN</t>
        </is>
      </c>
      <c r="G467" t="inlineStr">
        <is>
          <t>BOLLNÄS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46292</v>
      </c>
      <c r="F468" t="inlineStr">
        <is>
          <t>GÄVLEBORGS LÄN</t>
        </is>
      </c>
      <c r="G468" t="inlineStr">
        <is>
          <t>BOLLNÄS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46292</v>
      </c>
      <c r="F469" t="inlineStr">
        <is>
          <t>GÄVLEBORGS LÄN</t>
        </is>
      </c>
      <c r="G469" t="inlineStr">
        <is>
          <t>BOLLNÄS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46292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46292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45919</v>
      </c>
      <c r="E472" s="1" t="n">
        <v>46292</v>
      </c>
      <c r="F472" t="inlineStr">
        <is>
          <t>GÄVLEBORGS LÄN</t>
        </is>
      </c>
      <c r="G472" t="inlineStr">
        <is>
          <t>BOLLNÄS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45804</v>
      </c>
      <c r="E473" s="1" t="n">
        <v>46292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46292</v>
      </c>
      <c r="F474" t="inlineStr">
        <is>
          <t>GÄVLEBORGS LÄN</t>
        </is>
      </c>
      <c r="G474" t="inlineStr">
        <is>
          <t>BOLLNÄS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46292</v>
      </c>
      <c r="F475" t="inlineStr">
        <is>
          <t>GÄVLEBORGS LÄN</t>
        </is>
      </c>
      <c r="G475" t="inlineStr">
        <is>
          <t>BOLLNÄS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46292</v>
      </c>
      <c r="F476" t="inlineStr">
        <is>
          <t>GÄVLEBORGS LÄN</t>
        </is>
      </c>
      <c r="G476" t="inlineStr">
        <is>
          <t>BOLLNÄS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46292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46292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46292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9474-2022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44616</v>
      </c>
      <c r="E480" s="1" t="n">
        <v>46292</v>
      </c>
      <c r="F480" t="inlineStr">
        <is>
          <t>GÄVLEBORGS LÄN</t>
        </is>
      </c>
      <c r="G480" t="inlineStr">
        <is>
          <t>BOLLNÄS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46292</v>
      </c>
      <c r="F481" t="inlineStr">
        <is>
          <t>GÄVLEBORGS LÄN</t>
        </is>
      </c>
      <c r="G481" t="inlineStr">
        <is>
          <t>BOLLNÄS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46292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46292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46292</v>
      </c>
      <c r="F484" t="inlineStr">
        <is>
          <t>GÄVLEBORGS LÄN</t>
        </is>
      </c>
      <c r="G484" t="inlineStr">
        <is>
          <t>BOLLNÄS</t>
        </is>
      </c>
      <c r="H484" t="inlineStr">
        <is>
          <t>Kyrkan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46292</v>
      </c>
      <c r="F485" t="inlineStr">
        <is>
          <t>GÄVLEBORGS LÄN</t>
        </is>
      </c>
      <c r="G485" t="inlineStr">
        <is>
          <t>BOLLNÄS</t>
        </is>
      </c>
      <c r="H485" t="inlineStr">
        <is>
          <t>Kommuner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45737-2025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45923</v>
      </c>
      <c r="E486" s="1" t="n">
        <v>46292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46292</v>
      </c>
      <c r="F487" t="inlineStr">
        <is>
          <t>GÄVLEBORGS LÄN</t>
        </is>
      </c>
      <c r="G487" t="inlineStr">
        <is>
          <t>BOLLNÄS</t>
        </is>
      </c>
      <c r="H487" t="inlineStr">
        <is>
          <t>Kyrkan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46292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46292</v>
      </c>
      <c r="F489" t="inlineStr">
        <is>
          <t>GÄVLEBORGS LÄN</t>
        </is>
      </c>
      <c r="G489" t="inlineStr">
        <is>
          <t>BOLLNÄS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46292</v>
      </c>
      <c r="F490" t="inlineStr">
        <is>
          <t>GÄVLEBORGS LÄN</t>
        </is>
      </c>
      <c r="G490" t="inlineStr">
        <is>
          <t>BOLLNÄS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46292</v>
      </c>
      <c r="F491" t="inlineStr">
        <is>
          <t>GÄVLEBORGS LÄN</t>
        </is>
      </c>
      <c r="G491" t="inlineStr">
        <is>
          <t>BOLLNÄS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46292</v>
      </c>
      <c r="F492" t="inlineStr">
        <is>
          <t>GÄVLEBORGS LÄN</t>
        </is>
      </c>
      <c r="G492" t="inlineStr">
        <is>
          <t>BOLLNÄS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46292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46292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46292</v>
      </c>
      <c r="F495" t="inlineStr">
        <is>
          <t>GÄVLEBORGS LÄN</t>
        </is>
      </c>
      <c r="G495" t="inlineStr">
        <is>
          <t>BOLLNÄS</t>
        </is>
      </c>
      <c r="H495" t="inlineStr">
        <is>
          <t>Sveaskog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46292</v>
      </c>
      <c r="F496" t="inlineStr">
        <is>
          <t>GÄVLEBORGS LÄN</t>
        </is>
      </c>
      <c r="G496" t="inlineStr">
        <is>
          <t>BOLLNÄS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46292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46292</v>
      </c>
      <c r="F498" t="inlineStr">
        <is>
          <t>GÄVLEBORGS LÄN</t>
        </is>
      </c>
      <c r="G498" t="inlineStr">
        <is>
          <t>BOLLNÄS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45364</v>
      </c>
      <c r="E499" s="1" t="n">
        <v>46292</v>
      </c>
      <c r="F499" t="inlineStr">
        <is>
          <t>GÄVLEBORGS LÄN</t>
        </is>
      </c>
      <c r="G499" t="inlineStr">
        <is>
          <t>BOLLNÄS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45364</v>
      </c>
      <c r="E500" s="1" t="n">
        <v>46292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46292</v>
      </c>
      <c r="F501" t="inlineStr">
        <is>
          <t>GÄVLEBORGS LÄN</t>
        </is>
      </c>
      <c r="G501" t="inlineStr">
        <is>
          <t>BOLLNÄS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45805</v>
      </c>
      <c r="E502" s="1" t="n">
        <v>46292</v>
      </c>
      <c r="F502" t="inlineStr">
        <is>
          <t>GÄVLEBORGS LÄN</t>
        </is>
      </c>
      <c r="G502" t="inlineStr">
        <is>
          <t>BOLLNÄS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46075</v>
      </c>
      <c r="E503" s="1" t="n">
        <v>46292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46075</v>
      </c>
      <c r="E504" s="1" t="n">
        <v>46292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46292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10120-2026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46075</v>
      </c>
      <c r="E506" s="1" t="n">
        <v>46292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46292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46292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46292</v>
      </c>
      <c r="F509" t="inlineStr">
        <is>
          <t>GÄVLEBORGS LÄN</t>
        </is>
      </c>
      <c r="G509" t="inlineStr">
        <is>
          <t>BOLLNÄS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46292</v>
      </c>
      <c r="F510" t="inlineStr">
        <is>
          <t>GÄVLEBORGS LÄN</t>
        </is>
      </c>
      <c r="G510" t="inlineStr">
        <is>
          <t>BOLLNÄS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46292</v>
      </c>
      <c r="F511" t="inlineStr">
        <is>
          <t>GÄVLEBORGS LÄN</t>
        </is>
      </c>
      <c r="G511" t="inlineStr">
        <is>
          <t>BOLLNÄS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46292</v>
      </c>
      <c r="F512" t="inlineStr">
        <is>
          <t>GÄVLEBORGS LÄN</t>
        </is>
      </c>
      <c r="G512" t="inlineStr">
        <is>
          <t>BOLLNÄS</t>
        </is>
      </c>
      <c r="I512" t="n">
        <v>17.2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46292</v>
      </c>
      <c r="F513" t="inlineStr">
        <is>
          <t>GÄVLEBORGS LÄN</t>
        </is>
      </c>
      <c r="G513" t="inlineStr">
        <is>
          <t>BOLLNÄS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46292</v>
      </c>
      <c r="F514" t="inlineStr">
        <is>
          <t>GÄVLEBORGS LÄN</t>
        </is>
      </c>
      <c r="G514" t="inlineStr">
        <is>
          <t>BOLLNÄS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46292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  <c r="Z515">
        <f>HYPERLINK("https://klasma.github.io/Logging_2183/knärot/A 10505-2026 karta knärot.png", "A 10505-2026")</f>
        <v/>
      </c>
      <c r="AA515">
        <f>HYPERLINK("https://klasma.github.io/Logging_2183/klagomål/A 10505-2026 FSC-klagomål.docx", "A 10505-2026")</f>
        <v/>
      </c>
      <c r="AB515">
        <f>HYPERLINK("https://klasma.github.io/Logging_2183/klagomålsmail/A 10505-2026 FSC-klagomål mail.docx", "A 10505-2026")</f>
        <v/>
      </c>
      <c r="AC515">
        <f>HYPERLINK("https://klasma.github.io/Logging_2183/tillsyn/A 10505-2026 tillsynsbegäran.docx", "A 10505-2026")</f>
        <v/>
      </c>
      <c r="AD515">
        <f>HYPERLINK("https://klasma.github.io/Logging_2183/tillsynsmail/A 10505-2026 tillsynsbegäran mail.docx", "A 10505-2026")</f>
        <v/>
      </c>
    </row>
    <row r="516" ht="15" customHeight="1">
      <c r="A516" t="inlineStr">
        <is>
          <t>A 10683-2026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46292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46292</v>
      </c>
      <c r="F517" t="inlineStr">
        <is>
          <t>GÄVLEBORGS LÄN</t>
        </is>
      </c>
      <c r="G517" t="inlineStr">
        <is>
          <t>BOLLNÄS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46292</v>
      </c>
      <c r="F518" t="inlineStr">
        <is>
          <t>GÄVLEBORGS LÄN</t>
        </is>
      </c>
      <c r="G518" t="inlineStr">
        <is>
          <t>BOLLNÄS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46292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46292</v>
      </c>
      <c r="F520" t="inlineStr">
        <is>
          <t>GÄVLEBORGS LÄN</t>
        </is>
      </c>
      <c r="G520" t="inlineStr">
        <is>
          <t>BOLLNÄS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46292</v>
      </c>
      <c r="F521" t="inlineStr">
        <is>
          <t>GÄVLEBORGS LÄN</t>
        </is>
      </c>
      <c r="G521" t="inlineStr">
        <is>
          <t>BOLLNÄS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46292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46292</v>
      </c>
      <c r="F523" t="inlineStr">
        <is>
          <t>GÄVLEBORGS LÄN</t>
        </is>
      </c>
      <c r="G523" t="inlineStr">
        <is>
          <t>BOLLNÄS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46292</v>
      </c>
      <c r="F524" t="inlineStr">
        <is>
          <t>GÄVLEBORGS LÄN</t>
        </is>
      </c>
      <c r="G524" t="inlineStr">
        <is>
          <t>BOLLNÄS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46292</v>
      </c>
      <c r="F525" t="inlineStr">
        <is>
          <t>GÄVLEBORGS LÄN</t>
        </is>
      </c>
      <c r="G525" t="inlineStr">
        <is>
          <t>BOLLNÄS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46292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46292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46292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45929</v>
      </c>
      <c r="E529" s="1" t="n">
        <v>46292</v>
      </c>
      <c r="F529" t="inlineStr">
        <is>
          <t>GÄVLEBORGS LÄN</t>
        </is>
      </c>
      <c r="G529" t="inlineStr">
        <is>
          <t>BOLLNÄS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46292</v>
      </c>
      <c r="F530" t="inlineStr">
        <is>
          <t>GÄVLEBORGS LÄN</t>
        </is>
      </c>
      <c r="G530" t="inlineStr">
        <is>
          <t>BOLLNÄS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46292</v>
      </c>
      <c r="F531" t="inlineStr">
        <is>
          <t>GÄVLEBORGS LÄN</t>
        </is>
      </c>
      <c r="G531" t="inlineStr">
        <is>
          <t>BOLLNÄS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46292</v>
      </c>
      <c r="F532" t="inlineStr">
        <is>
          <t>GÄVLEBORGS LÄN</t>
        </is>
      </c>
      <c r="G532" t="inlineStr">
        <is>
          <t>BOLLNÄS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46292</v>
      </c>
      <c r="F533" t="inlineStr">
        <is>
          <t>GÄVLEBORGS LÄN</t>
        </is>
      </c>
      <c r="G533" t="inlineStr">
        <is>
          <t>BOLLNÄS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35208-2025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45853</v>
      </c>
      <c r="E534" s="1" t="n">
        <v>46292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46292</v>
      </c>
      <c r="F535" t="inlineStr">
        <is>
          <t>GÄVLEBORGS LÄN</t>
        </is>
      </c>
      <c r="G535" t="inlineStr">
        <is>
          <t>BOLLNÄS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46292</v>
      </c>
      <c r="F536" t="inlineStr">
        <is>
          <t>GÄVLEBORGS LÄN</t>
        </is>
      </c>
      <c r="G536" t="inlineStr">
        <is>
          <t>BOLLNÄS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46292</v>
      </c>
      <c r="F537" t="inlineStr">
        <is>
          <t>GÄVLEBORGS LÄN</t>
        </is>
      </c>
      <c r="G537" t="inlineStr">
        <is>
          <t>BOLLNÄS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46292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46292</v>
      </c>
      <c r="F539" t="inlineStr">
        <is>
          <t>GÄVLEBORGS LÄN</t>
        </is>
      </c>
      <c r="G539" t="inlineStr">
        <is>
          <t>BOLLNÄS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46292</v>
      </c>
      <c r="F540" t="inlineStr">
        <is>
          <t>GÄVLEBORGS LÄN</t>
        </is>
      </c>
      <c r="G540" t="inlineStr">
        <is>
          <t>BOLLNÄS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46292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46080</v>
      </c>
      <c r="E542" s="1" t="n">
        <v>46292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11367-2026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46292</v>
      </c>
      <c r="F543" t="inlineStr">
        <is>
          <t>GÄVLEBORGS LÄN</t>
        </is>
      </c>
      <c r="G543" t="inlineStr">
        <is>
          <t>BOLLNÄS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46292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57887-2025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45981</v>
      </c>
      <c r="E545" s="1" t="n">
        <v>46292</v>
      </c>
      <c r="F545" t="inlineStr">
        <is>
          <t>GÄVLEBORGS LÄN</t>
        </is>
      </c>
      <c r="G545" t="inlineStr">
        <is>
          <t>BOLLNÄS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46082</v>
      </c>
      <c r="E546" s="1" t="n">
        <v>46292</v>
      </c>
      <c r="F546" t="inlineStr">
        <is>
          <t>GÄVLEBORGS LÄN</t>
        </is>
      </c>
      <c r="G546" t="inlineStr">
        <is>
          <t>BOLLNÄS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11366-2026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46292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46292</v>
      </c>
      <c r="F548" t="inlineStr">
        <is>
          <t>GÄVLEBORGS LÄN</t>
        </is>
      </c>
      <c r="G548" t="inlineStr">
        <is>
          <t>BOLLNÄS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46292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46292</v>
      </c>
      <c r="F550" t="inlineStr">
        <is>
          <t>GÄVLEBORGS LÄN</t>
        </is>
      </c>
      <c r="G550" t="inlineStr">
        <is>
          <t>BOLLNÄS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46292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öst AB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11308-2026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46080</v>
      </c>
      <c r="E552" s="1" t="n">
        <v>46292</v>
      </c>
      <c r="F552" t="inlineStr">
        <is>
          <t>GÄVLEBORGS LÄN</t>
        </is>
      </c>
      <c r="G552" t="inlineStr">
        <is>
          <t>BOLLNÄS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46080</v>
      </c>
      <c r="E553" s="1" t="n">
        <v>46292</v>
      </c>
      <c r="F553" t="inlineStr">
        <is>
          <t>GÄVLEBORGS LÄN</t>
        </is>
      </c>
      <c r="G553" t="inlineStr">
        <is>
          <t>BOLLNÄS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46082</v>
      </c>
      <c r="E554" s="1" t="n">
        <v>46292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45805</v>
      </c>
      <c r="E555" s="1" t="n">
        <v>46292</v>
      </c>
      <c r="F555" t="inlineStr">
        <is>
          <t>GÄVLEBORGS LÄN</t>
        </is>
      </c>
      <c r="G555" t="inlineStr">
        <is>
          <t>BOLLNÄS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46292</v>
      </c>
      <c r="F556" t="inlineStr">
        <is>
          <t>GÄVLEBORGS LÄN</t>
        </is>
      </c>
      <c r="G556" t="inlineStr">
        <is>
          <t>BOLLNÄS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46292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46292</v>
      </c>
      <c r="F558" t="inlineStr">
        <is>
          <t>GÄVLEBORGS LÄN</t>
        </is>
      </c>
      <c r="G558" t="inlineStr">
        <is>
          <t>BOLLNÄS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57510-2023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45246</v>
      </c>
      <c r="E559" s="1" t="n">
        <v>46292</v>
      </c>
      <c r="F559" t="inlineStr">
        <is>
          <t>GÄVLEBORGS LÄN</t>
        </is>
      </c>
      <c r="G559" t="inlineStr">
        <is>
          <t>BOLLNÄS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46292</v>
      </c>
      <c r="F560" t="inlineStr">
        <is>
          <t>GÄVLEBORGS LÄN</t>
        </is>
      </c>
      <c r="G560" t="inlineStr">
        <is>
          <t>BOLLNÄS</t>
        </is>
      </c>
      <c r="I560" t="n">
        <v>14.1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46292</v>
      </c>
      <c r="F561" t="inlineStr">
        <is>
          <t>GÄVLEBORGS LÄN</t>
        </is>
      </c>
      <c r="G561" t="inlineStr">
        <is>
          <t>BOLLNÄS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46292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46292</v>
      </c>
      <c r="F563" t="inlineStr">
        <is>
          <t>GÄVLEBORGS LÄN</t>
        </is>
      </c>
      <c r="G563" t="inlineStr">
        <is>
          <t>BOLLNÄS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46292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45931</v>
      </c>
      <c r="E565" s="1" t="n">
        <v>46292</v>
      </c>
      <c r="F565" t="inlineStr">
        <is>
          <t>GÄVLEBORGS LÄN</t>
        </is>
      </c>
      <c r="G565" t="inlineStr">
        <is>
          <t>BOLLNÄS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46085</v>
      </c>
      <c r="E566" s="1" t="n">
        <v>46292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46292</v>
      </c>
      <c r="F567" t="inlineStr">
        <is>
          <t>GÄVLEBORGS LÄN</t>
        </is>
      </c>
      <c r="G567" t="inlineStr">
        <is>
          <t>BOLLNÄS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46292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46292</v>
      </c>
      <c r="F569" t="inlineStr">
        <is>
          <t>GÄVLEBORGS LÄN</t>
        </is>
      </c>
      <c r="G569" t="inlineStr">
        <is>
          <t>BOLLNÄS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46292</v>
      </c>
      <c r="F570" t="inlineStr">
        <is>
          <t>GÄVLEBORGS LÄN</t>
        </is>
      </c>
      <c r="G570" t="inlineStr">
        <is>
          <t>BOLLNÄS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46292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46292</v>
      </c>
      <c r="F572" t="inlineStr">
        <is>
          <t>GÄVLEBORGS LÄN</t>
        </is>
      </c>
      <c r="G572" t="inlineStr">
        <is>
          <t>BOLLNÄS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46292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46292</v>
      </c>
      <c r="F574" t="inlineStr">
        <is>
          <t>GÄVLEBORGS LÄN</t>
        </is>
      </c>
      <c r="G574" t="inlineStr">
        <is>
          <t>BOLLNÄS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12649-2026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46292</v>
      </c>
      <c r="F575" t="inlineStr">
        <is>
          <t>GÄVLEBORGS LÄN</t>
        </is>
      </c>
      <c r="G575" t="inlineStr">
        <is>
          <t>BOLLNÄS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46292</v>
      </c>
      <c r="F576" t="inlineStr">
        <is>
          <t>GÄVLEBORGS LÄN</t>
        </is>
      </c>
      <c r="G576" t="inlineStr">
        <is>
          <t>BOLLNÄS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46292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67547-2021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44524</v>
      </c>
      <c r="E578" s="1" t="n">
        <v>46292</v>
      </c>
      <c r="F578" t="inlineStr">
        <is>
          <t>GÄVLEBORGS LÄN</t>
        </is>
      </c>
      <c r="G578" t="inlineStr">
        <is>
          <t>BOLLNÄS</t>
        </is>
      </c>
      <c r="H578" t="inlineStr">
        <is>
          <t>Övriga statliga verk och myndigheter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45037</v>
      </c>
      <c r="E579" s="1" t="n">
        <v>46292</v>
      </c>
      <c r="F579" t="inlineStr">
        <is>
          <t>GÄVLEBORGS LÄN</t>
        </is>
      </c>
      <c r="G579" t="inlineStr">
        <is>
          <t>BOLLNÄS</t>
        </is>
      </c>
      <c r="H579" t="inlineStr">
        <is>
          <t>Kyrkan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46088</v>
      </c>
      <c r="E580" s="1" t="n">
        <v>46292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53234-2024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45613</v>
      </c>
      <c r="E581" s="1" t="n">
        <v>46292</v>
      </c>
      <c r="F581" t="inlineStr">
        <is>
          <t>GÄVLEBORGS LÄN</t>
        </is>
      </c>
      <c r="G581" t="inlineStr">
        <is>
          <t>BOLLNÄS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12728-2026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46292</v>
      </c>
      <c r="F582" t="inlineStr">
        <is>
          <t>GÄVLEBORGS LÄN</t>
        </is>
      </c>
      <c r="G582" t="inlineStr">
        <is>
          <t>BOLLNÄS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46088</v>
      </c>
      <c r="E583" s="1" t="n">
        <v>46292</v>
      </c>
      <c r="F583" t="inlineStr">
        <is>
          <t>GÄVLEBORGS LÄN</t>
        </is>
      </c>
      <c r="G583" t="inlineStr">
        <is>
          <t>BOLLNÄS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46292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6903-2025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45701</v>
      </c>
      <c r="E585" s="1" t="n">
        <v>46292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46292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13026-2026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46292</v>
      </c>
      <c r="F587" t="inlineStr">
        <is>
          <t>GÄVLEBORGS LÄN</t>
        </is>
      </c>
      <c r="G587" t="inlineStr">
        <is>
          <t>BOLLNÄS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46292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46292</v>
      </c>
      <c r="F589" t="inlineStr">
        <is>
          <t>GÄVLEBORGS LÄN</t>
        </is>
      </c>
      <c r="G589" t="inlineStr">
        <is>
          <t>BOLLNÄS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46292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46292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12995-2026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46292</v>
      </c>
      <c r="F592" t="inlineStr">
        <is>
          <t>GÄVLEBORGS LÄN</t>
        </is>
      </c>
      <c r="G592" t="inlineStr">
        <is>
          <t>BOLLNÄS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46292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46292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32.8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46292</v>
      </c>
      <c r="F595" t="inlineStr">
        <is>
          <t>GÄVLEBORGS LÄN</t>
        </is>
      </c>
      <c r="G595" t="inlineStr">
        <is>
          <t>BOLLNÄS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46292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13132-2026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46292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13201-2026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46292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17.4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46292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46292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46292</v>
      </c>
      <c r="F601" t="inlineStr">
        <is>
          <t>GÄVLEBORGS LÄN</t>
        </is>
      </c>
      <c r="G601" t="inlineStr">
        <is>
          <t>BOLLNÄS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46292</v>
      </c>
      <c r="F602" t="inlineStr">
        <is>
          <t>GÄVLEBORGS LÄN</t>
        </is>
      </c>
      <c r="G602" t="inlineStr">
        <is>
          <t>BOLLNÄS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46292</v>
      </c>
      <c r="F603" t="inlineStr">
        <is>
          <t>GÄVLEBORGS LÄN</t>
        </is>
      </c>
      <c r="G603" t="inlineStr">
        <is>
          <t>BOLLNÄS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46292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46292</v>
      </c>
      <c r="F605" t="inlineStr">
        <is>
          <t>GÄVLEBORGS LÄN</t>
        </is>
      </c>
      <c r="G605" t="inlineStr">
        <is>
          <t>BOLLNÄS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45940</v>
      </c>
      <c r="E606" s="1" t="n">
        <v>46292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46292</v>
      </c>
      <c r="F607" t="inlineStr">
        <is>
          <t>GÄVLEBORGS LÄN</t>
        </is>
      </c>
      <c r="G607" t="inlineStr">
        <is>
          <t>BOLLNÄS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46292</v>
      </c>
      <c r="F608" t="inlineStr">
        <is>
          <t>GÄVLEBORGS LÄN</t>
        </is>
      </c>
      <c r="G608" t="inlineStr">
        <is>
          <t>BOLLNÄS</t>
        </is>
      </c>
      <c r="I608" t="n">
        <v>11.7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45568</v>
      </c>
      <c r="E609" s="1" t="n">
        <v>46292</v>
      </c>
      <c r="F609" t="inlineStr">
        <is>
          <t>GÄVLEBORGS LÄN</t>
        </is>
      </c>
      <c r="G609" t="inlineStr">
        <is>
          <t>BOLLNÄS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13624-2026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46292</v>
      </c>
      <c r="F610" t="inlineStr">
        <is>
          <t>GÄVLEBORGS LÄN</t>
        </is>
      </c>
      <c r="G610" t="inlineStr">
        <is>
          <t>BOLLNÄS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46292</v>
      </c>
      <c r="F611" t="inlineStr">
        <is>
          <t>GÄVLEBORGS LÄN</t>
        </is>
      </c>
      <c r="G611" t="inlineStr">
        <is>
          <t>BOLLNÄS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46292</v>
      </c>
      <c r="F612" t="inlineStr">
        <is>
          <t>GÄVLEBORGS LÄN</t>
        </is>
      </c>
      <c r="G612" t="inlineStr">
        <is>
          <t>BOLLNÄS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46292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46292</v>
      </c>
      <c r="F614" t="inlineStr">
        <is>
          <t>GÄVLEBORGS LÄN</t>
        </is>
      </c>
      <c r="G614" t="inlineStr">
        <is>
          <t>BOLLNÄS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49848-2025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45940</v>
      </c>
      <c r="E615" s="1" t="n">
        <v>46292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46292</v>
      </c>
      <c r="F616" t="inlineStr">
        <is>
          <t>GÄVLEBORGS LÄN</t>
        </is>
      </c>
      <c r="G616" t="inlineStr">
        <is>
          <t>BOLLNÄS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46292</v>
      </c>
      <c r="F617" t="inlineStr">
        <is>
          <t>GÄVLEBORGS LÄN</t>
        </is>
      </c>
      <c r="G617" t="inlineStr">
        <is>
          <t>BOLLNÄS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46292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46292</v>
      </c>
      <c r="F619" t="inlineStr">
        <is>
          <t>GÄVLEBORGS LÄN</t>
        </is>
      </c>
      <c r="G619" t="inlineStr">
        <is>
          <t>BOLLNÄS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13378-2026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46292</v>
      </c>
      <c r="F620" t="inlineStr">
        <is>
          <t>GÄVLEBORGS LÄN</t>
        </is>
      </c>
      <c r="G620" t="inlineStr">
        <is>
          <t>BOLLNÄS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46292</v>
      </c>
      <c r="F621" t="inlineStr">
        <is>
          <t>GÄVLEBORGS LÄN</t>
        </is>
      </c>
      <c r="G621" t="inlineStr">
        <is>
          <t>BOLLNÄS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46292</v>
      </c>
      <c r="F622" t="inlineStr">
        <is>
          <t>GÄVLEBORGS LÄN</t>
        </is>
      </c>
      <c r="G622" t="inlineStr">
        <is>
          <t>BOLLNÄS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46292</v>
      </c>
      <c r="F623" t="inlineStr">
        <is>
          <t>GÄVLEBORGS LÄN</t>
        </is>
      </c>
      <c r="G623" t="inlineStr">
        <is>
          <t>BOLLNÄS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46099</v>
      </c>
      <c r="E624" s="1" t="n">
        <v>46292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50130-2025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45943</v>
      </c>
      <c r="E625" s="1" t="n">
        <v>46292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50157-2025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45943</v>
      </c>
      <c r="E626" s="1" t="n">
        <v>46292</v>
      </c>
      <c r="F626" t="inlineStr">
        <is>
          <t>GÄVLEBORGS LÄN</t>
        </is>
      </c>
      <c r="G626" t="inlineStr">
        <is>
          <t>BOLLNÄS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46292</v>
      </c>
      <c r="F627" t="inlineStr">
        <is>
          <t>GÄVLEBORGS LÄN</t>
        </is>
      </c>
      <c r="G627" t="inlineStr">
        <is>
          <t>BOLLNÄS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46292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46292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46292</v>
      </c>
      <c r="F630" t="inlineStr">
        <is>
          <t>GÄVLEBORGS LÄN</t>
        </is>
      </c>
      <c r="G630" t="inlineStr">
        <is>
          <t>BOLLNÄS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46292</v>
      </c>
      <c r="F631" t="inlineStr">
        <is>
          <t>GÄVLEBORGS LÄN</t>
        </is>
      </c>
      <c r="G631" t="inlineStr">
        <is>
          <t>BOLLNÄS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46292</v>
      </c>
      <c r="F632" t="inlineStr">
        <is>
          <t>GÄVLEBORGS LÄN</t>
        </is>
      </c>
      <c r="G632" t="inlineStr">
        <is>
          <t>BOLLNÄS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46099</v>
      </c>
      <c r="E633" s="1" t="n">
        <v>46292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46292</v>
      </c>
      <c r="F634" t="inlineStr">
        <is>
          <t>GÄVLEBORGS LÄN</t>
        </is>
      </c>
      <c r="G634" t="inlineStr">
        <is>
          <t>BOLLNÄS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50218-2025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45943</v>
      </c>
      <c r="E635" s="1" t="n">
        <v>46292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46292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46292</v>
      </c>
      <c r="F637" t="inlineStr">
        <is>
          <t>GÄVLEBORGS LÄN</t>
        </is>
      </c>
      <c r="G637" t="inlineStr">
        <is>
          <t>BOLLNÄS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46292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51149-2023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45212</v>
      </c>
      <c r="E639" s="1" t="n">
        <v>46292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46292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46292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46292</v>
      </c>
      <c r="F642" t="inlineStr">
        <is>
          <t>GÄVLEBORGS LÄN</t>
        </is>
      </c>
      <c r="G642" t="inlineStr">
        <is>
          <t>BOLLNÄS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46292</v>
      </c>
      <c r="F643" t="inlineStr">
        <is>
          <t>GÄVLEBORGS LÄN</t>
        </is>
      </c>
      <c r="G643" t="inlineStr">
        <is>
          <t>BOLLNÄS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46292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46292</v>
      </c>
      <c r="F645" t="inlineStr">
        <is>
          <t>GÄVLEBORGS LÄN</t>
        </is>
      </c>
      <c r="G645" t="inlineStr">
        <is>
          <t>BOLLNÄS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46292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46292</v>
      </c>
      <c r="F647" t="inlineStr">
        <is>
          <t>GÄVLEBORGS LÄN</t>
        </is>
      </c>
      <c r="G647" t="inlineStr">
        <is>
          <t>BOLLNÄS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46101</v>
      </c>
      <c r="E648" s="1" t="n">
        <v>46292</v>
      </c>
      <c r="F648" t="inlineStr">
        <is>
          <t>GÄVLEBORGS LÄN</t>
        </is>
      </c>
      <c r="G648" t="inlineStr">
        <is>
          <t>BOLLNÄS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46101</v>
      </c>
      <c r="E649" s="1" t="n">
        <v>46292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46101</v>
      </c>
      <c r="E650" s="1" t="n">
        <v>46292</v>
      </c>
      <c r="F650" t="inlineStr">
        <is>
          <t>GÄVLEBORGS LÄN</t>
        </is>
      </c>
      <c r="G650" t="inlineStr">
        <is>
          <t>BOLLNÄS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46292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46292</v>
      </c>
      <c r="F652" t="inlineStr">
        <is>
          <t>GÄVLEBORGS LÄN</t>
        </is>
      </c>
      <c r="G652" t="inlineStr">
        <is>
          <t>BOLLNÄS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46292</v>
      </c>
      <c r="F653" t="inlineStr">
        <is>
          <t>GÄVLEBORGS LÄN</t>
        </is>
      </c>
      <c r="G653" t="inlineStr">
        <is>
          <t>BOLLNÄS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46101</v>
      </c>
      <c r="E654" s="1" t="n">
        <v>46292</v>
      </c>
      <c r="F654" t="inlineStr">
        <is>
          <t>GÄVLEBORGS LÄN</t>
        </is>
      </c>
      <c r="G654" t="inlineStr">
        <is>
          <t>BOLLNÄS</t>
        </is>
      </c>
      <c r="H654" t="inlineStr">
        <is>
          <t>Kyrkan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46292</v>
      </c>
      <c r="F655" t="inlineStr">
        <is>
          <t>GÄVLEBORGS LÄN</t>
        </is>
      </c>
      <c r="G655" t="inlineStr">
        <is>
          <t>BOLLNÄS</t>
        </is>
      </c>
      <c r="H655" t="inlineStr">
        <is>
          <t>Kommuner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14741-2026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46292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46292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46292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46292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46292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46292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46292</v>
      </c>
      <c r="F662" t="inlineStr">
        <is>
          <t>GÄVLEBORGS LÄN</t>
        </is>
      </c>
      <c r="G662" t="inlineStr">
        <is>
          <t>BOLLNÄS</t>
        </is>
      </c>
      <c r="I662" t="n">
        <v>10.9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46292</v>
      </c>
      <c r="F663" t="inlineStr">
        <is>
          <t>GÄVLEBORGS LÄN</t>
        </is>
      </c>
      <c r="G663" t="inlineStr">
        <is>
          <t>BOLLNÄS</t>
        </is>
      </c>
      <c r="H663" t="inlineStr">
        <is>
          <t>Kommuner</t>
        </is>
      </c>
      <c r="I663" t="n">
        <v>10.4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14784-2026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46292</v>
      </c>
      <c r="F664" t="inlineStr">
        <is>
          <t>GÄVLEBORGS LÄN</t>
        </is>
      </c>
      <c r="G664" t="inlineStr">
        <is>
          <t>BOLLNÄS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45812</v>
      </c>
      <c r="E665" s="1" t="n">
        <v>46292</v>
      </c>
      <c r="F665" t="inlineStr">
        <is>
          <t>GÄVLEBORGS LÄN</t>
        </is>
      </c>
      <c r="G665" t="inlineStr">
        <is>
          <t>BOLLNÄS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46292</v>
      </c>
      <c r="F666" t="inlineStr">
        <is>
          <t>GÄVLEBORGS LÄN</t>
        </is>
      </c>
      <c r="G666" t="inlineStr">
        <is>
          <t>BOLLNÄS</t>
        </is>
      </c>
      <c r="H666" t="inlineStr">
        <is>
          <t>Kommuner</t>
        </is>
      </c>
      <c r="I666" t="n">
        <v>23.7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45448</v>
      </c>
      <c r="E667" s="1" t="n">
        <v>46292</v>
      </c>
      <c r="F667" t="inlineStr">
        <is>
          <t>GÄVLEBORGS LÄN</t>
        </is>
      </c>
      <c r="G667" t="inlineStr">
        <is>
          <t>BOLLNÄS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46292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46292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46292</v>
      </c>
      <c r="F670" t="inlineStr">
        <is>
          <t>GÄVLEBORGS LÄN</t>
        </is>
      </c>
      <c r="G670" t="inlineStr">
        <is>
          <t>BOLLNÄS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46292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59740-2023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45257</v>
      </c>
      <c r="E672" s="1" t="n">
        <v>46292</v>
      </c>
      <c r="F672" t="inlineStr">
        <is>
          <t>GÄVLEBORGS LÄN</t>
        </is>
      </c>
      <c r="G672" t="inlineStr">
        <is>
          <t>BOLLNÄS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57689-2022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44897</v>
      </c>
      <c r="E673" s="1" t="n">
        <v>46292</v>
      </c>
      <c r="F673" t="inlineStr">
        <is>
          <t>GÄVLEBORGS LÄN</t>
        </is>
      </c>
      <c r="G673" t="inlineStr">
        <is>
          <t>BOLLNÄS</t>
        </is>
      </c>
      <c r="I673" t="n">
        <v>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14871-2026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46292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46292</v>
      </c>
      <c r="F675" t="inlineStr">
        <is>
          <t>GÄVLEBORGS LÄN</t>
        </is>
      </c>
      <c r="G675" t="inlineStr">
        <is>
          <t>BOLLNÄS</t>
        </is>
      </c>
      <c r="I675" t="n">
        <v>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46292</v>
      </c>
      <c r="F676" t="inlineStr">
        <is>
          <t>GÄVLEBORGS LÄN</t>
        </is>
      </c>
      <c r="G676" t="inlineStr">
        <is>
          <t>BOLLNÄS</t>
        </is>
      </c>
      <c r="H676" t="inlineStr">
        <is>
          <t>Holmen skog AB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46104</v>
      </c>
      <c r="E677" s="1" t="n">
        <v>46292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46292</v>
      </c>
      <c r="F678" t="inlineStr">
        <is>
          <t>GÄVLEBORGS LÄN</t>
        </is>
      </c>
      <c r="G678" t="inlineStr">
        <is>
          <t>BOLLNÄS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46292</v>
      </c>
      <c r="F679" t="inlineStr">
        <is>
          <t>GÄVLEBORGS LÄN</t>
        </is>
      </c>
      <c r="G679" t="inlineStr">
        <is>
          <t>BOLLNÄS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21616-2022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44706</v>
      </c>
      <c r="E680" s="1" t="n">
        <v>46292</v>
      </c>
      <c r="F680" t="inlineStr">
        <is>
          <t>GÄVLEBORGS LÄN</t>
        </is>
      </c>
      <c r="G680" t="inlineStr">
        <is>
          <t>BOLLNÄS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46292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15832-2026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46292</v>
      </c>
      <c r="F682" t="inlineStr">
        <is>
          <t>GÄVLEBORGS LÄN</t>
        </is>
      </c>
      <c r="G682" t="inlineStr">
        <is>
          <t>BOLLNÄS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45952</v>
      </c>
      <c r="E683" s="1" t="n">
        <v>46292</v>
      </c>
      <c r="F683" t="inlineStr">
        <is>
          <t>GÄVLEBORGS LÄN</t>
        </is>
      </c>
      <c r="G683" t="inlineStr">
        <is>
          <t>BOLLNÄS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51878-2025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45952</v>
      </c>
      <c r="E684" s="1" t="n">
        <v>46292</v>
      </c>
      <c r="F684" t="inlineStr">
        <is>
          <t>GÄVLEBORGS LÄN</t>
        </is>
      </c>
      <c r="G684" t="inlineStr">
        <is>
          <t>BOLLNÄS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46292</v>
      </c>
      <c r="F685" t="inlineStr">
        <is>
          <t>GÄVLEBORGS LÄN</t>
        </is>
      </c>
      <c r="G685" t="inlineStr">
        <is>
          <t>BOLLNÄS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15718-2026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46292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55570-2024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45622</v>
      </c>
      <c r="E687" s="1" t="n">
        <v>46292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14758-2026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46292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15507-2026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46106</v>
      </c>
      <c r="E689" s="1" t="n">
        <v>46292</v>
      </c>
      <c r="F689" t="inlineStr">
        <is>
          <t>GÄVLEBORGS LÄN</t>
        </is>
      </c>
      <c r="G689" t="inlineStr">
        <is>
          <t>BOLLNÄS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15520-2026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46292</v>
      </c>
      <c r="F690" t="inlineStr">
        <is>
          <t>GÄVLEBORGS LÄN</t>
        </is>
      </c>
      <c r="G690" t="inlineStr">
        <is>
          <t>BOLLNÄS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46292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46292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46292</v>
      </c>
      <c r="F693" t="inlineStr">
        <is>
          <t>GÄVLEBORGS LÄN</t>
        </is>
      </c>
      <c r="G693" t="inlineStr">
        <is>
          <t>BOLLNÄS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15818-2026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46107</v>
      </c>
      <c r="E694" s="1" t="n">
        <v>46292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41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15813-2026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46292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46292</v>
      </c>
      <c r="F696" t="inlineStr">
        <is>
          <t>GÄVLEBORGS LÄN</t>
        </is>
      </c>
      <c r="G696" t="inlineStr">
        <is>
          <t>BOLLNÄS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51853-2025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45952</v>
      </c>
      <c r="E697" s="1" t="n">
        <v>46292</v>
      </c>
      <c r="F697" t="inlineStr">
        <is>
          <t>GÄVLEBORGS LÄN</t>
        </is>
      </c>
      <c r="G697" t="inlineStr">
        <is>
          <t>BOLLNÄS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46292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45951</v>
      </c>
      <c r="E699" s="1" t="n">
        <v>46292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46292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45952</v>
      </c>
      <c r="E701" s="1" t="n">
        <v>46292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46292</v>
      </c>
      <c r="F702" t="inlineStr">
        <is>
          <t>GÄVLEBORGS LÄN</t>
        </is>
      </c>
      <c r="G702" t="inlineStr">
        <is>
          <t>BOLLNÄS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46292</v>
      </c>
      <c r="F703" t="inlineStr">
        <is>
          <t>GÄVLEBORGS LÄN</t>
        </is>
      </c>
      <c r="G703" t="inlineStr">
        <is>
          <t>BOLLNÄS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46292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46108</v>
      </c>
      <c r="E705" s="1" t="n">
        <v>46292</v>
      </c>
      <c r="F705" t="inlineStr">
        <is>
          <t>GÄVLEBORGS LÄN</t>
        </is>
      </c>
      <c r="G705" t="inlineStr">
        <is>
          <t>BOLLNÄS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46292</v>
      </c>
      <c r="F706" t="inlineStr">
        <is>
          <t>GÄVLEBORGS LÄN</t>
        </is>
      </c>
      <c r="G706" t="inlineStr">
        <is>
          <t>BOLLNÄS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45271</v>
      </c>
      <c r="E707" s="1" t="n">
        <v>46292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64422-2023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45280</v>
      </c>
      <c r="E708" s="1" t="n">
        <v>46292</v>
      </c>
      <c r="F708" t="inlineStr">
        <is>
          <t>GÄVLEBORGS LÄN</t>
        </is>
      </c>
      <c r="G708" t="inlineStr">
        <is>
          <t>BOLLNÄS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52447-2025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46292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46292</v>
      </c>
      <c r="F710" t="inlineStr">
        <is>
          <t>GÄVLEBORGS LÄN</t>
        </is>
      </c>
      <c r="G710" t="inlineStr">
        <is>
          <t>BOLLNÄS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46292</v>
      </c>
      <c r="F711" t="inlineStr">
        <is>
          <t>GÄVLEBORGS LÄN</t>
        </is>
      </c>
      <c r="G711" t="inlineStr">
        <is>
          <t>BOLLNÄS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46292</v>
      </c>
      <c r="F712" t="inlineStr">
        <is>
          <t>GÄVLEBORGS LÄN</t>
        </is>
      </c>
      <c r="G712" t="inlineStr">
        <is>
          <t>BOLLNÄS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16036-2026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46108</v>
      </c>
      <c r="E713" s="1" t="n">
        <v>46292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15980-2026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46292</v>
      </c>
      <c r="F714" t="inlineStr">
        <is>
          <t>GÄVLEBORGS LÄN</t>
        </is>
      </c>
      <c r="G714" t="inlineStr">
        <is>
          <t>BOLLNÄS</t>
        </is>
      </c>
      <c r="H714" t="inlineStr">
        <is>
          <t>Holmen skog AB</t>
        </is>
      </c>
      <c r="I714" t="n">
        <v>26.2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15996-2026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46292</v>
      </c>
      <c r="F715" t="inlineStr">
        <is>
          <t>GÄVLEBORGS LÄN</t>
        </is>
      </c>
      <c r="G715" t="inlineStr">
        <is>
          <t>BOLLNÄS</t>
        </is>
      </c>
      <c r="H715" t="inlineStr">
        <is>
          <t>Holmen skog AB</t>
        </is>
      </c>
      <c r="I715" t="n">
        <v>51.8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16029-2026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46108</v>
      </c>
      <c r="E716" s="1" t="n">
        <v>46292</v>
      </c>
      <c r="F716" t="inlineStr">
        <is>
          <t>GÄVLEBORGS LÄN</t>
        </is>
      </c>
      <c r="G716" t="inlineStr">
        <is>
          <t>BOLLNÄS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46292</v>
      </c>
      <c r="F717" t="inlineStr">
        <is>
          <t>GÄVLEBORGS LÄN</t>
        </is>
      </c>
      <c r="G717" t="inlineStr">
        <is>
          <t>BOLLNÄS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46292</v>
      </c>
      <c r="F718" t="inlineStr">
        <is>
          <t>GÄVLEBORGS LÄN</t>
        </is>
      </c>
      <c r="G718" t="inlineStr">
        <is>
          <t>BOLLNÄS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46292</v>
      </c>
      <c r="F719" t="inlineStr">
        <is>
          <t>GÄVLEBORGS LÄN</t>
        </is>
      </c>
      <c r="G719" t="inlineStr">
        <is>
          <t>BOLLNÄS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16068-2026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46108</v>
      </c>
      <c r="E720" s="1" t="n">
        <v>46292</v>
      </c>
      <c r="F720" t="inlineStr">
        <is>
          <t>GÄVLEBORGS LÄN</t>
        </is>
      </c>
      <c r="G720" t="inlineStr">
        <is>
          <t>BOLLNÄS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52303-2025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45953</v>
      </c>
      <c r="E721" s="1" t="n">
        <v>46292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27345-2025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45812</v>
      </c>
      <c r="E722" s="1" t="n">
        <v>46292</v>
      </c>
      <c r="F722" t="inlineStr">
        <is>
          <t>GÄVLEBORGS LÄN</t>
        </is>
      </c>
      <c r="G722" t="inlineStr">
        <is>
          <t>BOLLNÄS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45958</v>
      </c>
      <c r="E723" s="1" t="n">
        <v>46292</v>
      </c>
      <c r="F723" t="inlineStr">
        <is>
          <t>GÄVLEBORGS LÄN</t>
        </is>
      </c>
      <c r="G723" t="inlineStr">
        <is>
          <t>BOLLNÄS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44628-2025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45917</v>
      </c>
      <c r="E724" s="1" t="n">
        <v>46292</v>
      </c>
      <c r="F724" t="inlineStr">
        <is>
          <t>GÄVLEBORGS LÄN</t>
        </is>
      </c>
      <c r="G724" t="inlineStr">
        <is>
          <t>BOLLNÄS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51952-2023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45223</v>
      </c>
      <c r="E725" s="1" t="n">
        <v>46292</v>
      </c>
      <c r="F725" t="inlineStr">
        <is>
          <t>GÄVLEBORGS LÄN</t>
        </is>
      </c>
      <c r="G725" t="inlineStr">
        <is>
          <t>BOLLNÄS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16871-2026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46292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46292</v>
      </c>
      <c r="F727" t="inlineStr">
        <is>
          <t>GÄVLEBORGS LÄN</t>
        </is>
      </c>
      <c r="G727" t="inlineStr">
        <is>
          <t>BOLLNÄS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46292</v>
      </c>
      <c r="F728" t="inlineStr">
        <is>
          <t>GÄVLEBORGS LÄN</t>
        </is>
      </c>
      <c r="G728" t="inlineStr">
        <is>
          <t>BOLLNÄS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16858-2026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46113</v>
      </c>
      <c r="E729" s="1" t="n">
        <v>46292</v>
      </c>
      <c r="F729" t="inlineStr">
        <is>
          <t>GÄVLEBORGS LÄN</t>
        </is>
      </c>
      <c r="G729" t="inlineStr">
        <is>
          <t>BOLLNÄS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46292</v>
      </c>
      <c r="F730" t="inlineStr">
        <is>
          <t>GÄVLEBORGS LÄN</t>
        </is>
      </c>
      <c r="G730" t="inlineStr">
        <is>
          <t>BOLLNÄS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46292</v>
      </c>
      <c r="F731" t="inlineStr">
        <is>
          <t>GÄVLEBORGS LÄN</t>
        </is>
      </c>
      <c r="G731" t="inlineStr">
        <is>
          <t>BOLLNÄS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46292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63108-2021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44505</v>
      </c>
      <c r="E733" s="1" t="n">
        <v>46292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53063-2025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45958</v>
      </c>
      <c r="E734" s="1" t="n">
        <v>46292</v>
      </c>
      <c r="F734" t="inlineStr">
        <is>
          <t>GÄVLEBORGS LÄN</t>
        </is>
      </c>
      <c r="G734" t="inlineStr">
        <is>
          <t>BOLLNÄS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46292</v>
      </c>
      <c r="F735" t="inlineStr">
        <is>
          <t>GÄVLEBORGS LÄN</t>
        </is>
      </c>
      <c r="G735" t="inlineStr">
        <is>
          <t>BOLLNÄS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46292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53037-2025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46292</v>
      </c>
      <c r="F737" t="inlineStr">
        <is>
          <t>GÄVLEBORGS LÄN</t>
        </is>
      </c>
      <c r="G737" t="inlineStr">
        <is>
          <t>BOLLNÄS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46292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46292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46292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16635-2026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46112</v>
      </c>
      <c r="E741" s="1" t="n">
        <v>46292</v>
      </c>
      <c r="F741" t="inlineStr">
        <is>
          <t>GÄVLEBORGS LÄN</t>
        </is>
      </c>
      <c r="G741" t="inlineStr">
        <is>
          <t>BOLLNÄS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53198-2025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45958</v>
      </c>
      <c r="E742" s="1" t="n">
        <v>46292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46292</v>
      </c>
      <c r="F743" t="inlineStr">
        <is>
          <t>GÄVLEBORGS LÄN</t>
        </is>
      </c>
      <c r="G743" t="inlineStr">
        <is>
          <t>BOLLNÄS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45946</v>
      </c>
      <c r="E744" s="1" t="n">
        <v>46292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46113</v>
      </c>
      <c r="E745" s="1" t="n">
        <v>46292</v>
      </c>
      <c r="F745" t="inlineStr">
        <is>
          <t>GÄVLEBORGS LÄN</t>
        </is>
      </c>
      <c r="G745" t="inlineStr">
        <is>
          <t>BOLLNÄS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53195-2025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45958</v>
      </c>
      <c r="E746" s="1" t="n">
        <v>46292</v>
      </c>
      <c r="F746" t="inlineStr">
        <is>
          <t>GÄVLEBORGS LÄN</t>
        </is>
      </c>
      <c r="G746" t="inlineStr">
        <is>
          <t>BOLLNÄS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46292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46292</v>
      </c>
      <c r="F748" t="inlineStr">
        <is>
          <t>GÄVLEBORGS LÄN</t>
        </is>
      </c>
      <c r="G748" t="inlineStr">
        <is>
          <t>BOLLNÄS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46292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46292</v>
      </c>
      <c r="F750" t="inlineStr">
        <is>
          <t>GÄVLEBORGS LÄN</t>
        </is>
      </c>
      <c r="G750" t="inlineStr">
        <is>
          <t>BOLLNÄS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46292</v>
      </c>
      <c r="F751" t="inlineStr">
        <is>
          <t>GÄVLEBORGS LÄN</t>
        </is>
      </c>
      <c r="G751" t="inlineStr">
        <is>
          <t>BOLLNÄS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46292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16622-2026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46292</v>
      </c>
      <c r="F753" t="inlineStr">
        <is>
          <t>GÄVLEBORGS LÄN</t>
        </is>
      </c>
      <c r="G753" t="inlineStr">
        <is>
          <t>BOLLNÄS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46292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46292</v>
      </c>
      <c r="F755" t="inlineStr">
        <is>
          <t>GÄVLEBORGS LÄN</t>
        </is>
      </c>
      <c r="G755" t="inlineStr">
        <is>
          <t>BOLLNÄS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46292</v>
      </c>
      <c r="F756" t="inlineStr">
        <is>
          <t>GÄVLEBORGS LÄN</t>
        </is>
      </c>
      <c r="G756" t="inlineStr">
        <is>
          <t>BOLLNÄS</t>
        </is>
      </c>
      <c r="H756" t="inlineStr">
        <is>
          <t>Holmen skog AB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46292</v>
      </c>
      <c r="F757" t="inlineStr">
        <is>
          <t>GÄVLEBORGS LÄN</t>
        </is>
      </c>
      <c r="G757" t="inlineStr">
        <is>
          <t>BOLLNÄS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17093-2026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46114</v>
      </c>
      <c r="E758" s="1" t="n">
        <v>46292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16992-2026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46114</v>
      </c>
      <c r="E759" s="1" t="n">
        <v>46292</v>
      </c>
      <c r="F759" t="inlineStr">
        <is>
          <t>GÄVLEBORGS LÄN</t>
        </is>
      </c>
      <c r="G759" t="inlineStr">
        <is>
          <t>BOLLNÄS</t>
        </is>
      </c>
      <c r="H759" t="inlineStr">
        <is>
          <t>Holmen skog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46292</v>
      </c>
      <c r="F760" t="inlineStr">
        <is>
          <t>GÄVLEBORGS LÄN</t>
        </is>
      </c>
      <c r="G760" t="inlineStr">
        <is>
          <t>BOLLNÄS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17187-2026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46117</v>
      </c>
      <c r="E761" s="1" t="n">
        <v>46292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53444-2025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45959</v>
      </c>
      <c r="E762" s="1" t="n">
        <v>46292</v>
      </c>
      <c r="F762" t="inlineStr">
        <is>
          <t>GÄVLEBORGS LÄN</t>
        </is>
      </c>
      <c r="G762" t="inlineStr">
        <is>
          <t>BOLLNÄS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45540</v>
      </c>
      <c r="E763" s="1" t="n">
        <v>46292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46292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53599-2025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45960</v>
      </c>
      <c r="E765" s="1" t="n">
        <v>46292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45960</v>
      </c>
      <c r="E766" s="1" t="n">
        <v>46292</v>
      </c>
      <c r="F766" t="inlineStr">
        <is>
          <t>GÄVLEBORGS LÄN</t>
        </is>
      </c>
      <c r="G766" t="inlineStr">
        <is>
          <t>BOLLNÄS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44967</v>
      </c>
      <c r="E767" s="1" t="n">
        <v>46292</v>
      </c>
      <c r="F767" t="inlineStr">
        <is>
          <t>GÄVLEBORGS LÄN</t>
        </is>
      </c>
      <c r="G767" t="inlineStr">
        <is>
          <t>BOLLNÄS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54097-2025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45964</v>
      </c>
      <c r="E768" s="1" t="n">
        <v>46292</v>
      </c>
      <c r="F768" t="inlineStr">
        <is>
          <t>GÄVLEBORGS LÄN</t>
        </is>
      </c>
      <c r="G768" t="inlineStr">
        <is>
          <t>BOLLNÄS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17652-2026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46292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46080</v>
      </c>
      <c r="E770" s="1" t="n">
        <v>46292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54149-2025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45964</v>
      </c>
      <c r="E771" s="1" t="n">
        <v>46292</v>
      </c>
      <c r="F771" t="inlineStr">
        <is>
          <t>GÄVLEBORGS LÄN</t>
        </is>
      </c>
      <c r="G771" t="inlineStr">
        <is>
          <t>BOLLNÄS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54229-2025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45964</v>
      </c>
      <c r="E772" s="1" t="n">
        <v>46292</v>
      </c>
      <c r="F772" t="inlineStr">
        <is>
          <t>GÄVLEBORGS LÄN</t>
        </is>
      </c>
      <c r="G772" t="inlineStr">
        <is>
          <t>BOLLNÄS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46292</v>
      </c>
      <c r="F773" t="inlineStr">
        <is>
          <t>GÄVLEBORGS LÄN</t>
        </is>
      </c>
      <c r="G773" t="inlineStr">
        <is>
          <t>BOLLNÄS</t>
        </is>
      </c>
      <c r="I773" t="n">
        <v>7.2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54253-2025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45964</v>
      </c>
      <c r="E774" s="1" t="n">
        <v>46292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53817-2025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45961</v>
      </c>
      <c r="E775" s="1" t="n">
        <v>46292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53818-2025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45961</v>
      </c>
      <c r="E776" s="1" t="n">
        <v>46292</v>
      </c>
      <c r="F776" t="inlineStr">
        <is>
          <t>GÄVLEBORGS LÄN</t>
        </is>
      </c>
      <c r="G776" t="inlineStr">
        <is>
          <t>BOLLNÄS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27143-2025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45812</v>
      </c>
      <c r="E777" s="1" t="n">
        <v>46292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45565</v>
      </c>
      <c r="E778" s="1" t="n">
        <v>46292</v>
      </c>
      <c r="F778" t="inlineStr">
        <is>
          <t>GÄVLEBORGS LÄN</t>
        </is>
      </c>
      <c r="G778" t="inlineStr">
        <is>
          <t>BOLLNÄS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54013-2025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45961</v>
      </c>
      <c r="E779" s="1" t="n">
        <v>46292</v>
      </c>
      <c r="F779" t="inlineStr">
        <is>
          <t>GÄVLEBORGS LÄN</t>
        </is>
      </c>
      <c r="G779" t="inlineStr">
        <is>
          <t>BOLLNÄS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46122</v>
      </c>
      <c r="E780" s="1" t="n">
        <v>46292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46292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18010-2026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46292</v>
      </c>
      <c r="F782" t="inlineStr">
        <is>
          <t>GÄVLEBORGS LÄN</t>
        </is>
      </c>
      <c r="G782" t="inlineStr">
        <is>
          <t>BOLLNÄS</t>
        </is>
      </c>
      <c r="H782" t="inlineStr">
        <is>
          <t>Holmen skog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18196-2026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46292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54423-2025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45965</v>
      </c>
      <c r="E784" s="1" t="n">
        <v>46292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46123</v>
      </c>
      <c r="E785" s="1" t="n">
        <v>46292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18211-2026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46125</v>
      </c>
      <c r="E786" s="1" t="n">
        <v>46292</v>
      </c>
      <c r="F786" t="inlineStr">
        <is>
          <t>GÄVLEBORGS LÄN</t>
        </is>
      </c>
      <c r="G786" t="inlineStr">
        <is>
          <t>BOLLNÄS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45965</v>
      </c>
      <c r="E787" s="1" t="n">
        <v>46292</v>
      </c>
      <c r="F787" t="inlineStr">
        <is>
          <t>GÄVLEBORGS LÄN</t>
        </is>
      </c>
      <c r="G787" t="inlineStr">
        <is>
          <t>BOLLNÄS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56120-2024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45624</v>
      </c>
      <c r="E788" s="1" t="n">
        <v>46292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46292</v>
      </c>
      <c r="F789" t="inlineStr">
        <is>
          <t>GÄVLEBORGS LÄN</t>
        </is>
      </c>
      <c r="G789" t="inlineStr">
        <is>
          <t>BOLLNÄS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46292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46125</v>
      </c>
      <c r="E791" s="1" t="n">
        <v>46292</v>
      </c>
      <c r="F791" t="inlineStr">
        <is>
          <t>GÄVLEBORGS LÄN</t>
        </is>
      </c>
      <c r="G791" t="inlineStr">
        <is>
          <t>BOLLNÄS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18539-2026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46127</v>
      </c>
      <c r="E792" s="1" t="n">
        <v>46292</v>
      </c>
      <c r="F792" t="inlineStr">
        <is>
          <t>GÄVLEBORGS LÄN</t>
        </is>
      </c>
      <c r="G792" t="inlineStr">
        <is>
          <t>BOLLNÄS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46292</v>
      </c>
      <c r="F793" t="inlineStr">
        <is>
          <t>GÄVLEBORGS LÄN</t>
        </is>
      </c>
      <c r="G793" t="inlineStr">
        <is>
          <t>BOLLNÄS</t>
        </is>
      </c>
      <c r="I793" t="n">
        <v>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46127</v>
      </c>
      <c r="E794" s="1" t="n">
        <v>46292</v>
      </c>
      <c r="F794" t="inlineStr">
        <is>
          <t>GÄVLEBORGS LÄN</t>
        </is>
      </c>
      <c r="G794" t="inlineStr">
        <is>
          <t>BOLLNÄS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11645-2022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44631</v>
      </c>
      <c r="E795" s="1" t="n">
        <v>46292</v>
      </c>
      <c r="F795" t="inlineStr">
        <is>
          <t>GÄVLEBORGS LÄN</t>
        </is>
      </c>
      <c r="G795" t="inlineStr">
        <is>
          <t>BOLLNÄS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45968</v>
      </c>
      <c r="E796" s="1" t="n">
        <v>46292</v>
      </c>
      <c r="F796" t="inlineStr">
        <is>
          <t>GÄVLEBORGS LÄN</t>
        </is>
      </c>
      <c r="G796" t="inlineStr">
        <is>
          <t>BOLLNÄS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11956-2023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44995</v>
      </c>
      <c r="E797" s="1" t="n">
        <v>46292</v>
      </c>
      <c r="F797" t="inlineStr">
        <is>
          <t>GÄVLEBORGS LÄN</t>
        </is>
      </c>
      <c r="G797" t="inlineStr">
        <is>
          <t>BOLLNÄS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21682-2024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45442</v>
      </c>
      <c r="E798" s="1" t="n">
        <v>46292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58753-2021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44489</v>
      </c>
      <c r="E799" s="1" t="n">
        <v>46292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55164-2025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45968</v>
      </c>
      <c r="E800" s="1" t="n">
        <v>46292</v>
      </c>
      <c r="F800" t="inlineStr">
        <is>
          <t>GÄVLEBORGS LÄN</t>
        </is>
      </c>
      <c r="G800" t="inlineStr">
        <is>
          <t>BOLLNÄS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61711-2023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45265</v>
      </c>
      <c r="E801" s="1" t="n">
        <v>46292</v>
      </c>
      <c r="F801" t="inlineStr">
        <is>
          <t>GÄVLEBORGS LÄN</t>
        </is>
      </c>
      <c r="G801" t="inlineStr">
        <is>
          <t>BOLLNÄS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46664-2024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45583</v>
      </c>
      <c r="E802" s="1" t="n">
        <v>46292</v>
      </c>
      <c r="F802" t="inlineStr">
        <is>
          <t>GÄVLEBORGS LÄN</t>
        </is>
      </c>
      <c r="G802" t="inlineStr">
        <is>
          <t>BOLLNÄS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45672</v>
      </c>
      <c r="E803" s="1" t="n">
        <v>46292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45672</v>
      </c>
      <c r="E804" s="1" t="n">
        <v>46292</v>
      </c>
      <c r="F804" t="inlineStr">
        <is>
          <t>GÄVLEBORGS LÄN</t>
        </is>
      </c>
      <c r="G804" t="inlineStr">
        <is>
          <t>BOLLNÄS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21211-2025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46292</v>
      </c>
      <c r="F805" t="inlineStr">
        <is>
          <t>GÄVLEBORGS LÄN</t>
        </is>
      </c>
      <c r="G805" t="inlineStr">
        <is>
          <t>BOLLNÄS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56188-2025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45974</v>
      </c>
      <c r="E806" s="1" t="n">
        <v>46292</v>
      </c>
      <c r="F806" t="inlineStr">
        <is>
          <t>GÄVLEBORGS LÄN</t>
        </is>
      </c>
      <c r="G806" t="inlineStr">
        <is>
          <t>BOLLNÄS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55930-2025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45973</v>
      </c>
      <c r="E807" s="1" t="n">
        <v>46292</v>
      </c>
      <c r="F807" t="inlineStr">
        <is>
          <t>GÄVLEBORGS LÄN</t>
        </is>
      </c>
      <c r="G807" t="inlineStr">
        <is>
          <t>BOLLNÄS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46126</v>
      </c>
      <c r="E808" s="1" t="n">
        <v>46292</v>
      </c>
      <c r="F808" t="inlineStr">
        <is>
          <t>GÄVLEBORGS LÄN</t>
        </is>
      </c>
      <c r="G808" t="inlineStr">
        <is>
          <t>BOLLNÄS</t>
        </is>
      </c>
      <c r="H808" t="inlineStr">
        <is>
          <t>Kyrkan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46126</v>
      </c>
      <c r="E809" s="1" t="n">
        <v>46292</v>
      </c>
      <c r="F809" t="inlineStr">
        <is>
          <t>GÄVLEBORGS LÄN</t>
        </is>
      </c>
      <c r="G809" t="inlineStr">
        <is>
          <t>BOLLNÄS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18397-2026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46292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18228-2026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46126</v>
      </c>
      <c r="E811" s="1" t="n">
        <v>46292</v>
      </c>
      <c r="F811" t="inlineStr">
        <is>
          <t>GÄVLEBORGS LÄN</t>
        </is>
      </c>
      <c r="G811" t="inlineStr">
        <is>
          <t>BOLLNÄS</t>
        </is>
      </c>
      <c r="H811" t="inlineStr">
        <is>
          <t>Kyrkan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46126</v>
      </c>
      <c r="E812" s="1" t="n">
        <v>46292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18672-2026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46128</v>
      </c>
      <c r="E813" s="1" t="n">
        <v>46292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18723-2026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46128</v>
      </c>
      <c r="E814" s="1" t="n">
        <v>46292</v>
      </c>
      <c r="F814" t="inlineStr">
        <is>
          <t>GÄVLEBORGS LÄN</t>
        </is>
      </c>
      <c r="G814" t="inlineStr">
        <is>
          <t>BOLLNÄS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45974</v>
      </c>
      <c r="E815" s="1" t="n">
        <v>46292</v>
      </c>
      <c r="F815" t="inlineStr">
        <is>
          <t>GÄVLEBORGS LÄN</t>
        </is>
      </c>
      <c r="G815" t="inlineStr">
        <is>
          <t>BOLLNÄS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46292</v>
      </c>
      <c r="F816" t="inlineStr">
        <is>
          <t>GÄVLEBORGS LÄN</t>
        </is>
      </c>
      <c r="G816" t="inlineStr">
        <is>
          <t>BOLLNÄS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18842-2026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46129</v>
      </c>
      <c r="E817" s="1" t="n">
        <v>46292</v>
      </c>
      <c r="F817" t="inlineStr">
        <is>
          <t>GÄVLEBORGS LÄN</t>
        </is>
      </c>
      <c r="G817" t="inlineStr">
        <is>
          <t>BOLLNÄS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18794-2026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46128</v>
      </c>
      <c r="E818" s="1" t="n">
        <v>46292</v>
      </c>
      <c r="F818" t="inlineStr">
        <is>
          <t>GÄVLEBORGS LÄN</t>
        </is>
      </c>
      <c r="G818" t="inlineStr">
        <is>
          <t>BOLLNÄS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56596-2025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45975</v>
      </c>
      <c r="E819" s="1" t="n">
        <v>46292</v>
      </c>
      <c r="F819" t="inlineStr">
        <is>
          <t>GÄVLEBORGS LÄN</t>
        </is>
      </c>
      <c r="G819" t="inlineStr">
        <is>
          <t>BOLLNÄS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19115-2026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46292</v>
      </c>
      <c r="F820" t="inlineStr">
        <is>
          <t>GÄVLEBORGS LÄN</t>
        </is>
      </c>
      <c r="G820" t="inlineStr">
        <is>
          <t>BOLLNÄS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19235-2026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46292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19117-2026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46132</v>
      </c>
      <c r="E822" s="1" t="n">
        <v>46292</v>
      </c>
      <c r="F822" t="inlineStr">
        <is>
          <t>GÄVLEBORGS LÄN</t>
        </is>
      </c>
      <c r="G822" t="inlineStr">
        <is>
          <t>BOLLNÄS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46132</v>
      </c>
      <c r="E823" s="1" t="n">
        <v>46292</v>
      </c>
      <c r="F823" t="inlineStr">
        <is>
          <t>GÄVLEBORGS LÄN</t>
        </is>
      </c>
      <c r="G823" t="inlineStr">
        <is>
          <t>BOLLNÄS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18721-2026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46128</v>
      </c>
      <c r="E824" s="1" t="n">
        <v>46292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46292</v>
      </c>
      <c r="F825" t="inlineStr">
        <is>
          <t>GÄVLEBORGS LÄN</t>
        </is>
      </c>
      <c r="G825" t="inlineStr">
        <is>
          <t>BOLLNÄS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55860-2025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45973</v>
      </c>
      <c r="E826" s="1" t="n">
        <v>46292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46292</v>
      </c>
      <c r="F827" t="inlineStr">
        <is>
          <t>GÄVLEBORGS LÄN</t>
        </is>
      </c>
      <c r="G827" t="inlineStr">
        <is>
          <t>BOLLNÄS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46132</v>
      </c>
      <c r="E828" s="1" t="n">
        <v>46292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18768-2026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46128</v>
      </c>
      <c r="E829" s="1" t="n">
        <v>46292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öst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56958-2025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45978</v>
      </c>
      <c r="E830" s="1" t="n">
        <v>46292</v>
      </c>
      <c r="F830" t="inlineStr">
        <is>
          <t>GÄVLEBORGS LÄN</t>
        </is>
      </c>
      <c r="G830" t="inlineStr">
        <is>
          <t>BOLLNÄS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18832-2026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46292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19125-2026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46292</v>
      </c>
      <c r="F832" t="inlineStr">
        <is>
          <t>GÄVLEBORGS LÄN</t>
        </is>
      </c>
      <c r="G832" t="inlineStr">
        <is>
          <t>BOLLNÄS</t>
        </is>
      </c>
      <c r="I832" t="n">
        <v>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46132</v>
      </c>
      <c r="E833" s="1" t="n">
        <v>46292</v>
      </c>
      <c r="F833" t="inlineStr">
        <is>
          <t>GÄVLEBORGS LÄN</t>
        </is>
      </c>
      <c r="G833" t="inlineStr">
        <is>
          <t>BOLLNÄS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46132</v>
      </c>
      <c r="E834" s="1" t="n">
        <v>46292</v>
      </c>
      <c r="F834" t="inlineStr">
        <is>
          <t>GÄVLEBORGS LÄN</t>
        </is>
      </c>
      <c r="G834" t="inlineStr">
        <is>
          <t>BOLLNÄS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46292</v>
      </c>
      <c r="F835" t="inlineStr">
        <is>
          <t>GÄVLEBORGS LÄN</t>
        </is>
      </c>
      <c r="G835" t="inlineStr">
        <is>
          <t>BOLLNÄS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46292</v>
      </c>
      <c r="F836" t="inlineStr">
        <is>
          <t>GÄVLEBORGS LÄN</t>
        </is>
      </c>
      <c r="G836" t="inlineStr">
        <is>
          <t>BOLLNÄS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56609-2025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45975</v>
      </c>
      <c r="E837" s="1" t="n">
        <v>46292</v>
      </c>
      <c r="F837" t="inlineStr">
        <is>
          <t>GÄVLEBORGS LÄN</t>
        </is>
      </c>
      <c r="G837" t="inlineStr">
        <is>
          <t>BOLLNÄS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18982-2026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46292</v>
      </c>
      <c r="F838" t="inlineStr">
        <is>
          <t>GÄVLEBORGS LÄN</t>
        </is>
      </c>
      <c r="G838" t="inlineStr">
        <is>
          <t>BOLLNÄS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46292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56481-2025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45975</v>
      </c>
      <c r="E840" s="1" t="n">
        <v>46292</v>
      </c>
      <c r="F840" t="inlineStr">
        <is>
          <t>GÄVLEBORGS LÄN</t>
        </is>
      </c>
      <c r="G840" t="inlineStr">
        <is>
          <t>BOLLNÄS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52181-2024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45608</v>
      </c>
      <c r="E841" s="1" t="n">
        <v>46292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46292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16349-2026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46292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öst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57443-2025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45980</v>
      </c>
      <c r="E844" s="1" t="n">
        <v>46292</v>
      </c>
      <c r="F844" t="inlineStr">
        <is>
          <t>GÄVLEBORGS LÄN</t>
        </is>
      </c>
      <c r="G844" t="inlineStr">
        <is>
          <t>BOLLNÄS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46292</v>
      </c>
      <c r="F845" t="inlineStr">
        <is>
          <t>GÄVLEBORGS LÄN</t>
        </is>
      </c>
      <c r="G845" t="inlineStr">
        <is>
          <t>BOLLNÄS</t>
        </is>
      </c>
      <c r="I845" t="n">
        <v>14.1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46292</v>
      </c>
      <c r="F846" t="inlineStr">
        <is>
          <t>GÄVLEBORGS LÄN</t>
        </is>
      </c>
      <c r="G846" t="inlineStr">
        <is>
          <t>BOLLNÄS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19197-2026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46132</v>
      </c>
      <c r="E847" s="1" t="n">
        <v>46292</v>
      </c>
      <c r="F847" t="inlineStr">
        <is>
          <t>GÄVLEBORGS LÄN</t>
        </is>
      </c>
      <c r="G847" t="inlineStr">
        <is>
          <t>BOLLNÄS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46292</v>
      </c>
      <c r="F848" t="inlineStr">
        <is>
          <t>GÄVLEBORGS LÄN</t>
        </is>
      </c>
      <c r="G848" t="inlineStr">
        <is>
          <t>BOLLNÄS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46292</v>
      </c>
      <c r="F849" t="inlineStr">
        <is>
          <t>GÄVLEBORGS LÄN</t>
        </is>
      </c>
      <c r="G849" t="inlineStr">
        <is>
          <t>BOLLNÄS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18865-2026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46129</v>
      </c>
      <c r="E850" s="1" t="n">
        <v>46292</v>
      </c>
      <c r="F850" t="inlineStr">
        <is>
          <t>GÄVLEBORGS LÄN</t>
        </is>
      </c>
      <c r="G850" t="inlineStr">
        <is>
          <t>BOLLNÄS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57214-2025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45979</v>
      </c>
      <c r="E851" s="1" t="n">
        <v>46292</v>
      </c>
      <c r="F851" t="inlineStr">
        <is>
          <t>GÄVLEBORGS LÄN</t>
        </is>
      </c>
      <c r="G851" t="inlineStr">
        <is>
          <t>BOLLNÄS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57054-2025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45979</v>
      </c>
      <c r="E852" s="1" t="n">
        <v>46292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46292</v>
      </c>
      <c r="F853" t="inlineStr">
        <is>
          <t>GÄVLEBORGS LÄN</t>
        </is>
      </c>
      <c r="G853" t="inlineStr">
        <is>
          <t>BOLLNÄS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18792-2026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46292</v>
      </c>
      <c r="F854" t="inlineStr">
        <is>
          <t>GÄVLEBORGS LÄN</t>
        </is>
      </c>
      <c r="G854" t="inlineStr">
        <is>
          <t>BOLLNÄS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46292</v>
      </c>
      <c r="F855" t="inlineStr">
        <is>
          <t>GÄVLEBORGS LÄN</t>
        </is>
      </c>
      <c r="G855" t="inlineStr">
        <is>
          <t>BOLLNÄS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46292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45979</v>
      </c>
      <c r="E857" s="1" t="n">
        <v>46292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19482-2026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46134</v>
      </c>
      <c r="E858" s="1" t="n">
        <v>46292</v>
      </c>
      <c r="F858" t="inlineStr">
        <is>
          <t>GÄVLEBORGS LÄN</t>
        </is>
      </c>
      <c r="G858" t="inlineStr">
        <is>
          <t>BOLLNÄS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46292</v>
      </c>
      <c r="F859" t="inlineStr">
        <is>
          <t>GÄVLEBORGS LÄN</t>
        </is>
      </c>
      <c r="G859" t="inlineStr">
        <is>
          <t>BOLLNÄS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46134</v>
      </c>
      <c r="E860" s="1" t="n">
        <v>46292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19521-2026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46292</v>
      </c>
      <c r="F861" t="inlineStr">
        <is>
          <t>GÄVLEBORGS LÄN</t>
        </is>
      </c>
      <c r="G861" t="inlineStr">
        <is>
          <t>BOLLNÄS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19534-2026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46292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19487-2026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46134</v>
      </c>
      <c r="E863" s="1" t="n">
        <v>46292</v>
      </c>
      <c r="F863" t="inlineStr">
        <is>
          <t>GÄVLEBORGS LÄN</t>
        </is>
      </c>
      <c r="G863" t="inlineStr">
        <is>
          <t>BOLLNÄS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46292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13167-2026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46292</v>
      </c>
      <c r="F865" t="inlineStr">
        <is>
          <t>GÄVLEBORGS LÄN</t>
        </is>
      </c>
      <c r="G865" t="inlineStr">
        <is>
          <t>BOLLNÄS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58121-2025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45982</v>
      </c>
      <c r="E866" s="1" t="n">
        <v>46292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57707-2025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45981</v>
      </c>
      <c r="E867" s="1" t="n">
        <v>46292</v>
      </c>
      <c r="F867" t="inlineStr">
        <is>
          <t>GÄVLEBORGS LÄN</t>
        </is>
      </c>
      <c r="G867" t="inlineStr">
        <is>
          <t>BOLLNÄS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46292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46292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46292</v>
      </c>
      <c r="F870" t="inlineStr">
        <is>
          <t>GÄVLEBORGS LÄN</t>
        </is>
      </c>
      <c r="G870" t="inlineStr">
        <is>
          <t>BOLLNÄS</t>
        </is>
      </c>
      <c r="I870" t="n">
        <v>10.4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19654-2026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46292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28523-2023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45103</v>
      </c>
      <c r="E872" s="1" t="n">
        <v>46292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19276-2026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46292</v>
      </c>
      <c r="F873" t="inlineStr">
        <is>
          <t>GÄVLEBORGS LÄN</t>
        </is>
      </c>
      <c r="G873" t="inlineStr">
        <is>
          <t>BOLLNÄS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19269-2026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46292</v>
      </c>
      <c r="F874" t="inlineStr">
        <is>
          <t>GÄVLEBORGS LÄN</t>
        </is>
      </c>
      <c r="G874" t="inlineStr">
        <is>
          <t>BOLLNÄS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19340-2026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46292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19413-2026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46292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45818</v>
      </c>
      <c r="E877" s="1" t="n">
        <v>46292</v>
      </c>
      <c r="F877" t="inlineStr">
        <is>
          <t>GÄVLEBORGS LÄN</t>
        </is>
      </c>
      <c r="G877" t="inlineStr">
        <is>
          <t>BOLLNÄS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46292</v>
      </c>
      <c r="F878" t="inlineStr">
        <is>
          <t>GÄVLEBORGS LÄN</t>
        </is>
      </c>
      <c r="G878" t="inlineStr">
        <is>
          <t>BOLLNÄS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57706-2025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45981</v>
      </c>
      <c r="E879" s="1" t="n">
        <v>46292</v>
      </c>
      <c r="F879" t="inlineStr">
        <is>
          <t>GÄVLEBORGS LÄN</t>
        </is>
      </c>
      <c r="G879" t="inlineStr">
        <is>
          <t>BOLLNÄS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19399-2026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46292</v>
      </c>
      <c r="F880" t="inlineStr">
        <is>
          <t>GÄVLEBORGS LÄN</t>
        </is>
      </c>
      <c r="G880" t="inlineStr">
        <is>
          <t>BOLLNÄS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46292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46292</v>
      </c>
      <c r="F882" t="inlineStr">
        <is>
          <t>GÄVLEBORGS LÄN</t>
        </is>
      </c>
      <c r="G882" t="inlineStr">
        <is>
          <t>BOLLNÄS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57995-2025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45982</v>
      </c>
      <c r="E883" s="1" t="n">
        <v>46292</v>
      </c>
      <c r="F883" t="inlineStr">
        <is>
          <t>GÄVLEBORGS LÄN</t>
        </is>
      </c>
      <c r="G883" t="inlineStr">
        <is>
          <t>BOLLNÄS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19700-2026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46292</v>
      </c>
      <c r="F884" t="inlineStr">
        <is>
          <t>GÄVLEBORGS LÄN</t>
        </is>
      </c>
      <c r="G884" t="inlineStr">
        <is>
          <t>BOLLNÄS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46292</v>
      </c>
      <c r="F885" t="inlineStr">
        <is>
          <t>GÄVLEBORGS LÄN</t>
        </is>
      </c>
      <c r="G885" t="inlineStr">
        <is>
          <t>BOLLNÄS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57708-2025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45981</v>
      </c>
      <c r="E886" s="1" t="n">
        <v>46292</v>
      </c>
      <c r="F886" t="inlineStr">
        <is>
          <t>GÄVLEBORGS LÄN</t>
        </is>
      </c>
      <c r="G886" t="inlineStr">
        <is>
          <t>BOLLNÄS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46292</v>
      </c>
      <c r="F887" t="inlineStr">
        <is>
          <t>GÄVLEBORGS LÄN</t>
        </is>
      </c>
      <c r="G887" t="inlineStr">
        <is>
          <t>BOLLNÄS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19323-2026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46292</v>
      </c>
      <c r="F888" t="inlineStr">
        <is>
          <t>GÄVLEBORGS LÄN</t>
        </is>
      </c>
      <c r="G888" t="inlineStr">
        <is>
          <t>BOLLNÄS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46292</v>
      </c>
      <c r="F889" t="inlineStr">
        <is>
          <t>GÄVLEBORGS LÄN</t>
        </is>
      </c>
      <c r="G889" t="inlineStr">
        <is>
          <t>BOLLNÄS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19403-2026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46292</v>
      </c>
      <c r="F890" t="inlineStr">
        <is>
          <t>GÄVLEBORGS LÄN</t>
        </is>
      </c>
      <c r="G890" t="inlineStr">
        <is>
          <t>BOLLNÄS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19404-2026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46292</v>
      </c>
      <c r="F891" t="inlineStr">
        <is>
          <t>GÄVLEBORGS LÄN</t>
        </is>
      </c>
      <c r="G891" t="inlineStr">
        <is>
          <t>BOLLNÄS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45982</v>
      </c>
      <c r="E892" s="1" t="n">
        <v>46292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58127-2025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45982</v>
      </c>
      <c r="E893" s="1" t="n">
        <v>46292</v>
      </c>
      <c r="F893" t="inlineStr">
        <is>
          <t>GÄVLEBORGS LÄN</t>
        </is>
      </c>
      <c r="G893" t="inlineStr">
        <is>
          <t>BOLLNÄS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46292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19303-2026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46292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19304-2026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46292</v>
      </c>
      <c r="F896" t="inlineStr">
        <is>
          <t>GÄVLEBORGS LÄN</t>
        </is>
      </c>
      <c r="G896" t="inlineStr">
        <is>
          <t>BOLLNÄS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14691-2026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46292</v>
      </c>
      <c r="F897" t="inlineStr">
        <is>
          <t>GÄVLEBORGS LÄN</t>
        </is>
      </c>
      <c r="G897" t="inlineStr">
        <is>
          <t>BOLLNÄS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46292</v>
      </c>
      <c r="F898" t="inlineStr">
        <is>
          <t>GÄVLEBORGS LÄN</t>
        </is>
      </c>
      <c r="G898" t="inlineStr">
        <is>
          <t>BOLLNÄS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12451-2023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44999</v>
      </c>
      <c r="E899" s="1" t="n">
        <v>46292</v>
      </c>
      <c r="F899" t="inlineStr">
        <is>
          <t>GÄVLEBORGS LÄN</t>
        </is>
      </c>
      <c r="G899" t="inlineStr">
        <is>
          <t>BOLLNÄS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46292</v>
      </c>
      <c r="F900" t="inlineStr">
        <is>
          <t>GÄVLEBORGS LÄN</t>
        </is>
      </c>
      <c r="G900" t="inlineStr">
        <is>
          <t>BOLLNÄS</t>
        </is>
      </c>
      <c r="I900" t="n">
        <v>6.5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20042-2026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46292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46292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16564-2026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46292</v>
      </c>
      <c r="F903" t="inlineStr">
        <is>
          <t>GÄVLEBORGS LÄN</t>
        </is>
      </c>
      <c r="G903" t="inlineStr">
        <is>
          <t>BOLLNÄS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58697-2025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45986</v>
      </c>
      <c r="E904" s="1" t="n">
        <v>46292</v>
      </c>
      <c r="F904" t="inlineStr">
        <is>
          <t>GÄVLEBORGS LÄN</t>
        </is>
      </c>
      <c r="G904" t="inlineStr">
        <is>
          <t>BOLLNÄS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7129-2025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45702</v>
      </c>
      <c r="E905" s="1" t="n">
        <v>46292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44177-2022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44839</v>
      </c>
      <c r="E906" s="1" t="n">
        <v>46292</v>
      </c>
      <c r="F906" t="inlineStr">
        <is>
          <t>GÄVLEBORGS LÄN</t>
        </is>
      </c>
      <c r="G906" t="inlineStr">
        <is>
          <t>BOLLNÄS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57781-2024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46292</v>
      </c>
      <c r="F907" t="inlineStr">
        <is>
          <t>GÄVLEBORGS LÄN</t>
        </is>
      </c>
      <c r="G907" t="inlineStr">
        <is>
          <t>BOLLNÄS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19921-2026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46136</v>
      </c>
      <c r="E908" s="1" t="n">
        <v>46292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öst AB</t>
        </is>
      </c>
      <c r="I908" t="n">
        <v>7.4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20026-2026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46136</v>
      </c>
      <c r="E909" s="1" t="n">
        <v>46292</v>
      </c>
      <c r="F909" t="inlineStr">
        <is>
          <t>GÄVLEBORGS LÄN</t>
        </is>
      </c>
      <c r="G909" t="inlineStr">
        <is>
          <t>BOLLNÄS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20030-2026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46292</v>
      </c>
      <c r="F910" t="inlineStr">
        <is>
          <t>GÄVLEBORGS LÄN</t>
        </is>
      </c>
      <c r="G910" t="inlineStr">
        <is>
          <t>BOLLNÄS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2802-2025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45677</v>
      </c>
      <c r="E911" s="1" t="n">
        <v>46292</v>
      </c>
      <c r="F911" t="inlineStr">
        <is>
          <t>GÄVLEBORGS LÄN</t>
        </is>
      </c>
      <c r="G911" t="inlineStr">
        <is>
          <t>BOLLNÄS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58808-2025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45987</v>
      </c>
      <c r="E912" s="1" t="n">
        <v>46292</v>
      </c>
      <c r="F912" t="inlineStr">
        <is>
          <t>GÄVLEBORGS LÄN</t>
        </is>
      </c>
      <c r="G912" t="inlineStr">
        <is>
          <t>BOLLNÄS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58819-2025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45987</v>
      </c>
      <c r="E913" s="1" t="n">
        <v>46292</v>
      </c>
      <c r="F913" t="inlineStr">
        <is>
          <t>GÄVLEBORGS LÄN</t>
        </is>
      </c>
      <c r="G913" t="inlineStr">
        <is>
          <t>BOLLNÄS</t>
        </is>
      </c>
      <c r="I913" t="n">
        <v>8.699999999999999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46292</v>
      </c>
      <c r="F914" t="inlineStr">
        <is>
          <t>GÄVLEBORGS LÄN</t>
        </is>
      </c>
      <c r="G914" t="inlineStr">
        <is>
          <t>BOLLNÄS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16122-2026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46292</v>
      </c>
      <c r="F915" t="inlineStr">
        <is>
          <t>GÄVLEBORGS LÄN</t>
        </is>
      </c>
      <c r="G915" t="inlineStr">
        <is>
          <t>BOLLNÄS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19745-2026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46135</v>
      </c>
      <c r="E916" s="1" t="n">
        <v>46292</v>
      </c>
      <c r="F916" t="inlineStr">
        <is>
          <t>GÄVLEBORGS LÄN</t>
        </is>
      </c>
      <c r="G916" t="inlineStr">
        <is>
          <t>BOLLNÄS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19750-2026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46292</v>
      </c>
      <c r="F917" t="inlineStr">
        <is>
          <t>GÄVLEBORGS LÄN</t>
        </is>
      </c>
      <c r="G917" t="inlineStr">
        <is>
          <t>BOLLNÄS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46292</v>
      </c>
      <c r="F918" t="inlineStr">
        <is>
          <t>GÄVLEBORGS LÄN</t>
        </is>
      </c>
      <c r="G918" t="inlineStr">
        <is>
          <t>BOLLNÄS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10772-2026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46078</v>
      </c>
      <c r="E919" s="1" t="n">
        <v>46292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46292</v>
      </c>
      <c r="F920" t="inlineStr">
        <is>
          <t>GÄVLEBORGS LÄN</t>
        </is>
      </c>
      <c r="G920" t="inlineStr">
        <is>
          <t>BOLLNÄS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46292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16944-2026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46113</v>
      </c>
      <c r="E922" s="1" t="n">
        <v>46292</v>
      </c>
      <c r="F922" t="inlineStr">
        <is>
          <t>GÄVLEBORGS LÄN</t>
        </is>
      </c>
      <c r="G922" t="inlineStr">
        <is>
          <t>BOLLNÄS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59427-2025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45989</v>
      </c>
      <c r="E923" s="1" t="n">
        <v>46292</v>
      </c>
      <c r="F923" t="inlineStr">
        <is>
          <t>GÄVLEBORGS LÄN</t>
        </is>
      </c>
      <c r="G923" t="inlineStr">
        <is>
          <t>BOLLNÄS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16462-2026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46292</v>
      </c>
      <c r="F924" t="inlineStr">
        <is>
          <t>GÄVLEBORGS LÄN</t>
        </is>
      </c>
      <c r="G924" t="inlineStr">
        <is>
          <t>BOLLNÄS</t>
        </is>
      </c>
      <c r="I924" t="n">
        <v>11.8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59844-2025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45992</v>
      </c>
      <c r="E925" s="1" t="n">
        <v>46292</v>
      </c>
      <c r="F925" t="inlineStr">
        <is>
          <t>GÄVLEBORGS LÄN</t>
        </is>
      </c>
      <c r="G925" t="inlineStr">
        <is>
          <t>BOLLNÄS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46292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59441-2025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46292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18438-2024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45425</v>
      </c>
      <c r="E928" s="1" t="n">
        <v>46292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59362-2025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45989</v>
      </c>
      <c r="E929" s="1" t="n">
        <v>46292</v>
      </c>
      <c r="F929" t="inlineStr">
        <is>
          <t>GÄVLEBORGS LÄN</t>
        </is>
      </c>
      <c r="G929" t="inlineStr">
        <is>
          <t>BOLLNÄS</t>
        </is>
      </c>
      <c r="H929" t="inlineStr">
        <is>
          <t>Sveaskog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19746-2026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46292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19748-2026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46135</v>
      </c>
      <c r="E931" s="1" t="n">
        <v>46292</v>
      </c>
      <c r="F931" t="inlineStr">
        <is>
          <t>GÄVLEBORGS LÄN</t>
        </is>
      </c>
      <c r="G931" t="inlineStr">
        <is>
          <t>BOLLNÄS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8800-2026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46066</v>
      </c>
      <c r="E932" s="1" t="n">
        <v>46292</v>
      </c>
      <c r="F932" t="inlineStr">
        <is>
          <t>GÄVLEBORGS LÄN</t>
        </is>
      </c>
      <c r="G932" t="inlineStr">
        <is>
          <t>BOLLNÄS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46292</v>
      </c>
      <c r="F933" t="inlineStr">
        <is>
          <t>GÄVLEBORGS LÄN</t>
        </is>
      </c>
      <c r="G933" t="inlineStr">
        <is>
          <t>BOLLNÄS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19841-2026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46292</v>
      </c>
      <c r="F934" t="inlineStr">
        <is>
          <t>GÄVLEBORGS LÄN</t>
        </is>
      </c>
      <c r="G934" t="inlineStr">
        <is>
          <t>BOLLNÄS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51681-2024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45607</v>
      </c>
      <c r="E935" s="1" t="n">
        <v>46292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19862-2026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46135</v>
      </c>
      <c r="E936" s="1" t="n">
        <v>46292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6782-2026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46292</v>
      </c>
      <c r="F937" t="inlineStr">
        <is>
          <t>GÄVLEBORGS LÄN</t>
        </is>
      </c>
      <c r="G937" t="inlineStr">
        <is>
          <t>BOLLNÄS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11989-2026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46085</v>
      </c>
      <c r="E938" s="1" t="n">
        <v>46292</v>
      </c>
      <c r="F938" t="inlineStr">
        <is>
          <t>GÄVLEBORGS LÄN</t>
        </is>
      </c>
      <c r="G938" t="inlineStr">
        <is>
          <t>BOLLNÄS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19747-2026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46135</v>
      </c>
      <c r="E939" s="1" t="n">
        <v>46292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4737-2026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46292</v>
      </c>
      <c r="F940" t="inlineStr">
        <is>
          <t>GÄVLEBORGS LÄN</t>
        </is>
      </c>
      <c r="G940" t="inlineStr">
        <is>
          <t>BOLLNÄS</t>
        </is>
      </c>
      <c r="I940" t="n">
        <v>18.3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7339-2026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46292</v>
      </c>
      <c r="F941" t="inlineStr">
        <is>
          <t>GÄVLEBORGS LÄN</t>
        </is>
      </c>
      <c r="G941" t="inlineStr">
        <is>
          <t>BOLLNÄS</t>
        </is>
      </c>
      <c r="I941" t="n">
        <v>12.1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58100-2025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45982</v>
      </c>
      <c r="E942" s="1" t="n">
        <v>46292</v>
      </c>
      <c r="F942" t="inlineStr">
        <is>
          <t>GÄVLEBORGS LÄN</t>
        </is>
      </c>
      <c r="G942" t="inlineStr">
        <is>
          <t>BOLLNÄS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46036</v>
      </c>
      <c r="E943" s="1" t="n">
        <v>46292</v>
      </c>
      <c r="F943" t="inlineStr">
        <is>
          <t>GÄVLEBORGS LÄN</t>
        </is>
      </c>
      <c r="G943" t="inlineStr">
        <is>
          <t>BOLLNÄS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46055</v>
      </c>
      <c r="E944" s="1" t="n">
        <v>46292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14623-2023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45013</v>
      </c>
      <c r="E945" s="1" t="n">
        <v>46292</v>
      </c>
      <c r="F945" t="inlineStr">
        <is>
          <t>GÄVLEBORGS LÄN</t>
        </is>
      </c>
      <c r="G945" t="inlineStr">
        <is>
          <t>BOLLNÄS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46292</v>
      </c>
      <c r="F946" t="inlineStr">
        <is>
          <t>GÄVLEBORGS LÄN</t>
        </is>
      </c>
      <c r="G946" t="inlineStr">
        <is>
          <t>BOLLNÄS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13465-2025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45736</v>
      </c>
      <c r="E947" s="1" t="n">
        <v>46292</v>
      </c>
      <c r="F947" t="inlineStr">
        <is>
          <t>GÄVLEBORGS LÄN</t>
        </is>
      </c>
      <c r="G947" t="inlineStr">
        <is>
          <t>BOLLNÄS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46061</v>
      </c>
      <c r="E948" s="1" t="n">
        <v>46292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46292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46292</v>
      </c>
      <c r="F950" t="inlineStr">
        <is>
          <t>GÄVLEBORGS LÄN</t>
        </is>
      </c>
      <c r="G950" t="inlineStr">
        <is>
          <t>BOLLNÄS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46292</v>
      </c>
      <c r="F951" t="inlineStr">
        <is>
          <t>GÄVLEBORGS LÄN</t>
        </is>
      </c>
      <c r="G951" t="inlineStr">
        <is>
          <t>BOLLNÄS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20180-2026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46292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20486-2026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46140</v>
      </c>
      <c r="E953" s="1" t="n">
        <v>46292</v>
      </c>
      <c r="F953" t="inlineStr">
        <is>
          <t>GÄVLEBORGS LÄN</t>
        </is>
      </c>
      <c r="G953" t="inlineStr">
        <is>
          <t>BOLLNÄS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9697-2025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45716</v>
      </c>
      <c r="E954" s="1" t="n">
        <v>46292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46292</v>
      </c>
      <c r="F955" t="inlineStr">
        <is>
          <t>GÄVLEBORGS LÄN</t>
        </is>
      </c>
      <c r="G955" t="inlineStr">
        <is>
          <t>BOLLNÄS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60759-2024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45644</v>
      </c>
      <c r="E956" s="1" t="n">
        <v>46292</v>
      </c>
      <c r="F956" t="inlineStr">
        <is>
          <t>GÄVLEBORGS LÄN</t>
        </is>
      </c>
      <c r="G956" t="inlineStr">
        <is>
          <t>BOLLNÄS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46069</v>
      </c>
      <c r="E957" s="1" t="n">
        <v>46292</v>
      </c>
      <c r="F957" t="inlineStr">
        <is>
          <t>GÄVLEBORGS LÄN</t>
        </is>
      </c>
      <c r="G957" t="inlineStr">
        <is>
          <t>BOLLNÄS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15514-2026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46106</v>
      </c>
      <c r="E958" s="1" t="n">
        <v>46292</v>
      </c>
      <c r="F958" t="inlineStr">
        <is>
          <t>GÄVLEBORGS LÄN</t>
        </is>
      </c>
      <c r="G958" t="inlineStr">
        <is>
          <t>BOLLNÄS</t>
        </is>
      </c>
      <c r="I958" t="n">
        <v>7.5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11519-2026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46083</v>
      </c>
      <c r="E959" s="1" t="n">
        <v>46292</v>
      </c>
      <c r="F959" t="inlineStr">
        <is>
          <t>GÄVLEBORGS LÄN</t>
        </is>
      </c>
      <c r="G959" t="inlineStr">
        <is>
          <t>BOLLNÄS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60707-2025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45996</v>
      </c>
      <c r="E960" s="1" t="n">
        <v>46292</v>
      </c>
      <c r="F960" t="inlineStr">
        <is>
          <t>GÄVLEBORGS LÄN</t>
        </is>
      </c>
      <c r="G960" t="inlineStr">
        <is>
          <t>BOLLNÄS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30152-2022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44757</v>
      </c>
      <c r="E961" s="1" t="n">
        <v>46292</v>
      </c>
      <c r="F961" t="inlineStr">
        <is>
          <t>GÄVLEBORGS LÄN</t>
        </is>
      </c>
      <c r="G961" t="inlineStr">
        <is>
          <t>BOLLNÄS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46071</v>
      </c>
      <c r="E962" s="1" t="n">
        <v>46292</v>
      </c>
      <c r="F962" t="inlineStr">
        <is>
          <t>GÄVLEBORGS LÄN</t>
        </is>
      </c>
      <c r="G962" t="inlineStr">
        <is>
          <t>BOLLNÄS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34887-2022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44796</v>
      </c>
      <c r="E963" s="1" t="n">
        <v>46292</v>
      </c>
      <c r="F963" t="inlineStr">
        <is>
          <t>GÄVLEBORGS LÄN</t>
        </is>
      </c>
      <c r="G963" t="inlineStr">
        <is>
          <t>BOLLNÄS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60573-2025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45996</v>
      </c>
      <c r="E964" s="1" t="n">
        <v>46292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46292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46292</v>
      </c>
      <c r="F966" t="inlineStr">
        <is>
          <t>GÄVLEBORGS LÄN</t>
        </is>
      </c>
      <c r="G966" t="inlineStr">
        <is>
          <t>BOLLNÄS</t>
        </is>
      </c>
      <c r="I966" t="n">
        <v>34.4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46292</v>
      </c>
      <c r="F967" t="inlineStr">
        <is>
          <t>GÄVLEBORGS LÄN</t>
        </is>
      </c>
      <c r="G967" t="inlineStr">
        <is>
          <t>BOLLNÄS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8560-2026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46065</v>
      </c>
      <c r="E968" s="1" t="n">
        <v>46292</v>
      </c>
      <c r="F968" t="inlineStr">
        <is>
          <t>GÄVLEBORGS LÄN</t>
        </is>
      </c>
      <c r="G968" t="inlineStr">
        <is>
          <t>BOLLNÄS</t>
        </is>
      </c>
      <c r="I968" t="n">
        <v>8.4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46292</v>
      </c>
      <c r="F969" t="inlineStr">
        <is>
          <t>GÄVLEBORGS LÄN</t>
        </is>
      </c>
      <c r="G969" t="inlineStr">
        <is>
          <t>BOLLNÄS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9495-2026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46071</v>
      </c>
      <c r="E970" s="1" t="n">
        <v>46292</v>
      </c>
      <c r="F970" t="inlineStr">
        <is>
          <t>GÄVLEBORGS LÄN</t>
        </is>
      </c>
      <c r="G970" t="inlineStr">
        <is>
          <t>BOLLNÄS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8902-2026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46068</v>
      </c>
      <c r="E971" s="1" t="n">
        <v>46292</v>
      </c>
      <c r="F971" t="inlineStr">
        <is>
          <t>GÄVLEBORGS LÄN</t>
        </is>
      </c>
      <c r="G971" t="inlineStr">
        <is>
          <t>BOLLNÄS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10413-2026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46077</v>
      </c>
      <c r="E972" s="1" t="n">
        <v>46292</v>
      </c>
      <c r="F972" t="inlineStr">
        <is>
          <t>GÄVLEBORGS LÄN</t>
        </is>
      </c>
      <c r="G972" t="inlineStr">
        <is>
          <t>BOLLNÄS</t>
        </is>
      </c>
      <c r="I972" t="n">
        <v>11.6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14632-2026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46101</v>
      </c>
      <c r="E973" s="1" t="n">
        <v>46292</v>
      </c>
      <c r="F973" t="inlineStr">
        <is>
          <t>GÄVLEBORGS LÄN</t>
        </is>
      </c>
      <c r="G973" t="inlineStr">
        <is>
          <t>BOLLNÄS</t>
        </is>
      </c>
      <c r="H973" t="inlineStr">
        <is>
          <t>Kyrkan</t>
        </is>
      </c>
      <c r="I973" t="n">
        <v>8.1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46292</v>
      </c>
      <c r="F974" t="inlineStr">
        <is>
          <t>GÄVLEBORGS LÄN</t>
        </is>
      </c>
      <c r="G974" t="inlineStr">
        <is>
          <t>BOLLNÄS</t>
        </is>
      </c>
      <c r="I974" t="n">
        <v>37.3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12595-2026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46292</v>
      </c>
      <c r="F975" t="inlineStr">
        <is>
          <t>GÄVLEBORGS LÄN</t>
        </is>
      </c>
      <c r="G975" t="inlineStr">
        <is>
          <t>BOLLNÄS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60779-2025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45999</v>
      </c>
      <c r="E976" s="1" t="n">
        <v>46292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61043-2025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46000</v>
      </c>
      <c r="E977" s="1" t="n">
        <v>46292</v>
      </c>
      <c r="F977" t="inlineStr">
        <is>
          <t>GÄVLEBORGS LÄN</t>
        </is>
      </c>
      <c r="G977" t="inlineStr">
        <is>
          <t>BOLLNÄS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60757-2025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45999</v>
      </c>
      <c r="E978" s="1" t="n">
        <v>46292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60810-2025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46292</v>
      </c>
      <c r="F979" t="inlineStr">
        <is>
          <t>GÄVLEBORGS LÄN</t>
        </is>
      </c>
      <c r="G979" t="inlineStr">
        <is>
          <t>BOLLNÄS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28795-2024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45478</v>
      </c>
      <c r="E980" s="1" t="n">
        <v>46292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8008-2026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46063</v>
      </c>
      <c r="E981" s="1" t="n">
        <v>46292</v>
      </c>
      <c r="F981" t="inlineStr">
        <is>
          <t>GÄVLEBORGS LÄN</t>
        </is>
      </c>
      <c r="G981" t="inlineStr">
        <is>
          <t>BOLLNÄS</t>
        </is>
      </c>
      <c r="I981" t="n">
        <v>14.6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49931-2023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45215</v>
      </c>
      <c r="E982" s="1" t="n">
        <v>46292</v>
      </c>
      <c r="F982" t="inlineStr">
        <is>
          <t>GÄVLEBORGS LÄN</t>
        </is>
      </c>
      <c r="G982" t="inlineStr">
        <is>
          <t>BOLLNÄS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15858-2026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46107</v>
      </c>
      <c r="E983" s="1" t="n">
        <v>46292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20154-2026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46138</v>
      </c>
      <c r="E984" s="1" t="n">
        <v>46292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46292</v>
      </c>
      <c r="F985" t="inlineStr">
        <is>
          <t>GÄVLEBORGS LÄN</t>
        </is>
      </c>
      <c r="G985" t="inlineStr">
        <is>
          <t>BOLLNÄS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61568-2025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46002</v>
      </c>
      <c r="E986" s="1" t="n">
        <v>46292</v>
      </c>
      <c r="F986" t="inlineStr">
        <is>
          <t>GÄVLEBORGS LÄN</t>
        </is>
      </c>
      <c r="G986" t="inlineStr">
        <is>
          <t>BOLLNÄS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28179-2023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46292</v>
      </c>
      <c r="F987" t="inlineStr">
        <is>
          <t>GÄVLEBORGS LÄN</t>
        </is>
      </c>
      <c r="G987" t="inlineStr">
        <is>
          <t>BOLLNÄS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46292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10204-2026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46292</v>
      </c>
      <c r="F989" t="inlineStr">
        <is>
          <t>GÄVLEBORGS LÄN</t>
        </is>
      </c>
      <c r="G989" t="inlineStr">
        <is>
          <t>BOLLNÄS</t>
        </is>
      </c>
      <c r="I989" t="n">
        <v>7.1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26531-2023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45092</v>
      </c>
      <c r="E990" s="1" t="n">
        <v>46292</v>
      </c>
      <c r="F990" t="inlineStr">
        <is>
          <t>GÄVLEBORGS LÄN</t>
        </is>
      </c>
      <c r="G990" t="inlineStr">
        <is>
          <t>BOLLNÄS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7841-2026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46292</v>
      </c>
      <c r="F991" t="inlineStr">
        <is>
          <t>GÄVLEBORGS LÄN</t>
        </is>
      </c>
      <c r="G991" t="inlineStr">
        <is>
          <t>BOLLNÄS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20485-2026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46140</v>
      </c>
      <c r="E992" s="1" t="n">
        <v>46292</v>
      </c>
      <c r="F992" t="inlineStr">
        <is>
          <t>GÄVLEBORGS LÄN</t>
        </is>
      </c>
      <c r="G992" t="inlineStr">
        <is>
          <t>BOLLNÄS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40653-2023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45169</v>
      </c>
      <c r="E993" s="1" t="n">
        <v>46292</v>
      </c>
      <c r="F993" t="inlineStr">
        <is>
          <t>GÄVLEBORGS LÄN</t>
        </is>
      </c>
      <c r="G993" t="inlineStr">
        <is>
          <t>BOLLNÄS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61689-2025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46002</v>
      </c>
      <c r="E994" s="1" t="n">
        <v>46292</v>
      </c>
      <c r="F994" t="inlineStr">
        <is>
          <t>GÄVLEBORGS LÄN</t>
        </is>
      </c>
      <c r="G994" t="inlineStr">
        <is>
          <t>BOLLNÄS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46099</v>
      </c>
      <c r="E995" s="1" t="n">
        <v>46292</v>
      </c>
      <c r="F995" t="inlineStr">
        <is>
          <t>GÄVLEBORGS LÄN</t>
        </is>
      </c>
      <c r="G995" t="inlineStr">
        <is>
          <t>BOLLNÄS</t>
        </is>
      </c>
      <c r="I995" t="n">
        <v>5.3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46140</v>
      </c>
      <c r="E996" s="1" t="n">
        <v>46292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20548-2026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46140</v>
      </c>
      <c r="E997" s="1" t="n">
        <v>46292</v>
      </c>
      <c r="F997" t="inlineStr">
        <is>
          <t>GÄVLEBORGS LÄN</t>
        </is>
      </c>
      <c r="G997" t="inlineStr">
        <is>
          <t>BOLLNÄS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20252-2026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46292</v>
      </c>
      <c r="F998" t="inlineStr">
        <is>
          <t>GÄVLEBORGS LÄN</t>
        </is>
      </c>
      <c r="G998" t="inlineStr">
        <is>
          <t>BOLLNÄS</t>
        </is>
      </c>
      <c r="I998" t="n">
        <v>6.4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46292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46292</v>
      </c>
      <c r="F1000" t="inlineStr">
        <is>
          <t>GÄVLEBORGS LÄN</t>
        </is>
      </c>
      <c r="G1000" t="inlineStr">
        <is>
          <t>BOLLNÄS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20287-2026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46292</v>
      </c>
      <c r="F1001" t="inlineStr">
        <is>
          <t>GÄVLEBORGS LÄN</t>
        </is>
      </c>
      <c r="G1001" t="inlineStr">
        <is>
          <t>BOLLNÄS</t>
        </is>
      </c>
      <c r="I1001" t="n">
        <v>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20609-2026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46140</v>
      </c>
      <c r="E1002" s="1" t="n">
        <v>46292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46292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Sveaskog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10198-2026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46076</v>
      </c>
      <c r="E1004" s="1" t="n">
        <v>46292</v>
      </c>
      <c r="F1004" t="inlineStr">
        <is>
          <t>GÄVLEBORGS LÄN</t>
        </is>
      </c>
      <c r="G1004" t="inlineStr">
        <is>
          <t>BOLLNÄS</t>
        </is>
      </c>
      <c r="I1004" t="n">
        <v>15.9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61686-2025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46002</v>
      </c>
      <c r="E1005" s="1" t="n">
        <v>46292</v>
      </c>
      <c r="F1005" t="inlineStr">
        <is>
          <t>GÄVLEBORGS LÄN</t>
        </is>
      </c>
      <c r="G1005" t="inlineStr">
        <is>
          <t>BOLLNÄS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46292</v>
      </c>
      <c r="F1006" t="inlineStr">
        <is>
          <t>GÄVLEBORGS LÄN</t>
        </is>
      </c>
      <c r="G1006" t="inlineStr">
        <is>
          <t>BOLLNÄS</t>
        </is>
      </c>
      <c r="I1006" t="n">
        <v>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61835-2025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46003</v>
      </c>
      <c r="E1007" s="1" t="n">
        <v>46292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25632-2022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44732</v>
      </c>
      <c r="E1008" s="1" t="n">
        <v>46292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20483-2026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46140</v>
      </c>
      <c r="E1009" s="1" t="n">
        <v>46292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62272-2025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46006</v>
      </c>
      <c r="E1010" s="1" t="n">
        <v>46292</v>
      </c>
      <c r="F1010" t="inlineStr">
        <is>
          <t>GÄVLEBORGS LÄN</t>
        </is>
      </c>
      <c r="G1010" t="inlineStr">
        <is>
          <t>BOLLNÄS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23930-2025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45795</v>
      </c>
      <c r="E1011" s="1" t="n">
        <v>46292</v>
      </c>
      <c r="F1011" t="inlineStr">
        <is>
          <t>GÄVLEBORGS LÄN</t>
        </is>
      </c>
      <c r="G1011" t="inlineStr">
        <is>
          <t>BOLLNÄS</t>
        </is>
      </c>
      <c r="I1011" t="n">
        <v>7.9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36594-2023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45153</v>
      </c>
      <c r="E1012" s="1" t="n">
        <v>46292</v>
      </c>
      <c r="F1012" t="inlineStr">
        <is>
          <t>GÄVLEBORGS LÄN</t>
        </is>
      </c>
      <c r="G1012" t="inlineStr">
        <is>
          <t>BOLLNÄS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20413-2026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46140</v>
      </c>
      <c r="E1013" s="1" t="n">
        <v>46292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20219-2026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46292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20257-2026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46292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20283-2026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46139</v>
      </c>
      <c r="E1016" s="1" t="n">
        <v>46292</v>
      </c>
      <c r="F1016" t="inlineStr">
        <is>
          <t>GÄVLEBORGS LÄN</t>
        </is>
      </c>
      <c r="G1016" t="inlineStr">
        <is>
          <t>BOLLNÄS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14030-2025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45740</v>
      </c>
      <c r="E1017" s="1" t="n">
        <v>46292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46041</v>
      </c>
      <c r="E1018" s="1" t="n">
        <v>46292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24551-2024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45460</v>
      </c>
      <c r="E1019" s="1" t="n">
        <v>46292</v>
      </c>
      <c r="F1019" t="inlineStr">
        <is>
          <t>GÄVLEBORGS LÄN</t>
        </is>
      </c>
      <c r="G1019" t="inlineStr">
        <is>
          <t>BOLLNÄS</t>
        </is>
      </c>
      <c r="I1019" t="n">
        <v>6.8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24742-2024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45460</v>
      </c>
      <c r="E1020" s="1" t="n">
        <v>46292</v>
      </c>
      <c r="F1020" t="inlineStr">
        <is>
          <t>GÄVLEBORGS LÄN</t>
        </is>
      </c>
      <c r="G1020" t="inlineStr">
        <is>
          <t>BOLLNÄS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46082</v>
      </c>
      <c r="E1021" s="1" t="n">
        <v>46292</v>
      </c>
      <c r="F1021" t="inlineStr">
        <is>
          <t>GÄVLEBORGS LÄN</t>
        </is>
      </c>
      <c r="G1021" t="inlineStr">
        <is>
          <t>BOLLNÄS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46292</v>
      </c>
      <c r="F1022" t="inlineStr">
        <is>
          <t>GÄVLEBORGS LÄN</t>
        </is>
      </c>
      <c r="G1022" t="inlineStr">
        <is>
          <t>BOLLNÄS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9667-2026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46072</v>
      </c>
      <c r="E1023" s="1" t="n">
        <v>46292</v>
      </c>
      <c r="F1023" t="inlineStr">
        <is>
          <t>GÄVLEBORGS LÄN</t>
        </is>
      </c>
      <c r="G1023" t="inlineStr">
        <is>
          <t>BOLLNÄS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62355-2025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46007</v>
      </c>
      <c r="E1024" s="1" t="n">
        <v>46292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10043-2026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46073</v>
      </c>
      <c r="E1025" s="1" t="n">
        <v>46292</v>
      </c>
      <c r="F1025" t="inlineStr">
        <is>
          <t>GÄVLEBORGS LÄN</t>
        </is>
      </c>
      <c r="G1025" t="inlineStr">
        <is>
          <t>BOLLNÄS</t>
        </is>
      </c>
      <c r="I1025" t="n">
        <v>12.2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8580-2026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46065</v>
      </c>
      <c r="E1026" s="1" t="n">
        <v>46292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59331-2022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44904</v>
      </c>
      <c r="E1027" s="1" t="n">
        <v>46292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62656-2025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46008</v>
      </c>
      <c r="E1028" s="1" t="n">
        <v>46292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28446-2025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45819</v>
      </c>
      <c r="E1029" s="1" t="n">
        <v>46292</v>
      </c>
      <c r="F1029" t="inlineStr">
        <is>
          <t>GÄVLEBORGS LÄN</t>
        </is>
      </c>
      <c r="G1029" t="inlineStr">
        <is>
          <t>BOLLNÄS</t>
        </is>
      </c>
      <c r="I1029" t="n">
        <v>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29219-2024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45482</v>
      </c>
      <c r="E1030" s="1" t="n">
        <v>46292</v>
      </c>
      <c r="F1030" t="inlineStr">
        <is>
          <t>GÄVLEBORGS LÄN</t>
        </is>
      </c>
      <c r="G1030" t="inlineStr">
        <is>
          <t>BOLLNÄS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51797-2023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45222</v>
      </c>
      <c r="E1031" s="1" t="n">
        <v>46292</v>
      </c>
      <c r="F1031" t="inlineStr">
        <is>
          <t>GÄVLEBORGS LÄN</t>
        </is>
      </c>
      <c r="G1031" t="inlineStr">
        <is>
          <t>BOLLNÄS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14913-2025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45743</v>
      </c>
      <c r="E1032" s="1" t="n">
        <v>46292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9.199999999999999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46292</v>
      </c>
      <c r="F1033" t="inlineStr">
        <is>
          <t>GÄVLEBORGS LÄN</t>
        </is>
      </c>
      <c r="G1033" t="inlineStr">
        <is>
          <t>BOLLNÄS</t>
        </is>
      </c>
      <c r="I1033" t="n">
        <v>24.2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7878-2026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46292</v>
      </c>
      <c r="F1034" t="inlineStr">
        <is>
          <t>GÄVLEBORGS LÄN</t>
        </is>
      </c>
      <c r="G1034" t="inlineStr">
        <is>
          <t>BOLLNÄS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63272-2025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46010</v>
      </c>
      <c r="E1035" s="1" t="n">
        <v>46292</v>
      </c>
      <c r="F1035" t="inlineStr">
        <is>
          <t>GÄVLEBORGS LÄN</t>
        </is>
      </c>
      <c r="G1035" t="inlineStr">
        <is>
          <t>BOLLNÄS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28462-2025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45819</v>
      </c>
      <c r="E1036" s="1" t="n">
        <v>46292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13238-2026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46093</v>
      </c>
      <c r="E1037" s="1" t="n">
        <v>46292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46038</v>
      </c>
      <c r="E1038" s="1" t="n">
        <v>46292</v>
      </c>
      <c r="F1038" t="inlineStr">
        <is>
          <t>GÄVLEBORGS LÄN</t>
        </is>
      </c>
      <c r="G1038" t="inlineStr">
        <is>
          <t>BOLLNÄS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63312-2025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46292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46030</v>
      </c>
      <c r="E1040" s="1" t="n">
        <v>46292</v>
      </c>
      <c r="F1040" t="inlineStr">
        <is>
          <t>GÄVLEBORGS LÄN</t>
        </is>
      </c>
      <c r="G1040" t="inlineStr">
        <is>
          <t>BOLLNÄS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46030</v>
      </c>
      <c r="E1041" s="1" t="n">
        <v>46292</v>
      </c>
      <c r="F1041" t="inlineStr">
        <is>
          <t>GÄVLEBORGS LÄN</t>
        </is>
      </c>
      <c r="G1041" t="inlineStr">
        <is>
          <t>BOLLNÄS</t>
        </is>
      </c>
      <c r="I1041" t="n">
        <v>32.1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63936-2025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46020</v>
      </c>
      <c r="E1042" s="1" t="n">
        <v>46292</v>
      </c>
      <c r="F1042" t="inlineStr">
        <is>
          <t>GÄVLEBORGS LÄN</t>
        </is>
      </c>
      <c r="G1042" t="inlineStr">
        <is>
          <t>BOLLNÄS</t>
        </is>
      </c>
      <c r="I1042" t="n">
        <v>48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46027</v>
      </c>
      <c r="E1043" s="1" t="n">
        <v>46292</v>
      </c>
      <c r="F1043" t="inlineStr">
        <is>
          <t>GÄVLEBORGS LÄN</t>
        </is>
      </c>
      <c r="G1043" t="inlineStr">
        <is>
          <t>BOLLNÄS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46044</v>
      </c>
      <c r="E1044" s="1" t="n">
        <v>46292</v>
      </c>
      <c r="F1044" t="inlineStr">
        <is>
          <t>GÄVLEBORGS LÄN</t>
        </is>
      </c>
      <c r="G1044" t="inlineStr">
        <is>
          <t>BOLLNÄS</t>
        </is>
      </c>
      <c r="I1044" t="n">
        <v>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63200-2025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46010</v>
      </c>
      <c r="E1045" s="1" t="n">
        <v>46292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63877-2025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46020</v>
      </c>
      <c r="E1046" s="1" t="n">
        <v>46292</v>
      </c>
      <c r="F1046" t="inlineStr">
        <is>
          <t>GÄVLEBORGS LÄN</t>
        </is>
      </c>
      <c r="G1046" t="inlineStr">
        <is>
          <t>BOLLNÄS</t>
        </is>
      </c>
      <c r="I1046" t="n">
        <v>8.800000000000001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3322-2026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46292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20361-2026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46292</v>
      </c>
      <c r="F1048" t="inlineStr">
        <is>
          <t>GÄVLEBORGS LÄN</t>
        </is>
      </c>
      <c r="G1048" t="inlineStr">
        <is>
          <t>BOLLNÄS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45660</v>
      </c>
      <c r="E1049" s="1" t="n">
        <v>46292</v>
      </c>
      <c r="F1049" t="inlineStr">
        <is>
          <t>GÄVLEBORGS LÄN</t>
        </is>
      </c>
      <c r="G1049" t="inlineStr">
        <is>
          <t>BOLLNÄS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63326-2025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46010</v>
      </c>
      <c r="E1050" s="1" t="n">
        <v>46292</v>
      </c>
      <c r="F1050" t="inlineStr">
        <is>
          <t>GÄVLEBORGS LÄN</t>
        </is>
      </c>
      <c r="G1050" t="inlineStr">
        <is>
          <t>BOLLNÄS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6251-2026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46292</v>
      </c>
      <c r="F1051" t="inlineStr">
        <is>
          <t>GÄVLEBORGS LÄN</t>
        </is>
      </c>
      <c r="G1051" t="inlineStr">
        <is>
          <t>BOLLNÄS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46048</v>
      </c>
      <c r="E1052" s="1" t="n">
        <v>46292</v>
      </c>
      <c r="F1052" t="inlineStr">
        <is>
          <t>GÄVLEBORGS LÄN</t>
        </is>
      </c>
      <c r="G1052" t="inlineStr">
        <is>
          <t>BOLLNÄS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8906-2026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46069</v>
      </c>
      <c r="E1053" s="1" t="n">
        <v>46292</v>
      </c>
      <c r="F1053" t="inlineStr">
        <is>
          <t>GÄVLEBORGS LÄN</t>
        </is>
      </c>
      <c r="G1053" t="inlineStr">
        <is>
          <t>BOLLNÄS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13878-2026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46098</v>
      </c>
      <c r="E1054" s="1" t="n">
        <v>46292</v>
      </c>
      <c r="F1054" t="inlineStr">
        <is>
          <t>GÄVLEBORGS LÄN</t>
        </is>
      </c>
      <c r="G1054" t="inlineStr">
        <is>
          <t>BOLLNÄS</t>
        </is>
      </c>
      <c r="I1054" t="n">
        <v>8.699999999999999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2910-2026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46038</v>
      </c>
      <c r="E1055" s="1" t="n">
        <v>46292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63270-2025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46010</v>
      </c>
      <c r="E1056" s="1" t="n">
        <v>46292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20222-2026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46292</v>
      </c>
      <c r="F1057" t="inlineStr">
        <is>
          <t>GÄVLEBORGS LÄN</t>
        </is>
      </c>
      <c r="G1057" t="inlineStr">
        <is>
          <t>BOLLNÄS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63286-2025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46010</v>
      </c>
      <c r="E1058" s="1" t="n">
        <v>46292</v>
      </c>
      <c r="F1058" t="inlineStr">
        <is>
          <t>GÄVLEBORGS LÄN</t>
        </is>
      </c>
      <c r="G1058" t="inlineStr">
        <is>
          <t>BOLLNÄS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63214-2025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46010</v>
      </c>
      <c r="E1059" s="1" t="n">
        <v>46292</v>
      </c>
      <c r="F1059" t="inlineStr">
        <is>
          <t>GÄVLEBORGS LÄN</t>
        </is>
      </c>
      <c r="G1059" t="inlineStr">
        <is>
          <t>BOLLNÄS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4291-2026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46045</v>
      </c>
      <c r="E1060" s="1" t="n">
        <v>46292</v>
      </c>
      <c r="F1060" t="inlineStr">
        <is>
          <t>GÄVLEBORGS LÄN</t>
        </is>
      </c>
      <c r="G1060" t="inlineStr">
        <is>
          <t>BOLLNÄS</t>
        </is>
      </c>
      <c r="I1060" t="n">
        <v>14.4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4300-2026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46292</v>
      </c>
      <c r="F1061" t="inlineStr">
        <is>
          <t>GÄVLEBORGS LÄN</t>
        </is>
      </c>
      <c r="G1061" t="inlineStr">
        <is>
          <t>BOLLNÄS</t>
        </is>
      </c>
      <c r="I1061" t="n">
        <v>8.699999999999999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63027-2025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46009</v>
      </c>
      <c r="E1062" s="1" t="n">
        <v>46292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61612-2025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46002</v>
      </c>
      <c r="E1063" s="1" t="n">
        <v>46292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46292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46031</v>
      </c>
      <c r="E1065" s="1" t="n">
        <v>46292</v>
      </c>
      <c r="F1065" t="inlineStr">
        <is>
          <t>GÄVLEBORGS LÄN</t>
        </is>
      </c>
      <c r="G1065" t="inlineStr">
        <is>
          <t>BOLLNÄS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46051</v>
      </c>
      <c r="E1066" s="1" t="n">
        <v>46292</v>
      </c>
      <c r="F1066" t="inlineStr">
        <is>
          <t>GÄVLEBORGS LÄN</t>
        </is>
      </c>
      <c r="G1066" t="inlineStr">
        <is>
          <t>BOLLNÄS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64109-2025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46013</v>
      </c>
      <c r="E1067" s="1" t="n">
        <v>46292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12243-2026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46087</v>
      </c>
      <c r="E1068" s="1" t="n">
        <v>46292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28618-2025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45819</v>
      </c>
      <c r="E1069" s="1" t="n">
        <v>46292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11.7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12342-2026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46087</v>
      </c>
      <c r="E1070" s="1" t="n">
        <v>46292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Kyrkan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13041-2026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46093</v>
      </c>
      <c r="E1071" s="1" t="n">
        <v>46292</v>
      </c>
      <c r="F1071" t="inlineStr">
        <is>
          <t>GÄVLEBORGS LÄN</t>
        </is>
      </c>
      <c r="G1071" t="inlineStr">
        <is>
          <t>BOLLNÄS</t>
        </is>
      </c>
      <c r="I1071" t="n">
        <v>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28477-2025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45819</v>
      </c>
      <c r="E1072" s="1" t="n">
        <v>46292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40453-2024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46292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46292</v>
      </c>
      <c r="F1074" t="inlineStr">
        <is>
          <t>GÄVLEBORGS LÄN</t>
        </is>
      </c>
      <c r="G1074" t="inlineStr">
        <is>
          <t>BOLLNÄS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46292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22.7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2935-2023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44944</v>
      </c>
      <c r="E1076" s="1" t="n">
        <v>46292</v>
      </c>
      <c r="F1076" t="inlineStr">
        <is>
          <t>GÄVLEBORGS LÄN</t>
        </is>
      </c>
      <c r="G1076" t="inlineStr">
        <is>
          <t>BOLLNÄS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1800-2026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46035</v>
      </c>
      <c r="E1077" s="1" t="n">
        <v>46292</v>
      </c>
      <c r="F1077" t="inlineStr">
        <is>
          <t>GÄVLEBORGS LÄN</t>
        </is>
      </c>
      <c r="G1077" t="inlineStr">
        <is>
          <t>BOLLNÄS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20447-2026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46140</v>
      </c>
      <c r="E1078" s="1" t="n">
        <v>46292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46030</v>
      </c>
      <c r="E1079" s="1" t="n">
        <v>46292</v>
      </c>
      <c r="F1079" t="inlineStr">
        <is>
          <t>GÄVLEBORGS LÄN</t>
        </is>
      </c>
      <c r="G1079" t="inlineStr">
        <is>
          <t>BOLLNÄS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46292</v>
      </c>
      <c r="F1080" t="inlineStr">
        <is>
          <t>GÄVLEBORGS LÄN</t>
        </is>
      </c>
      <c r="G1080" t="inlineStr">
        <is>
          <t>BOLLNÄS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6430-2026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46055</v>
      </c>
      <c r="E1081" s="1" t="n">
        <v>46292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Kyrkan</t>
        </is>
      </c>
      <c r="I1081" t="n">
        <v>8.6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46292</v>
      </c>
      <c r="F1082" t="inlineStr">
        <is>
          <t>GÄVLEBORGS LÄN</t>
        </is>
      </c>
      <c r="G1082" t="inlineStr">
        <is>
          <t>BOLLNÄS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46057</v>
      </c>
      <c r="E1083" s="1" t="n">
        <v>46292</v>
      </c>
      <c r="F1083" t="inlineStr">
        <is>
          <t>GÄVLEBORGS LÄN</t>
        </is>
      </c>
      <c r="G1083" t="inlineStr">
        <is>
          <t>BOLLNÄS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6850-2026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46057</v>
      </c>
      <c r="E1084" s="1" t="n">
        <v>46292</v>
      </c>
      <c r="F1084" t="inlineStr">
        <is>
          <t>GÄVLEBORGS LÄN</t>
        </is>
      </c>
      <c r="G1084" t="inlineStr">
        <is>
          <t>BOLLNÄS</t>
        </is>
      </c>
      <c r="I1084" t="n">
        <v>3.8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20268-2026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46292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Kyrkan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6479-2026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46292</v>
      </c>
      <c r="F1086" t="inlineStr">
        <is>
          <t>GÄVLEBORGS LÄN</t>
        </is>
      </c>
      <c r="G1086" t="inlineStr">
        <is>
          <t>BOLLNÄS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20189-2026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46292</v>
      </c>
      <c r="F1087" t="inlineStr">
        <is>
          <t>GÄVLEBORGS LÄN</t>
        </is>
      </c>
      <c r="G1087" t="inlineStr">
        <is>
          <t>BOLLNÄS</t>
        </is>
      </c>
      <c r="I1087" t="n">
        <v>11.7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46292</v>
      </c>
      <c r="F1088" t="inlineStr">
        <is>
          <t>GÄVLEBORGS LÄN</t>
        </is>
      </c>
      <c r="G1088" t="inlineStr">
        <is>
          <t>BOLLNÄS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10727-2026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46078</v>
      </c>
      <c r="E1089" s="1" t="n">
        <v>46292</v>
      </c>
      <c r="F1089" t="inlineStr">
        <is>
          <t>GÄVLEBORGS LÄN</t>
        </is>
      </c>
      <c r="G1089" t="inlineStr">
        <is>
          <t>BOLLNÄS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20271-2026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46139</v>
      </c>
      <c r="E1090" s="1" t="n">
        <v>46292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Kyrkan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46042</v>
      </c>
      <c r="E1091" s="1" t="n">
        <v>46292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8938-2026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46069</v>
      </c>
      <c r="E1092" s="1" t="n">
        <v>46292</v>
      </c>
      <c r="F1092" t="inlineStr">
        <is>
          <t>GÄVLEBORGS LÄN</t>
        </is>
      </c>
      <c r="G1092" t="inlineStr">
        <is>
          <t>BOLLNÄS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46079</v>
      </c>
      <c r="E1093" s="1" t="n">
        <v>46292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11656-2026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46084</v>
      </c>
      <c r="E1094" s="1" t="n">
        <v>46292</v>
      </c>
      <c r="F1094" t="inlineStr">
        <is>
          <t>GÄVLEBORGS LÄN</t>
        </is>
      </c>
      <c r="G1094" t="inlineStr">
        <is>
          <t>BOLLNÄS</t>
        </is>
      </c>
      <c r="I1094" t="n">
        <v>7.1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37983-2025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45881</v>
      </c>
      <c r="E1095" s="1" t="n">
        <v>46292</v>
      </c>
      <c r="F1095" t="inlineStr">
        <is>
          <t>GÄVLEBORGS LÄN</t>
        </is>
      </c>
      <c r="G1095" t="inlineStr">
        <is>
          <t>BOLLNÄS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8528-2026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46065</v>
      </c>
      <c r="E1096" s="1" t="n">
        <v>46292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46292</v>
      </c>
      <c r="F1097" t="inlineStr">
        <is>
          <t>GÄVLEBORGS LÄN</t>
        </is>
      </c>
      <c r="G1097" t="inlineStr">
        <is>
          <t>BOLLNÄS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9801-2026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46072</v>
      </c>
      <c r="E1098" s="1" t="n">
        <v>46292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Sveaskog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9873-2026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46073</v>
      </c>
      <c r="E1099" s="1" t="n">
        <v>46292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20611-2026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46140</v>
      </c>
      <c r="E1100" s="1" t="n">
        <v>46292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11139-2026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46079</v>
      </c>
      <c r="E1101" s="1" t="n">
        <v>46292</v>
      </c>
      <c r="F1101" t="inlineStr">
        <is>
          <t>GÄVLEBORGS LÄN</t>
        </is>
      </c>
      <c r="G1101" t="inlineStr">
        <is>
          <t>BOLLNÄS</t>
        </is>
      </c>
      <c r="I1101" t="n">
        <v>3.9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7144-2026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46292</v>
      </c>
      <c r="F1102" t="inlineStr">
        <is>
          <t>GÄVLEBORGS LÄN</t>
        </is>
      </c>
      <c r="G1102" t="inlineStr">
        <is>
          <t>BOLLNÄS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15147-2023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45016</v>
      </c>
      <c r="E1103" s="1" t="n">
        <v>46292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46292</v>
      </c>
      <c r="F1104" t="inlineStr">
        <is>
          <t>GÄVLEBORGS LÄN</t>
        </is>
      </c>
      <c r="G1104" t="inlineStr">
        <is>
          <t>BOLLNÄS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20177-2026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46139</v>
      </c>
      <c r="E1105" s="1" t="n">
        <v>46292</v>
      </c>
      <c r="F1105" t="inlineStr">
        <is>
          <t>GÄVLEBORGS LÄN</t>
        </is>
      </c>
      <c r="G1105" t="inlineStr">
        <is>
          <t>BOLLNÄS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4828-2026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46292</v>
      </c>
      <c r="F1106" t="inlineStr">
        <is>
          <t>GÄVLEBORGS LÄN</t>
        </is>
      </c>
      <c r="G1106" t="inlineStr">
        <is>
          <t>BOLLNÄS</t>
        </is>
      </c>
      <c r="I1106" t="n">
        <v>5.3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20153-2026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46138</v>
      </c>
      <c r="E1107" s="1" t="n">
        <v>46292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3105-2026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46041</v>
      </c>
      <c r="E1108" s="1" t="n">
        <v>46292</v>
      </c>
      <c r="F1108" t="inlineStr">
        <is>
          <t>GÄVLEBORGS LÄN</t>
        </is>
      </c>
      <c r="G1108" t="inlineStr">
        <is>
          <t>BOLLNÄS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45639-2023</t>
        </is>
      </c>
      <c r="B1109" t="inlineStr">
        <is>
          <t>avverkningsanmälan</t>
        </is>
      </c>
      <c r="C1109" t="inlineStr">
        <is>
          <t>Avverkning för att bevara och utveckla /försöksver</t>
        </is>
      </c>
      <c r="D1109" s="1" t="n">
        <v>45194</v>
      </c>
      <c r="E1109" s="1" t="n">
        <v>46292</v>
      </c>
      <c r="F1109" t="inlineStr">
        <is>
          <t>GÄVLEBORGS LÄN</t>
        </is>
      </c>
      <c r="G1109" t="inlineStr">
        <is>
          <t>BOLLNÄS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33086-2022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44785</v>
      </c>
      <c r="E1110" s="1" t="n">
        <v>46292</v>
      </c>
      <c r="F1110" t="inlineStr">
        <is>
          <t>GÄVLEBORGS LÄN</t>
        </is>
      </c>
      <c r="G1110" t="inlineStr">
        <is>
          <t>BOLLNÄS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46038</v>
      </c>
      <c r="E1111" s="1" t="n">
        <v>46292</v>
      </c>
      <c r="F1111" t="inlineStr">
        <is>
          <t>GÄVLEBORGS LÄN</t>
        </is>
      </c>
      <c r="G1111" t="inlineStr">
        <is>
          <t>BOLLNÄS</t>
        </is>
      </c>
      <c r="I1111" t="n">
        <v>8.6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46292</v>
      </c>
      <c r="F1112" t="inlineStr">
        <is>
          <t>GÄVLEBORGS LÄN</t>
        </is>
      </c>
      <c r="G1112" t="inlineStr">
        <is>
          <t>BOLLNÄS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15826-2026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46107</v>
      </c>
      <c r="E1113" s="1" t="n">
        <v>46292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46064</v>
      </c>
      <c r="E1114" s="1" t="n">
        <v>46292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10225-2026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46076</v>
      </c>
      <c r="E1115" s="1" t="n">
        <v>46292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15374-2026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46292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Kyrkan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15519-2026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46292</v>
      </c>
      <c r="F1117" t="inlineStr">
        <is>
          <t>GÄVLEBORGS LÄN</t>
        </is>
      </c>
      <c r="G1117" t="inlineStr">
        <is>
          <t>BOLLNÄS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2643-2026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46037</v>
      </c>
      <c r="E1118" s="1" t="n">
        <v>46292</v>
      </c>
      <c r="F1118" t="inlineStr">
        <is>
          <t>GÄVLEBORGS LÄN</t>
        </is>
      </c>
      <c r="G1118" t="inlineStr">
        <is>
          <t>BOLLNÄS</t>
        </is>
      </c>
      <c r="I1118" t="n">
        <v>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46292</v>
      </c>
      <c r="F1119" t="inlineStr">
        <is>
          <t>GÄVLEBORGS LÄN</t>
        </is>
      </c>
      <c r="G1119" t="inlineStr">
        <is>
          <t>BOLLNÄS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20028-2026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46292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8148-2026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46292</v>
      </c>
      <c r="F1121" t="inlineStr">
        <is>
          <t>GÄVLEBORGS LÄN</t>
        </is>
      </c>
      <c r="G1121" t="inlineStr">
        <is>
          <t>BOLLNÄS</t>
        </is>
      </c>
      <c r="I1121" t="n">
        <v>23.9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20227-2026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46139</v>
      </c>
      <c r="E1122" s="1" t="n">
        <v>46292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öst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46292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13807-2026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46098</v>
      </c>
      <c r="E1124" s="1" t="n">
        <v>46292</v>
      </c>
      <c r="F1124" t="inlineStr">
        <is>
          <t>GÄVLEBORGS LÄN</t>
        </is>
      </c>
      <c r="G1124" t="inlineStr">
        <is>
          <t>BOLLNÄS</t>
        </is>
      </c>
      <c r="I1124" t="n">
        <v>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6330-2026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46292</v>
      </c>
      <c r="F1125" t="inlineStr">
        <is>
          <t>GÄVLEBORGS LÄN</t>
        </is>
      </c>
      <c r="G1125" t="inlineStr">
        <is>
          <t>BOLLNÄS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46292</v>
      </c>
      <c r="F1126" t="inlineStr">
        <is>
          <t>GÄVLEBORGS LÄN</t>
        </is>
      </c>
      <c r="G1126" t="inlineStr">
        <is>
          <t>BOLLNÄS</t>
        </is>
      </c>
      <c r="I1126" t="n">
        <v>5.5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20176-2026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46292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Kyrkan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20186-2026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46292</v>
      </c>
      <c r="F1128" t="inlineStr">
        <is>
          <t>GÄVLEBORGS LÄN</t>
        </is>
      </c>
      <c r="G1128" t="inlineStr">
        <is>
          <t>BOLLNÄS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14870-2026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46104</v>
      </c>
      <c r="E1129" s="1" t="n">
        <v>46292</v>
      </c>
      <c r="F1129" t="inlineStr">
        <is>
          <t>GÄVLEBORGS LÄN</t>
        </is>
      </c>
      <c r="G1129" t="inlineStr">
        <is>
          <t>BOLLNÄS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46292</v>
      </c>
      <c r="F1130" t="inlineStr">
        <is>
          <t>GÄVLEBORGS LÄN</t>
        </is>
      </c>
      <c r="G1130" t="inlineStr">
        <is>
          <t>BOLLNÄS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14783-2026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46101</v>
      </c>
      <c r="E1131" s="1" t="n">
        <v>46292</v>
      </c>
      <c r="F1131" t="inlineStr">
        <is>
          <t>GÄVLEBORGS LÄN</t>
        </is>
      </c>
      <c r="G1131" t="inlineStr">
        <is>
          <t>BOLLNÄS</t>
        </is>
      </c>
      <c r="I1131" t="n">
        <v>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20422-2026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46140</v>
      </c>
      <c r="E1132" s="1" t="n">
        <v>46292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20426-2026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46140</v>
      </c>
      <c r="E1133" s="1" t="n">
        <v>46292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46043</v>
      </c>
      <c r="E1134" s="1" t="n">
        <v>46292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8204-2026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46064</v>
      </c>
      <c r="E1135" s="1" t="n">
        <v>46292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8594-2026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46292</v>
      </c>
      <c r="F1136" t="inlineStr">
        <is>
          <t>GÄVLEBORGS LÄN</t>
        </is>
      </c>
      <c r="G1136" t="inlineStr">
        <is>
          <t>BOLLNÄS</t>
        </is>
      </c>
      <c r="I1136" t="n">
        <v>17.2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4295-2026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46292</v>
      </c>
      <c r="F1137" t="inlineStr">
        <is>
          <t>GÄVLEBORGS LÄN</t>
        </is>
      </c>
      <c r="G1137" t="inlineStr">
        <is>
          <t>BOLLNÄS</t>
        </is>
      </c>
      <c r="I1137" t="n">
        <v>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13808-2026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46098</v>
      </c>
      <c r="E1138" s="1" t="n">
        <v>46292</v>
      </c>
      <c r="F1138" t="inlineStr">
        <is>
          <t>GÄVLEBORGS LÄN</t>
        </is>
      </c>
      <c r="G1138" t="inlineStr">
        <is>
          <t>BOLLNÄS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11164-2026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46080</v>
      </c>
      <c r="E1139" s="1" t="n">
        <v>46292</v>
      </c>
      <c r="F1139" t="inlineStr">
        <is>
          <t>GÄVLEBORGS LÄN</t>
        </is>
      </c>
      <c r="G1139" t="inlineStr">
        <is>
          <t>BOLLNÄS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20247-2026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46292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5.3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20308-2026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46139</v>
      </c>
      <c r="E1141" s="1" t="n">
        <v>46292</v>
      </c>
      <c r="F1141" t="inlineStr">
        <is>
          <t>GÄVLEBORGS LÄN</t>
        </is>
      </c>
      <c r="G1141" t="inlineStr">
        <is>
          <t>BOLLNÄS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46042</v>
      </c>
      <c r="E1142" s="1" t="n">
        <v>46292</v>
      </c>
      <c r="F1142" t="inlineStr">
        <is>
          <t>GÄVLEBORGS LÄN</t>
        </is>
      </c>
      <c r="G1142" t="inlineStr">
        <is>
          <t>BOLLNÄS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13914-2026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46292</v>
      </c>
      <c r="F1143" t="inlineStr">
        <is>
          <t>GÄVLEBORGS LÄN</t>
        </is>
      </c>
      <c r="G1143" t="inlineStr">
        <is>
          <t>BOLLNÄS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20531-2026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46292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46292</v>
      </c>
      <c r="F1145" t="inlineStr">
        <is>
          <t>GÄVLEBORGS LÄN</t>
        </is>
      </c>
      <c r="G1145" t="inlineStr">
        <is>
          <t>BOLLNÄS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19623-2026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46292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7408-2026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46059</v>
      </c>
      <c r="E1147" s="1" t="n">
        <v>46292</v>
      </c>
      <c r="F1147" t="inlineStr">
        <is>
          <t>GÄVLEBORGS LÄN</t>
        </is>
      </c>
      <c r="G1147" t="inlineStr">
        <is>
          <t>BOLLNÄS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20192-2026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46292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46292</v>
      </c>
      <c r="F1149" t="inlineStr">
        <is>
          <t>GÄVLEBORGS LÄN</t>
        </is>
      </c>
      <c r="G1149" t="inlineStr">
        <is>
          <t>BOLLNÄS</t>
        </is>
      </c>
      <c r="I1149" t="n">
        <v>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15163-2026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46105</v>
      </c>
      <c r="E1150" s="1" t="n">
        <v>46292</v>
      </c>
      <c r="F1150" t="inlineStr">
        <is>
          <t>GÄVLEBORGS LÄN</t>
        </is>
      </c>
      <c r="G1150" t="inlineStr">
        <is>
          <t>BOLLNÄS</t>
        </is>
      </c>
      <c r="I1150" t="n">
        <v>10.4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20767-2026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46292</v>
      </c>
      <c r="F1151" t="inlineStr">
        <is>
          <t>GÄVLEBORGS LÄN</t>
        </is>
      </c>
      <c r="G1151" t="inlineStr">
        <is>
          <t>BOLLNÄS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20770-2026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46141</v>
      </c>
      <c r="E1152" s="1" t="n">
        <v>46292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9719-2026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46072</v>
      </c>
      <c r="E1153" s="1" t="n">
        <v>46292</v>
      </c>
      <c r="F1153" t="inlineStr">
        <is>
          <t>GÄVLEBORGS LÄN</t>
        </is>
      </c>
      <c r="G1153" t="inlineStr">
        <is>
          <t>BOLLNÄS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46029</v>
      </c>
      <c r="E1154" s="1" t="n">
        <v>46292</v>
      </c>
      <c r="F1154" t="inlineStr">
        <is>
          <t>GÄVLEBORGS LÄN</t>
        </is>
      </c>
      <c r="G1154" t="inlineStr">
        <is>
          <t>BOLLNÄS</t>
        </is>
      </c>
      <c r="I1154" t="n">
        <v>12.9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46292</v>
      </c>
      <c r="F1155" t="inlineStr">
        <is>
          <t>GÄVLEBORGS LÄN</t>
        </is>
      </c>
      <c r="G1155" t="inlineStr">
        <is>
          <t>BOLLNÄS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12372-2026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46292</v>
      </c>
      <c r="F1156" t="inlineStr">
        <is>
          <t>GÄVLEBORGS LÄN</t>
        </is>
      </c>
      <c r="G1156" t="inlineStr">
        <is>
          <t>BOLLNÄS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20678-2026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46292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4.7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11545-2026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46084</v>
      </c>
      <c r="E1158" s="1" t="n">
        <v>46292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5551-2026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46050</v>
      </c>
      <c r="E1159" s="1" t="n">
        <v>46292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58431-2021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44488</v>
      </c>
      <c r="E1160" s="1" t="n">
        <v>46292</v>
      </c>
      <c r="F1160" t="inlineStr">
        <is>
          <t>GÄVLEBORGS LÄN</t>
        </is>
      </c>
      <c r="G1160" t="inlineStr">
        <is>
          <t>BOLLNÄS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13862-2026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46098</v>
      </c>
      <c r="E1161" s="1" t="n">
        <v>46292</v>
      </c>
      <c r="F1161" t="inlineStr">
        <is>
          <t>GÄVLEBORGS LÄN</t>
        </is>
      </c>
      <c r="G1161" t="inlineStr">
        <is>
          <t>BOLLNÄS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11293-2026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46292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12659-2026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46091</v>
      </c>
      <c r="E1163" s="1" t="n">
        <v>46292</v>
      </c>
      <c r="F1163" t="inlineStr">
        <is>
          <t>GÄVLEBORGS LÄN</t>
        </is>
      </c>
      <c r="G1163" t="inlineStr">
        <is>
          <t>BOLLNÄS</t>
        </is>
      </c>
      <c r="I1163" t="n">
        <v>8.699999999999999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2276-2026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46036</v>
      </c>
      <c r="E1164" s="1" t="n">
        <v>46292</v>
      </c>
      <c r="F1164" t="inlineStr">
        <is>
          <t>GÄVLEBORGS LÄN</t>
        </is>
      </c>
      <c r="G1164" t="inlineStr">
        <is>
          <t>BOLLNÄS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12643-2026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46091</v>
      </c>
      <c r="E1165" s="1" t="n">
        <v>46292</v>
      </c>
      <c r="F1165" t="inlineStr">
        <is>
          <t>GÄVLEBORGS LÄN</t>
        </is>
      </c>
      <c r="G1165" t="inlineStr">
        <is>
          <t>BOLLNÄS</t>
        </is>
      </c>
      <c r="I1165" t="n">
        <v>13.9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13150-2026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46093</v>
      </c>
      <c r="E1166" s="1" t="n">
        <v>46292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Sveaskog</t>
        </is>
      </c>
      <c r="I1166" t="n">
        <v>7.1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29575-2025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45825</v>
      </c>
      <c r="E1167" s="1" t="n">
        <v>46292</v>
      </c>
      <c r="F1167" t="inlineStr">
        <is>
          <t>GÄVLEBORGS LÄN</t>
        </is>
      </c>
      <c r="G1167" t="inlineStr">
        <is>
          <t>BOLLNÄS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20865-2026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46142</v>
      </c>
      <c r="E1168" s="1" t="n">
        <v>46292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20878-2026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46142</v>
      </c>
      <c r="E1169" s="1" t="n">
        <v>46292</v>
      </c>
      <c r="F1169" t="inlineStr">
        <is>
          <t>GÄVLEBORGS LÄN</t>
        </is>
      </c>
      <c r="G1169" t="inlineStr">
        <is>
          <t>BOLLNÄS</t>
        </is>
      </c>
      <c r="I1169" t="n">
        <v>4.3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30455-2025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45827</v>
      </c>
      <c r="E1170" s="1" t="n">
        <v>46292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12014-2026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46085</v>
      </c>
      <c r="E1171" s="1" t="n">
        <v>46292</v>
      </c>
      <c r="F1171" t="inlineStr">
        <is>
          <t>GÄVLEBORGS LÄN</t>
        </is>
      </c>
      <c r="G1171" t="inlineStr">
        <is>
          <t>BOLLNÄS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20869-2026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46142</v>
      </c>
      <c r="E1172" s="1" t="n">
        <v>46292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20872-2026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46142</v>
      </c>
      <c r="E1173" s="1" t="n">
        <v>46292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20766-2026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46141</v>
      </c>
      <c r="E1174" s="1" t="n">
        <v>46292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46066</v>
      </c>
      <c r="E1175" s="1" t="n">
        <v>46292</v>
      </c>
      <c r="F1175" t="inlineStr">
        <is>
          <t>GÄVLEBORGS LÄN</t>
        </is>
      </c>
      <c r="G1175" t="inlineStr">
        <is>
          <t>BOLLNÄS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10394-2026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46292</v>
      </c>
      <c r="F1176" t="inlineStr">
        <is>
          <t>GÄVLEBORGS LÄN</t>
        </is>
      </c>
      <c r="G1176" t="inlineStr">
        <is>
          <t>BOLLNÄS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30292-2025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45827</v>
      </c>
      <c r="E1177" s="1" t="n">
        <v>46292</v>
      </c>
      <c r="F1177" t="inlineStr">
        <is>
          <t>GÄVLEBORGS LÄN</t>
        </is>
      </c>
      <c r="G1177" t="inlineStr">
        <is>
          <t>BOLLNÄS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13296-2026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46094</v>
      </c>
      <c r="E1178" s="1" t="n">
        <v>46292</v>
      </c>
      <c r="F1178" t="inlineStr">
        <is>
          <t>GÄVLEBORGS LÄN</t>
        </is>
      </c>
      <c r="G1178" t="inlineStr">
        <is>
          <t>BOLLNÄS</t>
        </is>
      </c>
      <c r="I1178" t="n">
        <v>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46036</v>
      </c>
      <c r="E1179" s="1" t="n">
        <v>46292</v>
      </c>
      <c r="F1179" t="inlineStr">
        <is>
          <t>GÄVLEBORGS LÄN</t>
        </is>
      </c>
      <c r="G1179" t="inlineStr">
        <is>
          <t>BOLLNÄS</t>
        </is>
      </c>
      <c r="I1179" t="n">
        <v>13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6476-2026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46292</v>
      </c>
      <c r="F1180" t="inlineStr">
        <is>
          <t>GÄVLEBORGS LÄN</t>
        </is>
      </c>
      <c r="G1180" t="inlineStr">
        <is>
          <t>BOLLNÄS</t>
        </is>
      </c>
      <c r="I1180" t="n">
        <v>5.3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6491-2026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46292</v>
      </c>
      <c r="F1181" t="inlineStr">
        <is>
          <t>GÄVLEBORGS LÄN</t>
        </is>
      </c>
      <c r="G1181" t="inlineStr">
        <is>
          <t>BOLLNÄS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20038-2026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46292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öst AB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19392-2026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46292</v>
      </c>
      <c r="F1183" t="inlineStr">
        <is>
          <t>GÄVLEBORGS LÄN</t>
        </is>
      </c>
      <c r="G1183" t="inlineStr">
        <is>
          <t>BOLLNÄS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4986-2026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46049</v>
      </c>
      <c r="E1184" s="1" t="n">
        <v>46292</v>
      </c>
      <c r="F1184" t="inlineStr">
        <is>
          <t>GÄVLEBORGS LÄN</t>
        </is>
      </c>
      <c r="G1184" t="inlineStr">
        <is>
          <t>BOLLNÄS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5072-2026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46292</v>
      </c>
      <c r="F1185" t="inlineStr">
        <is>
          <t>GÄVLEBORGS LÄN</t>
        </is>
      </c>
      <c r="G1185" t="inlineStr">
        <is>
          <t>BOLLNÄS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5869-2026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46292</v>
      </c>
      <c r="F1186" t="inlineStr">
        <is>
          <t>GÄVLEBORGS LÄN</t>
        </is>
      </c>
      <c r="G1186" t="inlineStr">
        <is>
          <t>BOLLNÄS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46043</v>
      </c>
      <c r="E1187" s="1" t="n">
        <v>46292</v>
      </c>
      <c r="F1187" t="inlineStr">
        <is>
          <t>GÄVLEBORGS LÄN</t>
        </is>
      </c>
      <c r="G1187" t="inlineStr">
        <is>
          <t>BOLLNÄS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56453-2023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45243</v>
      </c>
      <c r="E1188" s="1" t="n">
        <v>46292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4500-2026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46045</v>
      </c>
      <c r="E1189" s="1" t="n">
        <v>46292</v>
      </c>
      <c r="F1189" t="inlineStr">
        <is>
          <t>GÄVLEBORGS LÄN</t>
        </is>
      </c>
      <c r="G1189" t="inlineStr">
        <is>
          <t>BOLLNÄS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46292</v>
      </c>
      <c r="F1190" t="inlineStr">
        <is>
          <t>GÄVLEBORGS LÄN</t>
        </is>
      </c>
      <c r="G1190" t="inlineStr">
        <is>
          <t>BOLLNÄS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9254-2026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46070</v>
      </c>
      <c r="E1191" s="1" t="n">
        <v>46292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46024</v>
      </c>
      <c r="E1192" s="1" t="n">
        <v>46292</v>
      </c>
      <c r="F1192" t="inlineStr">
        <is>
          <t>GÄVLEBORGS LÄN</t>
        </is>
      </c>
      <c r="G1192" t="inlineStr">
        <is>
          <t>BOLLNÄS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10824-2026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46078</v>
      </c>
      <c r="E1193" s="1" t="n">
        <v>46292</v>
      </c>
      <c r="F1193" t="inlineStr">
        <is>
          <t>GÄVLEBORGS LÄN</t>
        </is>
      </c>
      <c r="G1193" t="inlineStr">
        <is>
          <t>BOLLNÄS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20679-2026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46141</v>
      </c>
      <c r="E1194" s="1" t="n">
        <v>46292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4.7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46027</v>
      </c>
      <c r="E1195" s="1" t="n">
        <v>46292</v>
      </c>
      <c r="F1195" t="inlineStr">
        <is>
          <t>GÄVLEBORGS LÄN</t>
        </is>
      </c>
      <c r="G1195" t="inlineStr">
        <is>
          <t>BOLLNÄS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46292</v>
      </c>
      <c r="F1196" t="inlineStr">
        <is>
          <t>GÄVLEBORGS LÄN</t>
        </is>
      </c>
      <c r="G1196" t="inlineStr">
        <is>
          <t>BOLLNÄS</t>
        </is>
      </c>
      <c r="I1196" t="n">
        <v>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14371-2026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46100</v>
      </c>
      <c r="E1197" s="1" t="n">
        <v>46292</v>
      </c>
      <c r="F1197" t="inlineStr">
        <is>
          <t>GÄVLEBORGS LÄN</t>
        </is>
      </c>
      <c r="G1197" t="inlineStr">
        <is>
          <t>BOLLNÄS</t>
        </is>
      </c>
      <c r="I1197" t="n">
        <v>22.8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30456-2025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45827</v>
      </c>
      <c r="E1198" s="1" t="n">
        <v>46292</v>
      </c>
      <c r="F1198" t="inlineStr">
        <is>
          <t>GÄVLEBORGS LÄN</t>
        </is>
      </c>
      <c r="G1198" t="inlineStr">
        <is>
          <t>BOLLNÄS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6405-2026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46055</v>
      </c>
      <c r="E1199" s="1" t="n">
        <v>46292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9.699999999999999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15654-2025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45748</v>
      </c>
      <c r="E1200" s="1" t="n">
        <v>46292</v>
      </c>
      <c r="F1200" t="inlineStr">
        <is>
          <t>GÄVLEBORGS LÄN</t>
        </is>
      </c>
      <c r="G1200" t="inlineStr">
        <is>
          <t>BOLLNÄS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46076</v>
      </c>
      <c r="E1201" s="1" t="n">
        <v>46292</v>
      </c>
      <c r="F1201" t="inlineStr">
        <is>
          <t>GÄVLEBORGS LÄN</t>
        </is>
      </c>
      <c r="G1201" t="inlineStr">
        <is>
          <t>BOLLNÄS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15355-2025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45747</v>
      </c>
      <c r="E1202" s="1" t="n">
        <v>46292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30458-2025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45827</v>
      </c>
      <c r="E1203" s="1" t="n">
        <v>46292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9755-2026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46072</v>
      </c>
      <c r="E1204" s="1" t="n">
        <v>46292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9731-2026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46072</v>
      </c>
      <c r="E1205" s="1" t="n">
        <v>46292</v>
      </c>
      <c r="F1205" t="inlineStr">
        <is>
          <t>GÄVLEBORGS LÄN</t>
        </is>
      </c>
      <c r="G1205" t="inlineStr">
        <is>
          <t>BOLLNÄS</t>
        </is>
      </c>
      <c r="I1205" t="n">
        <v>13.7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46292</v>
      </c>
      <c r="F1206" t="inlineStr">
        <is>
          <t>GÄVLEBORGS LÄN</t>
        </is>
      </c>
      <c r="G1206" t="inlineStr">
        <is>
          <t>BOLLNÄS</t>
        </is>
      </c>
      <c r="I1206" t="n">
        <v>16.8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8185-2026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46064</v>
      </c>
      <c r="E1207" s="1" t="n">
        <v>46292</v>
      </c>
      <c r="F1207" t="inlineStr">
        <is>
          <t>GÄVLEBORGS LÄN</t>
        </is>
      </c>
      <c r="G1207" t="inlineStr">
        <is>
          <t>BOLLNÄS</t>
        </is>
      </c>
      <c r="I1207" t="n">
        <v>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20954-2026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46142</v>
      </c>
      <c r="E1208" s="1" t="n">
        <v>46292</v>
      </c>
      <c r="F1208" t="inlineStr">
        <is>
          <t>GÄVLEBORGS LÄN</t>
        </is>
      </c>
      <c r="G1208" t="inlineStr">
        <is>
          <t>BOLLNÄS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13625-2026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46292</v>
      </c>
      <c r="F1209" t="inlineStr">
        <is>
          <t>GÄVLEBORGS LÄN</t>
        </is>
      </c>
      <c r="G1209" t="inlineStr">
        <is>
          <t>BOLLNÄS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5806-2022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44596</v>
      </c>
      <c r="E1210" s="1" t="n">
        <v>46292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11344-2026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46082</v>
      </c>
      <c r="E1211" s="1" t="n">
        <v>46292</v>
      </c>
      <c r="F1211" t="inlineStr">
        <is>
          <t>GÄVLEBORGS LÄN</t>
        </is>
      </c>
      <c r="G1211" t="inlineStr">
        <is>
          <t>BOLLNÄS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13613-2026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46097</v>
      </c>
      <c r="E1212" s="1" t="n">
        <v>46292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Kyrkan</t>
        </is>
      </c>
      <c r="I1212" t="n">
        <v>7.1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15391-2026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46106</v>
      </c>
      <c r="E1213" s="1" t="n">
        <v>46292</v>
      </c>
      <c r="F1213" t="inlineStr">
        <is>
          <t>GÄVLEBORGS LÄN</t>
        </is>
      </c>
      <c r="G1213" t="inlineStr">
        <is>
          <t>BOLLNÄS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8045-2026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46063</v>
      </c>
      <c r="E1214" s="1" t="n">
        <v>46292</v>
      </c>
      <c r="F1214" t="inlineStr">
        <is>
          <t>GÄVLEBORGS LÄN</t>
        </is>
      </c>
      <c r="G1214" t="inlineStr">
        <is>
          <t>BOLLNÄS</t>
        </is>
      </c>
      <c r="I1214" t="n">
        <v>25.1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20859-2026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46292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9216-2026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46292</v>
      </c>
      <c r="F1216" t="inlineStr">
        <is>
          <t>GÄVLEBORGS LÄN</t>
        </is>
      </c>
      <c r="G1216" t="inlineStr">
        <is>
          <t>BOLLNÄS</t>
        </is>
      </c>
      <c r="I1216" t="n">
        <v>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46292</v>
      </c>
      <c r="F1217" t="inlineStr">
        <is>
          <t>GÄVLEBORGS LÄN</t>
        </is>
      </c>
      <c r="G1217" t="inlineStr">
        <is>
          <t>BOLLNÄS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46029</v>
      </c>
      <c r="E1218" s="1" t="n">
        <v>46292</v>
      </c>
      <c r="F1218" t="inlineStr">
        <is>
          <t>GÄVLEBORGS LÄN</t>
        </is>
      </c>
      <c r="G1218" t="inlineStr">
        <is>
          <t>BOLLNÄS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46043</v>
      </c>
      <c r="E1219" s="1" t="n">
        <v>46292</v>
      </c>
      <c r="F1219" t="inlineStr">
        <is>
          <t>GÄVLEBORGS LÄN</t>
        </is>
      </c>
      <c r="G1219" t="inlineStr">
        <is>
          <t>BOLLNÄS</t>
        </is>
      </c>
      <c r="I1219" t="n">
        <v>5.4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46292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Kyrkan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20868-2026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46292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2.9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11546-2026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46084</v>
      </c>
      <c r="E1222" s="1" t="n">
        <v>46292</v>
      </c>
      <c r="F1222" t="inlineStr">
        <is>
          <t>GÄVLEBORGS LÄN</t>
        </is>
      </c>
      <c r="G1222" t="inlineStr">
        <is>
          <t>BOLLNÄS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20963-2026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46142</v>
      </c>
      <c r="E1223" s="1" t="n">
        <v>46292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4960-2026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46049</v>
      </c>
      <c r="E1224" s="1" t="n">
        <v>46292</v>
      </c>
      <c r="F1224" t="inlineStr">
        <is>
          <t>GÄVLEBORGS LÄN</t>
        </is>
      </c>
      <c r="G1224" t="inlineStr">
        <is>
          <t>BOLLNÄS</t>
        </is>
      </c>
      <c r="I1224" t="n">
        <v>4.6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18013-2023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45040</v>
      </c>
      <c r="E1225" s="1" t="n">
        <v>46292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46292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Kyrkan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20827-2026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46292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20828-2026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46292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20620-2026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46141</v>
      </c>
      <c r="E1229" s="1" t="n">
        <v>46292</v>
      </c>
      <c r="F1229" t="inlineStr">
        <is>
          <t>GÄVLEBORGS LÄN</t>
        </is>
      </c>
      <c r="G1229" t="inlineStr">
        <is>
          <t>BOLLNÄS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12142-2026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46086</v>
      </c>
      <c r="E1230" s="1" t="n">
        <v>46292</v>
      </c>
      <c r="F1230" t="inlineStr">
        <is>
          <t>GÄVLEBORGS LÄN</t>
        </is>
      </c>
      <c r="G1230" t="inlineStr">
        <is>
          <t>BOLLNÄS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2807-2026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46038</v>
      </c>
      <c r="E1231" s="1" t="n">
        <v>46292</v>
      </c>
      <c r="F1231" t="inlineStr">
        <is>
          <t>GÄVLEBORGS LÄN</t>
        </is>
      </c>
      <c r="G1231" t="inlineStr">
        <is>
          <t>BOLLNÄS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14772-2026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46101</v>
      </c>
      <c r="E1232" s="1" t="n">
        <v>46292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Kommuner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46292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21040-2026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46146</v>
      </c>
      <c r="E1234" s="1" t="n">
        <v>46292</v>
      </c>
      <c r="F1234" t="inlineStr">
        <is>
          <t>GÄVLEBORGS LÄN</t>
        </is>
      </c>
      <c r="G1234" t="inlineStr">
        <is>
          <t>BOLLNÄS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13327-2026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46292</v>
      </c>
      <c r="F1235" t="inlineStr">
        <is>
          <t>GÄVLEBORGS LÄN</t>
        </is>
      </c>
      <c r="G1235" t="inlineStr">
        <is>
          <t>BOLLNÄS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46292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21104-2026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46146</v>
      </c>
      <c r="E1237" s="1" t="n">
        <v>46292</v>
      </c>
      <c r="F1237" t="inlineStr">
        <is>
          <t>GÄVLEBORGS LÄN</t>
        </is>
      </c>
      <c r="G1237" t="inlineStr">
        <is>
          <t>BOLLNÄS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2587-2026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46037</v>
      </c>
      <c r="E1238" s="1" t="n">
        <v>46292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2993-2026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46038</v>
      </c>
      <c r="E1239" s="1" t="n">
        <v>46292</v>
      </c>
      <c r="F1239" t="inlineStr">
        <is>
          <t>GÄVLEBORGS LÄN</t>
        </is>
      </c>
      <c r="G1239" t="inlineStr">
        <is>
          <t>BOLLNÄS</t>
        </is>
      </c>
      <c r="I1239" t="n">
        <v>5.2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21133-2026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46146</v>
      </c>
      <c r="E1240" s="1" t="n">
        <v>46292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12607-2026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46292</v>
      </c>
      <c r="F1241" t="inlineStr">
        <is>
          <t>GÄVLEBORGS LÄN</t>
        </is>
      </c>
      <c r="G1241" t="inlineStr">
        <is>
          <t>BOLLNÄS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44595</v>
      </c>
      <c r="E1242" s="1" t="n">
        <v>46292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20032-2026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46292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öst AB</t>
        </is>
      </c>
      <c r="I1243" t="n">
        <v>20.5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20762-2026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46292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21101-2026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46146</v>
      </c>
      <c r="E1245" s="1" t="n">
        <v>46292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21036-2026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46146</v>
      </c>
      <c r="E1246" s="1" t="n">
        <v>46292</v>
      </c>
      <c r="F1246" t="inlineStr">
        <is>
          <t>GÄVLEBORGS LÄN</t>
        </is>
      </c>
      <c r="G1246" t="inlineStr">
        <is>
          <t>BOLLNÄS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21038-2026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46292</v>
      </c>
      <c r="F1247" t="inlineStr">
        <is>
          <t>GÄVLEBORGS LÄN</t>
        </is>
      </c>
      <c r="G1247" t="inlineStr">
        <is>
          <t>BOLLNÄS</t>
        </is>
      </c>
      <c r="I1247" t="n">
        <v>3.4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21399-2026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46148</v>
      </c>
      <c r="E1248" s="1" t="n">
        <v>46292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46148</v>
      </c>
      <c r="E1249" s="1" t="n">
        <v>46292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21521-2026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46148</v>
      </c>
      <c r="E1250" s="1" t="n">
        <v>46292</v>
      </c>
      <c r="F1250" t="inlineStr">
        <is>
          <t>GÄVLEBORGS LÄN</t>
        </is>
      </c>
      <c r="G1250" t="inlineStr">
        <is>
          <t>BOLLNÄS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21555-2026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46148</v>
      </c>
      <c r="E1251" s="1" t="n">
        <v>46292</v>
      </c>
      <c r="F1251" t="inlineStr">
        <is>
          <t>GÄVLEBORGS LÄN</t>
        </is>
      </c>
      <c r="G1251" t="inlineStr">
        <is>
          <t>BOLLNÄS</t>
        </is>
      </c>
      <c r="I1251" t="n">
        <v>8.9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2390-2026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46034</v>
      </c>
      <c r="E1252" s="1" t="n">
        <v>46292</v>
      </c>
      <c r="F1252" t="inlineStr">
        <is>
          <t>GÄVLEBORGS LÄN</t>
        </is>
      </c>
      <c r="G1252" t="inlineStr">
        <is>
          <t>BOLLNÄS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30749-2025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45831</v>
      </c>
      <c r="E1253" s="1" t="n">
        <v>46292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10.1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21572-2026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46148</v>
      </c>
      <c r="E1254" s="1" t="n">
        <v>46292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21550-2026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46148</v>
      </c>
      <c r="E1255" s="1" t="n">
        <v>46292</v>
      </c>
      <c r="F1255" t="inlineStr">
        <is>
          <t>GÄVLEBORGS LÄN</t>
        </is>
      </c>
      <c r="G1255" t="inlineStr">
        <is>
          <t>BOLLNÄS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21510-2026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46292</v>
      </c>
      <c r="F1256" t="inlineStr">
        <is>
          <t>GÄVLEBORGS LÄN</t>
        </is>
      </c>
      <c r="G1256" t="inlineStr">
        <is>
          <t>BOLLNÄS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10805-2026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46078</v>
      </c>
      <c r="E1257" s="1" t="n">
        <v>46292</v>
      </c>
      <c r="F1257" t="inlineStr">
        <is>
          <t>GÄVLEBORGS LÄN</t>
        </is>
      </c>
      <c r="G1257" t="inlineStr">
        <is>
          <t>BOLLNÄS</t>
        </is>
      </c>
      <c r="I1257" t="n">
        <v>9.6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21241-2026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46147</v>
      </c>
      <c r="E1258" s="1" t="n">
        <v>46292</v>
      </c>
      <c r="F1258" t="inlineStr">
        <is>
          <t>GÄVLEBORGS LÄN</t>
        </is>
      </c>
      <c r="G1258" t="inlineStr">
        <is>
          <t>BOLLNÄS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21485-2026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46148</v>
      </c>
      <c r="E1259" s="1" t="n">
        <v>46292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21517-2026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46148</v>
      </c>
      <c r="E1260" s="1" t="n">
        <v>46292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21242-2026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46147</v>
      </c>
      <c r="E1261" s="1" t="n">
        <v>46292</v>
      </c>
      <c r="F1261" t="inlineStr">
        <is>
          <t>GÄVLEBORGS LÄN</t>
        </is>
      </c>
      <c r="G1261" t="inlineStr">
        <is>
          <t>BOLLNÄS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21520-2026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46148</v>
      </c>
      <c r="E1262" s="1" t="n">
        <v>46292</v>
      </c>
      <c r="F1262" t="inlineStr">
        <is>
          <t>GÄVLEBORGS LÄN</t>
        </is>
      </c>
      <c r="G1262" t="inlineStr">
        <is>
          <t>BOLLNÄS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21299-2026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46147</v>
      </c>
      <c r="E1263" s="1" t="n">
        <v>46292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21300-2026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46147</v>
      </c>
      <c r="E1264" s="1" t="n">
        <v>46292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16919-2025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45755</v>
      </c>
      <c r="E1265" s="1" t="n">
        <v>46292</v>
      </c>
      <c r="F1265" t="inlineStr">
        <is>
          <t>GÄVLEBORGS LÄN</t>
        </is>
      </c>
      <c r="G1265" t="inlineStr">
        <is>
          <t>BOLLNÄS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21309-2026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46147</v>
      </c>
      <c r="E1266" s="1" t="n">
        <v>46292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21313-2026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46147</v>
      </c>
      <c r="E1267" s="1" t="n">
        <v>46292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48007-2022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44855</v>
      </c>
      <c r="E1268" s="1" t="n">
        <v>46292</v>
      </c>
      <c r="F1268" t="inlineStr">
        <is>
          <t>GÄVLEBORGS LÄN</t>
        </is>
      </c>
      <c r="G1268" t="inlineStr">
        <is>
          <t>BOLLNÄS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21600-2026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46149</v>
      </c>
      <c r="E1269" s="1" t="n">
        <v>46292</v>
      </c>
      <c r="F1269" t="inlineStr">
        <is>
          <t>GÄVLEBORGS LÄN</t>
        </is>
      </c>
      <c r="G1269" t="inlineStr">
        <is>
          <t>BOLLNÄS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27202-2024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45471</v>
      </c>
      <c r="E1270" s="1" t="n">
        <v>46292</v>
      </c>
      <c r="F1270" t="inlineStr">
        <is>
          <t>GÄVLEBORGS LÄN</t>
        </is>
      </c>
      <c r="G1270" t="inlineStr">
        <is>
          <t>BOLLNÄS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21614-2026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46292</v>
      </c>
      <c r="F1271" t="inlineStr">
        <is>
          <t>GÄVLEBORGS LÄN</t>
        </is>
      </c>
      <c r="G1271" t="inlineStr">
        <is>
          <t>BOLLNÄS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14262-2026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46099</v>
      </c>
      <c r="E1272" s="1" t="n">
        <v>46292</v>
      </c>
      <c r="F1272" t="inlineStr">
        <is>
          <t>GÄVLEBORGS LÄN</t>
        </is>
      </c>
      <c r="G1272" t="inlineStr">
        <is>
          <t>BOLLNÄS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21681-2026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46292</v>
      </c>
      <c r="F1273" t="inlineStr">
        <is>
          <t>GÄVLEBORGS LÄN</t>
        </is>
      </c>
      <c r="G1273" t="inlineStr">
        <is>
          <t>BOLLNÄS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21791-2026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46150</v>
      </c>
      <c r="E1274" s="1" t="n">
        <v>46292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21696-2026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46292</v>
      </c>
      <c r="F1275" t="inlineStr">
        <is>
          <t>GÄVLEBORGS LÄN</t>
        </is>
      </c>
      <c r="G1275" t="inlineStr">
        <is>
          <t>BOLLNÄS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21698-2026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46149</v>
      </c>
      <c r="E1276" s="1" t="n">
        <v>46292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21767-2026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46150</v>
      </c>
      <c r="E1277" s="1" t="n">
        <v>46292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21793-2026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46150</v>
      </c>
      <c r="E1278" s="1" t="n">
        <v>46292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46149</v>
      </c>
      <c r="E1279" s="1" t="n">
        <v>46292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30650-2025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45831</v>
      </c>
      <c r="E1280" s="1" t="n">
        <v>46292</v>
      </c>
      <c r="F1280" t="inlineStr">
        <is>
          <t>GÄVLEBORGS LÄN</t>
        </is>
      </c>
      <c r="G1280" t="inlineStr">
        <is>
          <t>BOLLNÄS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21741-2026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46292</v>
      </c>
      <c r="F1281" t="inlineStr">
        <is>
          <t>GÄVLEBORGS LÄN</t>
        </is>
      </c>
      <c r="G1281" t="inlineStr">
        <is>
          <t>BOLLNÄS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21764-2026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46292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21633-2026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46149</v>
      </c>
      <c r="E1283" s="1" t="n">
        <v>46292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21061-2023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45061</v>
      </c>
      <c r="E1284" s="1" t="n">
        <v>46292</v>
      </c>
      <c r="F1284" t="inlineStr">
        <is>
          <t>GÄVLEBORGS LÄN</t>
        </is>
      </c>
      <c r="G1284" t="inlineStr">
        <is>
          <t>BOLLNÄS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21666-2026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46149</v>
      </c>
      <c r="E1285" s="1" t="n">
        <v>46292</v>
      </c>
      <c r="F1285" t="inlineStr">
        <is>
          <t>GÄVLEBORGS LÄN</t>
        </is>
      </c>
      <c r="G1285" t="inlineStr">
        <is>
          <t>BOLLNÄS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21637-2026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46292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21693-2026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46149</v>
      </c>
      <c r="E1287" s="1" t="n">
        <v>46292</v>
      </c>
      <c r="F1287" t="inlineStr">
        <is>
          <t>GÄVLEBORGS LÄN</t>
        </is>
      </c>
      <c r="G1287" t="inlineStr">
        <is>
          <t>BOLLNÄS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21920-2026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46292</v>
      </c>
      <c r="F1288" t="inlineStr">
        <is>
          <t>GÄVLEBORGS LÄN</t>
        </is>
      </c>
      <c r="G1288" t="inlineStr">
        <is>
          <t>BOLLNÄS</t>
        </is>
      </c>
      <c r="I1288" t="n">
        <v>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46149</v>
      </c>
      <c r="E1289" s="1" t="n">
        <v>46292</v>
      </c>
      <c r="F1289" t="inlineStr">
        <is>
          <t>GÄVLEBORGS LÄN</t>
        </is>
      </c>
      <c r="G1289" t="inlineStr">
        <is>
          <t>BOLLNÄS</t>
        </is>
      </c>
      <c r="I1289" t="n">
        <v>8.300000000000001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21677-2026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46149</v>
      </c>
      <c r="E1290" s="1" t="n">
        <v>46292</v>
      </c>
      <c r="F1290" t="inlineStr">
        <is>
          <t>GÄVLEBORGS LÄN</t>
        </is>
      </c>
      <c r="G1290" t="inlineStr">
        <is>
          <t>BOLLNÄS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21691-2026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46292</v>
      </c>
      <c r="F1291" t="inlineStr">
        <is>
          <t>GÄVLEBORGS LÄN</t>
        </is>
      </c>
      <c r="G1291" t="inlineStr">
        <is>
          <t>BOLLNÄS</t>
        </is>
      </c>
      <c r="I1291" t="n">
        <v>10.2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21715-2026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46292</v>
      </c>
      <c r="F1292" t="inlineStr">
        <is>
          <t>GÄVLEBORGS LÄN</t>
        </is>
      </c>
      <c r="G1292" t="inlineStr">
        <is>
          <t>BOLLNÄS</t>
        </is>
      </c>
      <c r="I1292" t="n">
        <v>5.3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17401-2025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45757</v>
      </c>
      <c r="E1293" s="1" t="n">
        <v>46292</v>
      </c>
      <c r="F1293" t="inlineStr">
        <is>
          <t>GÄVLEBORGS LÄN</t>
        </is>
      </c>
      <c r="G1293" t="inlineStr">
        <is>
          <t>BOLLNÄS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22646-2022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44714</v>
      </c>
      <c r="E1294" s="1" t="n">
        <v>46292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46292</v>
      </c>
      <c r="F1295" t="inlineStr">
        <is>
          <t>GÄVLEBORGS LÄN</t>
        </is>
      </c>
      <c r="G1295" t="inlineStr">
        <is>
          <t>BOLLNÄS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21680-2026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46149</v>
      </c>
      <c r="E1296" s="1" t="n">
        <v>46292</v>
      </c>
      <c r="F1296" t="inlineStr">
        <is>
          <t>GÄVLEBORGS LÄN</t>
        </is>
      </c>
      <c r="G1296" t="inlineStr">
        <is>
          <t>BOLLNÄS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7100-2026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46292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22058-2026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46292</v>
      </c>
      <c r="F1298" t="inlineStr">
        <is>
          <t>GÄVLEBORGS LÄN</t>
        </is>
      </c>
      <c r="G1298" t="inlineStr">
        <is>
          <t>BOLLNÄS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11561-2026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46292</v>
      </c>
      <c r="F1299" t="inlineStr">
        <is>
          <t>GÄVLEBORGS LÄN</t>
        </is>
      </c>
      <c r="G1299" t="inlineStr">
        <is>
          <t>BOLLNÄS</t>
        </is>
      </c>
      <c r="I1299" t="n">
        <v>8.199999999999999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16453-2026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46112</v>
      </c>
      <c r="E1300" s="1" t="n">
        <v>46292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4955-2026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46292</v>
      </c>
      <c r="F1301" t="inlineStr">
        <is>
          <t>GÄVLEBORGS LÄN</t>
        </is>
      </c>
      <c r="G1301" t="inlineStr">
        <is>
          <t>BOLLNÄS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12763-2026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46091</v>
      </c>
      <c r="E1302" s="1" t="n">
        <v>46292</v>
      </c>
      <c r="F1302" t="inlineStr">
        <is>
          <t>GÄVLEBORGS LÄN</t>
        </is>
      </c>
      <c r="G1302" t="inlineStr">
        <is>
          <t>BOLLNÄS</t>
        </is>
      </c>
      <c r="I1302" t="n">
        <v>3.3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6473-2026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46056</v>
      </c>
      <c r="E1303" s="1" t="n">
        <v>46292</v>
      </c>
      <c r="F1303" t="inlineStr">
        <is>
          <t>GÄVLEBORGS LÄN</t>
        </is>
      </c>
      <c r="G1303" t="inlineStr">
        <is>
          <t>BOLLNÄS</t>
        </is>
      </c>
      <c r="I1303" t="n">
        <v>7.3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20451-2026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46140</v>
      </c>
      <c r="E1304" s="1" t="n">
        <v>46292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3.5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16966-2026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46114</v>
      </c>
      <c r="E1305" s="1" t="n">
        <v>46292</v>
      </c>
      <c r="F1305" t="inlineStr">
        <is>
          <t>GÄVLEBORGS LÄN</t>
        </is>
      </c>
      <c r="G1305" t="inlineStr">
        <is>
          <t>BOLLNÄS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16971-2026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46114</v>
      </c>
      <c r="E1306" s="1" t="n">
        <v>46292</v>
      </c>
      <c r="F1306" t="inlineStr">
        <is>
          <t>GÄVLEBORGS LÄN</t>
        </is>
      </c>
      <c r="G1306" t="inlineStr">
        <is>
          <t>BOLLNÄS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8203-2026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46292</v>
      </c>
      <c r="F1307" t="inlineStr">
        <is>
          <t>GÄVLEBORGS LÄN</t>
        </is>
      </c>
      <c r="G1307" t="inlineStr">
        <is>
          <t>BOLLNÄS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16964-2026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46292</v>
      </c>
      <c r="F1308" t="inlineStr">
        <is>
          <t>GÄVLEBORGS LÄN</t>
        </is>
      </c>
      <c r="G1308" t="inlineStr">
        <is>
          <t>BOLLNÄS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16965-2026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46292</v>
      </c>
      <c r="F1309" t="inlineStr">
        <is>
          <t>GÄVLEBORGS LÄN</t>
        </is>
      </c>
      <c r="G1309" t="inlineStr">
        <is>
          <t>BOLLNÄS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8156-2026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46064</v>
      </c>
      <c r="E1310" s="1" t="n">
        <v>46292</v>
      </c>
      <c r="F1310" t="inlineStr">
        <is>
          <t>GÄVLEBORGS LÄN</t>
        </is>
      </c>
      <c r="G1310" t="inlineStr">
        <is>
          <t>BOLLNÄS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16049-2026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46108</v>
      </c>
      <c r="E1311" s="1" t="n">
        <v>46292</v>
      </c>
      <c r="F1311" t="inlineStr">
        <is>
          <t>GÄVLEBORGS LÄN</t>
        </is>
      </c>
      <c r="G1311" t="inlineStr">
        <is>
          <t>BOLLNÄS</t>
        </is>
      </c>
      <c r="I1311" t="n">
        <v>13.8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22179-2026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46153</v>
      </c>
      <c r="E1312" s="1" t="n">
        <v>46292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1542-2026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46034</v>
      </c>
      <c r="E1313" s="1" t="n">
        <v>46292</v>
      </c>
      <c r="F1313" t="inlineStr">
        <is>
          <t>GÄVLEBORGS LÄN</t>
        </is>
      </c>
      <c r="G1313" t="inlineStr">
        <is>
          <t>BOLLNÄS</t>
        </is>
      </c>
      <c r="I1313" t="n">
        <v>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1546-2026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46292</v>
      </c>
      <c r="F1314" t="inlineStr">
        <is>
          <t>GÄVLEBORGS LÄN</t>
        </is>
      </c>
      <c r="G1314" t="inlineStr">
        <is>
          <t>BOLLNÄS</t>
        </is>
      </c>
      <c r="I1314" t="n">
        <v>3.5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9612-2026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46072</v>
      </c>
      <c r="E1315" s="1" t="n">
        <v>46292</v>
      </c>
      <c r="F1315" t="inlineStr">
        <is>
          <t>GÄVLEBORGS LÄN</t>
        </is>
      </c>
      <c r="G1315" t="inlineStr">
        <is>
          <t>BOLLNÄS</t>
        </is>
      </c>
      <c r="I1315" t="n">
        <v>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15812-2026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46107</v>
      </c>
      <c r="E1316" s="1" t="n">
        <v>46292</v>
      </c>
      <c r="F1316" t="inlineStr">
        <is>
          <t>GÄVLEBORGS LÄN</t>
        </is>
      </c>
      <c r="G1316" t="inlineStr">
        <is>
          <t>BOLLNÄS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22195-2026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46153</v>
      </c>
      <c r="E1317" s="1" t="n">
        <v>46292</v>
      </c>
      <c r="F1317" t="inlineStr">
        <is>
          <t>GÄVLEBORGS LÄN</t>
        </is>
      </c>
      <c r="G1317" t="inlineStr">
        <is>
          <t>BOLLNÄS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22206-2026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46153</v>
      </c>
      <c r="E1318" s="1" t="n">
        <v>46292</v>
      </c>
      <c r="F1318" t="inlineStr">
        <is>
          <t>GÄVLEBORGS LÄN</t>
        </is>
      </c>
      <c r="G1318" t="inlineStr">
        <is>
          <t>BOLLNÄS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9336-2026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46070</v>
      </c>
      <c r="E1319" s="1" t="n">
        <v>46292</v>
      </c>
      <c r="F1319" t="inlineStr">
        <is>
          <t>GÄVLEBORGS LÄN</t>
        </is>
      </c>
      <c r="G1319" t="inlineStr">
        <is>
          <t>BOLLNÄS</t>
        </is>
      </c>
      <c r="I1319" t="n">
        <v>6.2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22187-2026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46153</v>
      </c>
      <c r="E1320" s="1" t="n">
        <v>46292</v>
      </c>
      <c r="F1320" t="inlineStr">
        <is>
          <t>GÄVLEBORGS LÄN</t>
        </is>
      </c>
      <c r="G1320" t="inlineStr">
        <is>
          <t>BOLLNÄS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22305-2026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46292</v>
      </c>
      <c r="F1321" t="inlineStr">
        <is>
          <t>GÄVLEBORGS LÄN</t>
        </is>
      </c>
      <c r="G1321" t="inlineStr">
        <is>
          <t>BOLLNÄS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22316-2026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46154</v>
      </c>
      <c r="E1322" s="1" t="n">
        <v>46292</v>
      </c>
      <c r="F1322" t="inlineStr">
        <is>
          <t>GÄVLEBORGS LÄN</t>
        </is>
      </c>
      <c r="G1322" t="inlineStr">
        <is>
          <t>BOLLNÄS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46097</v>
      </c>
      <c r="E1323" s="1" t="n">
        <v>46292</v>
      </c>
      <c r="F1323" t="inlineStr">
        <is>
          <t>GÄVLEBORGS LÄN</t>
        </is>
      </c>
      <c r="G1323" t="inlineStr">
        <is>
          <t>BOLLNÄS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22394-2026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46292</v>
      </c>
      <c r="F1324" t="inlineStr">
        <is>
          <t>GÄVLEBORGS LÄN</t>
        </is>
      </c>
      <c r="G1324" t="inlineStr">
        <is>
          <t>BOLLNÄS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22254-2026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46292</v>
      </c>
      <c r="F1325" t="inlineStr">
        <is>
          <t>GÄVLEBORGS LÄN</t>
        </is>
      </c>
      <c r="G1325" t="inlineStr">
        <is>
          <t>BOLLNÄS</t>
        </is>
      </c>
      <c r="I1325" t="n">
        <v>5.8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13680-2026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46097</v>
      </c>
      <c r="E1326" s="1" t="n">
        <v>46292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6.1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22300-2026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46154</v>
      </c>
      <c r="E1327" s="1" t="n">
        <v>46292</v>
      </c>
      <c r="F1327" t="inlineStr">
        <is>
          <t>GÄVLEBORGS LÄN</t>
        </is>
      </c>
      <c r="G1327" t="inlineStr">
        <is>
          <t>BOLLNÄS</t>
        </is>
      </c>
      <c r="I1327" t="n">
        <v>3.8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22301-2026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46154</v>
      </c>
      <c r="E1328" s="1" t="n">
        <v>46292</v>
      </c>
      <c r="F1328" t="inlineStr">
        <is>
          <t>GÄVLEBORGS LÄN</t>
        </is>
      </c>
      <c r="G1328" t="inlineStr">
        <is>
          <t>BOLLNÄS</t>
        </is>
      </c>
      <c r="I1328" t="n">
        <v>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26304-2022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44735</v>
      </c>
      <c r="E1329" s="1" t="n">
        <v>46292</v>
      </c>
      <c r="F1329" t="inlineStr">
        <is>
          <t>GÄVLEBORGS LÄN</t>
        </is>
      </c>
      <c r="G1329" t="inlineStr">
        <is>
          <t>BOLLNÄS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22002-2026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46292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9.199999999999999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46292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8840-2026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46066</v>
      </c>
      <c r="E1332" s="1" t="n">
        <v>46292</v>
      </c>
      <c r="F1332" t="inlineStr">
        <is>
          <t>GÄVLEBORGS LÄN</t>
        </is>
      </c>
      <c r="G1332" t="inlineStr">
        <is>
          <t>BOLLNÄS</t>
        </is>
      </c>
      <c r="I1332" t="n">
        <v>16.7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12624-2025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45733</v>
      </c>
      <c r="E1333" s="1" t="n">
        <v>46292</v>
      </c>
      <c r="F1333" t="inlineStr">
        <is>
          <t>GÄVLEBORGS LÄN</t>
        </is>
      </c>
      <c r="G1333" t="inlineStr">
        <is>
          <t>BOLLNÄS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22185-2026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46153</v>
      </c>
      <c r="E1334" s="1" t="n">
        <v>46292</v>
      </c>
      <c r="F1334" t="inlineStr">
        <is>
          <t>GÄVLEBORGS LÄN</t>
        </is>
      </c>
      <c r="G1334" t="inlineStr">
        <is>
          <t>BOLLNÄS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22190-2026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46153</v>
      </c>
      <c r="E1335" s="1" t="n">
        <v>46292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46292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46292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46071</v>
      </c>
      <c r="E1338" s="1" t="n">
        <v>46292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12487-2026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46090</v>
      </c>
      <c r="E1339" s="1" t="n">
        <v>46292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Holmen skog AB</t>
        </is>
      </c>
      <c r="I1339" t="n">
        <v>8.199999999999999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12869-2026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46092</v>
      </c>
      <c r="E1340" s="1" t="n">
        <v>46292</v>
      </c>
      <c r="F1340" t="inlineStr">
        <is>
          <t>GÄVLEBORGS LÄN</t>
        </is>
      </c>
      <c r="G1340" t="inlineStr">
        <is>
          <t>BOLLNÄS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12992-2026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46092</v>
      </c>
      <c r="E1341" s="1" t="n">
        <v>46292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22065-2026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46292</v>
      </c>
      <c r="F1342" t="inlineStr">
        <is>
          <t>GÄVLEBORGS LÄN</t>
        </is>
      </c>
      <c r="G1342" t="inlineStr">
        <is>
          <t>BOLLNÄS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31719-2025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45834</v>
      </c>
      <c r="E1343" s="1" t="n">
        <v>46292</v>
      </c>
      <c r="F1343" t="inlineStr">
        <is>
          <t>GÄVLEBORGS LÄN</t>
        </is>
      </c>
      <c r="G1343" t="inlineStr">
        <is>
          <t>BOLLNÄS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46036</v>
      </c>
      <c r="E1344" s="1" t="n">
        <v>46292</v>
      </c>
      <c r="F1344" t="inlineStr">
        <is>
          <t>GÄVLEBORGS LÄN</t>
        </is>
      </c>
      <c r="G1344" t="inlineStr">
        <is>
          <t>BOLLNÄS</t>
        </is>
      </c>
      <c r="I1344" t="n">
        <v>8.6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34941-2024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45527</v>
      </c>
      <c r="E1345" s="1" t="n">
        <v>46292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31374-2025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45833</v>
      </c>
      <c r="E1346" s="1" t="n">
        <v>46292</v>
      </c>
      <c r="F1346" t="inlineStr">
        <is>
          <t>GÄVLEBORGS LÄN</t>
        </is>
      </c>
      <c r="G1346" t="inlineStr">
        <is>
          <t>BOLLNÄS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13540-2026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46094</v>
      </c>
      <c r="E1347" s="1" t="n">
        <v>46292</v>
      </c>
      <c r="F1347" t="inlineStr">
        <is>
          <t>GÄVLEBORGS LÄN</t>
        </is>
      </c>
      <c r="G1347" t="inlineStr">
        <is>
          <t>BOLLNÄS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21503-2026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46292</v>
      </c>
      <c r="F1348" t="inlineStr">
        <is>
          <t>GÄVLEBORGS LÄN</t>
        </is>
      </c>
      <c r="G1348" t="inlineStr">
        <is>
          <t>BOLLNÄS</t>
        </is>
      </c>
      <c r="I1348" t="n">
        <v>2.4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22303-2026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46154</v>
      </c>
      <c r="E1349" s="1" t="n">
        <v>46292</v>
      </c>
      <c r="F1349" t="inlineStr">
        <is>
          <t>GÄVLEBORGS LÄN</t>
        </is>
      </c>
      <c r="G1349" t="inlineStr">
        <is>
          <t>BOLLNÄS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22311-2026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46292</v>
      </c>
      <c r="F1350" t="inlineStr">
        <is>
          <t>GÄVLEBORGS LÄN</t>
        </is>
      </c>
      <c r="G1350" t="inlineStr">
        <is>
          <t>BOLLNÄS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6001-2026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46052</v>
      </c>
      <c r="E1351" s="1" t="n">
        <v>46292</v>
      </c>
      <c r="F1351" t="inlineStr">
        <is>
          <t>GÄVLEBORGS LÄN</t>
        </is>
      </c>
      <c r="G1351" t="inlineStr">
        <is>
          <t>BOLLNÄS</t>
        </is>
      </c>
      <c r="I1351" t="n">
        <v>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22609-2026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46155</v>
      </c>
      <c r="E1352" s="1" t="n">
        <v>46292</v>
      </c>
      <c r="F1352" t="inlineStr">
        <is>
          <t>GÄVLEBORGS LÄN</t>
        </is>
      </c>
      <c r="G1352" t="inlineStr">
        <is>
          <t>BOLLNÄS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22549-2026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46155</v>
      </c>
      <c r="E1353" s="1" t="n">
        <v>46292</v>
      </c>
      <c r="F1353" t="inlineStr">
        <is>
          <t>GÄVLEBORGS LÄN</t>
        </is>
      </c>
      <c r="G1353" t="inlineStr">
        <is>
          <t>BOLLNÄS</t>
        </is>
      </c>
      <c r="I1353" t="n">
        <v>10.8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31971-2025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45835</v>
      </c>
      <c r="E1354" s="1" t="n">
        <v>46292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22502-2026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46292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22494-2026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46155</v>
      </c>
      <c r="E1356" s="1" t="n">
        <v>46292</v>
      </c>
      <c r="F1356" t="inlineStr">
        <is>
          <t>GÄVLEBORGS LÄN</t>
        </is>
      </c>
      <c r="G1356" t="inlineStr">
        <is>
          <t>BOLLNÄS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46292</v>
      </c>
      <c r="F1357" t="inlineStr">
        <is>
          <t>GÄVLEBORGS LÄN</t>
        </is>
      </c>
      <c r="G1357" t="inlineStr">
        <is>
          <t>BOLLNÄS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14261-2025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45740</v>
      </c>
      <c r="E1358" s="1" t="n">
        <v>46292</v>
      </c>
      <c r="F1358" t="inlineStr">
        <is>
          <t>GÄVLEBORGS LÄN</t>
        </is>
      </c>
      <c r="G1358" t="inlineStr">
        <is>
          <t>BOLLNÄS</t>
        </is>
      </c>
      <c r="I1358" t="n">
        <v>0.1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22599-2026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46155</v>
      </c>
      <c r="E1359" s="1" t="n">
        <v>46292</v>
      </c>
      <c r="F1359" t="inlineStr">
        <is>
          <t>GÄVLEBORGS LÄN</t>
        </is>
      </c>
      <c r="G1359" t="inlineStr">
        <is>
          <t>BOLLNÄS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46292</v>
      </c>
      <c r="F1360" t="inlineStr">
        <is>
          <t>GÄVLEBORGS LÄN</t>
        </is>
      </c>
      <c r="G1360" t="inlineStr">
        <is>
          <t>BOLLNÄS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22605-2026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46155</v>
      </c>
      <c r="E1361" s="1" t="n">
        <v>46292</v>
      </c>
      <c r="F1361" t="inlineStr">
        <is>
          <t>GÄVLEBORGS LÄN</t>
        </is>
      </c>
      <c r="G1361" t="inlineStr">
        <is>
          <t>BOLLNÄS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32603-2025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45838</v>
      </c>
      <c r="E1362" s="1" t="n">
        <v>46292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22503-2026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46155</v>
      </c>
      <c r="E1363" s="1" t="n">
        <v>46292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22540-2026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46292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22532-2026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46292</v>
      </c>
      <c r="F1365" t="inlineStr">
        <is>
          <t>GÄVLEBORGS LÄN</t>
        </is>
      </c>
      <c r="G1365" t="inlineStr">
        <is>
          <t>BOLLNÄS</t>
        </is>
      </c>
      <c r="I1365" t="n">
        <v>10.6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22510-2026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46292</v>
      </c>
      <c r="F1366" t="inlineStr">
        <is>
          <t>GÄVLEBORGS LÄN</t>
        </is>
      </c>
      <c r="G1366" t="inlineStr">
        <is>
          <t>BOLLNÄS</t>
        </is>
      </c>
      <c r="I1366" t="n">
        <v>6.1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46292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22554-2026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46155</v>
      </c>
      <c r="E1368" s="1" t="n">
        <v>46292</v>
      </c>
      <c r="F1368" t="inlineStr">
        <is>
          <t>GÄVLEBORGS LÄN</t>
        </is>
      </c>
      <c r="G1368" t="inlineStr">
        <is>
          <t>BOLLNÄS</t>
        </is>
      </c>
      <c r="I1368" t="n">
        <v>29.4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22489-2026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46292</v>
      </c>
      <c r="F1369" t="inlineStr">
        <is>
          <t>GÄVLEBORGS LÄN</t>
        </is>
      </c>
      <c r="G1369" t="inlineStr">
        <is>
          <t>BOLLNÄS</t>
        </is>
      </c>
      <c r="I1369" t="n">
        <v>4.8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14271-2026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46292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46029</v>
      </c>
      <c r="E1371" s="1" t="n">
        <v>46292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22606-2026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46292</v>
      </c>
      <c r="F1372" t="inlineStr">
        <is>
          <t>GÄVLEBORGS LÄN</t>
        </is>
      </c>
      <c r="G1372" t="inlineStr">
        <is>
          <t>BOLLNÄS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51666-2022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44872</v>
      </c>
      <c r="E1373" s="1" t="n">
        <v>46292</v>
      </c>
      <c r="F1373" t="inlineStr">
        <is>
          <t>GÄVLEBORGS LÄN</t>
        </is>
      </c>
      <c r="G1373" t="inlineStr">
        <is>
          <t>BOLLNÄS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22499-2026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46292</v>
      </c>
      <c r="F1374" t="inlineStr">
        <is>
          <t>GÄVLEBORGS LÄN</t>
        </is>
      </c>
      <c r="G1374" t="inlineStr">
        <is>
          <t>BOLLNÄS</t>
        </is>
      </c>
      <c r="I1374" t="n">
        <v>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29716-2023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45107</v>
      </c>
      <c r="E1375" s="1" t="n">
        <v>46292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Sveaskog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20036-2026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46136</v>
      </c>
      <c r="E1376" s="1" t="n">
        <v>46292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öst AB</t>
        </is>
      </c>
      <c r="I1376" t="n">
        <v>23.8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16365-2026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46111</v>
      </c>
      <c r="E1377" s="1" t="n">
        <v>46292</v>
      </c>
      <c r="F1377" t="inlineStr">
        <is>
          <t>GÄVLEBORGS LÄN</t>
        </is>
      </c>
      <c r="G1377" t="inlineStr">
        <is>
          <t>BOLLNÄS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37780-2024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45542</v>
      </c>
      <c r="E1378" s="1" t="n">
        <v>46292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31948-2025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45835</v>
      </c>
      <c r="E1379" s="1" t="n">
        <v>46292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31954-2025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45835</v>
      </c>
      <c r="E1380" s="1" t="n">
        <v>46292</v>
      </c>
      <c r="F1380" t="inlineStr">
        <is>
          <t>GÄVLEBORGS LÄN</t>
        </is>
      </c>
      <c r="G1380" t="inlineStr">
        <is>
          <t>BOLLNÄS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22815-2026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46160</v>
      </c>
      <c r="E1381" s="1" t="n">
        <v>46292</v>
      </c>
      <c r="F1381" t="inlineStr">
        <is>
          <t>GÄVLEBORGS LÄN</t>
        </is>
      </c>
      <c r="G1381" t="inlineStr">
        <is>
          <t>BOLLNÄS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22905-2026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46160</v>
      </c>
      <c r="E1382" s="1" t="n">
        <v>46292</v>
      </c>
      <c r="F1382" t="inlineStr">
        <is>
          <t>GÄVLEBORGS LÄN</t>
        </is>
      </c>
      <c r="G1382" t="inlineStr">
        <is>
          <t>BOLLNÄS</t>
        </is>
      </c>
      <c r="I1382" t="n">
        <v>12.3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22761-2026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46157</v>
      </c>
      <c r="E1383" s="1" t="n">
        <v>46292</v>
      </c>
      <c r="F1383" t="inlineStr">
        <is>
          <t>GÄVLEBORGS LÄN</t>
        </is>
      </c>
      <c r="G1383" t="inlineStr">
        <is>
          <t>BOLLNÄS</t>
        </is>
      </c>
      <c r="I1383" t="n">
        <v>6.1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22982-2026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46160</v>
      </c>
      <c r="E1384" s="1" t="n">
        <v>46292</v>
      </c>
      <c r="F1384" t="inlineStr">
        <is>
          <t>GÄVLEBORGS LÄN</t>
        </is>
      </c>
      <c r="G1384" t="inlineStr">
        <is>
          <t>BOLLNÄS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22985-2026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46160</v>
      </c>
      <c r="E1385" s="1" t="n">
        <v>46292</v>
      </c>
      <c r="F1385" t="inlineStr">
        <is>
          <t>GÄVLEBORGS LÄN</t>
        </is>
      </c>
      <c r="G1385" t="inlineStr">
        <is>
          <t>BOLLNÄS</t>
        </is>
      </c>
      <c r="I1385" t="n">
        <v>4.6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22746-2026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46157</v>
      </c>
      <c r="E1386" s="1" t="n">
        <v>46292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23084-2026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46292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23083-2026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46161</v>
      </c>
      <c r="E1388" s="1" t="n">
        <v>46292</v>
      </c>
      <c r="F1388" t="inlineStr">
        <is>
          <t>GÄVLEBORGS LÄN</t>
        </is>
      </c>
      <c r="G1388" t="inlineStr">
        <is>
          <t>BOLLNÄS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23387-2026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46292</v>
      </c>
      <c r="F1389" t="inlineStr">
        <is>
          <t>GÄVLEBORGS LÄN</t>
        </is>
      </c>
      <c r="G1389" t="inlineStr">
        <is>
          <t>BOLLNÄS</t>
        </is>
      </c>
      <c r="I1389" t="n">
        <v>7.5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22448-2026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46292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33137-2025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45840</v>
      </c>
      <c r="E1391" s="1" t="n">
        <v>46292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23093-2026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46161</v>
      </c>
      <c r="E1392" s="1" t="n">
        <v>46292</v>
      </c>
      <c r="F1392" t="inlineStr">
        <is>
          <t>GÄVLEBORGS LÄN</t>
        </is>
      </c>
      <c r="G1392" t="inlineStr">
        <is>
          <t>BOLLNÄS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46161</v>
      </c>
      <c r="E1393" s="1" t="n">
        <v>46292</v>
      </c>
      <c r="F1393" t="inlineStr">
        <is>
          <t>GÄVLEBORGS LÄN</t>
        </is>
      </c>
      <c r="G1393" t="inlineStr">
        <is>
          <t>BOLLNÄS</t>
        </is>
      </c>
      <c r="I1393" t="n">
        <v>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33259-2025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45840</v>
      </c>
      <c r="E1394" s="1" t="n">
        <v>46292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32405-2025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45838</v>
      </c>
      <c r="E1395" s="1" t="n">
        <v>46292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3.6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33944-2025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45842</v>
      </c>
      <c r="E1396" s="1" t="n">
        <v>46292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34613-2024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45526</v>
      </c>
      <c r="E1397" s="1" t="n">
        <v>46292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Sveaskog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23172-2026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46292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23276-2026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46292</v>
      </c>
      <c r="F1399" t="inlineStr">
        <is>
          <t>GÄVLEBORGS LÄN</t>
        </is>
      </c>
      <c r="G1399" t="inlineStr">
        <is>
          <t>BOLLNÄS</t>
        </is>
      </c>
      <c r="I1399" t="n">
        <v>7.1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48336-2023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45205</v>
      </c>
      <c r="E1400" s="1" t="n">
        <v>46292</v>
      </c>
      <c r="F1400" t="inlineStr">
        <is>
          <t>GÄVLEBORGS LÄN</t>
        </is>
      </c>
      <c r="G1400" t="inlineStr">
        <is>
          <t>BOLLNÄS</t>
        </is>
      </c>
      <c r="I1400" t="n">
        <v>6.1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23268-2026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46292</v>
      </c>
      <c r="F1401" t="inlineStr">
        <is>
          <t>GÄVLEBORGS LÄN</t>
        </is>
      </c>
      <c r="G1401" t="inlineStr">
        <is>
          <t>BOLLNÄS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23331-2026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46292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43152-2023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45183</v>
      </c>
      <c r="E1403" s="1" t="n">
        <v>46292</v>
      </c>
      <c r="F1403" t="inlineStr">
        <is>
          <t>GÄVLEBORGS LÄN</t>
        </is>
      </c>
      <c r="G1403" t="inlineStr">
        <is>
          <t>BOLLNÄS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46151-2024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45581</v>
      </c>
      <c r="E1404" s="1" t="n">
        <v>46292</v>
      </c>
      <c r="F1404" t="inlineStr">
        <is>
          <t>GÄVLEBORGS LÄN</t>
        </is>
      </c>
      <c r="G1404" t="inlineStr">
        <is>
          <t>BOLLNÄS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23085-2026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46292</v>
      </c>
      <c r="F1405" t="inlineStr">
        <is>
          <t>GÄVLEBORGS LÄN</t>
        </is>
      </c>
      <c r="G1405" t="inlineStr">
        <is>
          <t>BOLLNÄS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69620-2021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44532</v>
      </c>
      <c r="E1406" s="1" t="n">
        <v>46292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23090-2026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46161</v>
      </c>
      <c r="E1407" s="1" t="n">
        <v>46292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23091-2026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46292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46292</v>
      </c>
      <c r="F1409" t="inlineStr">
        <is>
          <t>GÄVLEBORGS LÄN</t>
        </is>
      </c>
      <c r="G1409" t="inlineStr">
        <is>
          <t>BOLLNÄS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23251-2026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46162</v>
      </c>
      <c r="E1410" s="1" t="n">
        <v>46292</v>
      </c>
      <c r="F1410" t="inlineStr">
        <is>
          <t>GÄVLEBORGS LÄN</t>
        </is>
      </c>
      <c r="G1410" t="inlineStr">
        <is>
          <t>BOLLNÄS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23673-2026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46292</v>
      </c>
      <c r="F1411" t="inlineStr">
        <is>
          <t>GÄVLEBORGS LÄN</t>
        </is>
      </c>
      <c r="G1411" t="inlineStr">
        <is>
          <t>BOLLNÄS</t>
        </is>
      </c>
      <c r="I1411" t="n">
        <v>20.9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20665-2026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46141</v>
      </c>
      <c r="E1412" s="1" t="n">
        <v>46292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7.6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23289-2026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46162</v>
      </c>
      <c r="E1413" s="1" t="n">
        <v>46292</v>
      </c>
      <c r="F1413" t="inlineStr">
        <is>
          <t>GÄVLEBORGS LÄN</t>
        </is>
      </c>
      <c r="G1413" t="inlineStr">
        <is>
          <t>BOLLNÄS</t>
        </is>
      </c>
      <c r="I1413" t="n">
        <v>9.9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33624-2025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45841</v>
      </c>
      <c r="E1414" s="1" t="n">
        <v>46292</v>
      </c>
      <c r="F1414" t="inlineStr">
        <is>
          <t>GÄVLEBORGS LÄN</t>
        </is>
      </c>
      <c r="G1414" t="inlineStr">
        <is>
          <t>BOLLNÄS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23478-2026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46292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46292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23288-2026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46162</v>
      </c>
      <c r="E1417" s="1" t="n">
        <v>46292</v>
      </c>
      <c r="F1417" t="inlineStr">
        <is>
          <t>GÄVLEBORGS LÄN</t>
        </is>
      </c>
      <c r="G1417" t="inlineStr">
        <is>
          <t>BOLLNÄS</t>
        </is>
      </c>
      <c r="I1417" t="n">
        <v>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34216-2025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45845</v>
      </c>
      <c r="E1418" s="1" t="n">
        <v>46292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23586-2026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46163</v>
      </c>
      <c r="E1419" s="1" t="n">
        <v>46292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23523-2026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46292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23544-2026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46163</v>
      </c>
      <c r="E1421" s="1" t="n">
        <v>46292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23273-2026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46162</v>
      </c>
      <c r="E1422" s="1" t="n">
        <v>46292</v>
      </c>
      <c r="F1422" t="inlineStr">
        <is>
          <t>GÄVLEBORGS LÄN</t>
        </is>
      </c>
      <c r="G1422" t="inlineStr">
        <is>
          <t>BOLLNÄS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46162</v>
      </c>
      <c r="E1423" s="1" t="n">
        <v>46292</v>
      </c>
      <c r="F1423" t="inlineStr">
        <is>
          <t>GÄVLEBORGS LÄN</t>
        </is>
      </c>
      <c r="G1423" t="inlineStr">
        <is>
          <t>BOLLNÄS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23703-2026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46164</v>
      </c>
      <c r="E1424" s="1" t="n">
        <v>46292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23256-2026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46162</v>
      </c>
      <c r="E1425" s="1" t="n">
        <v>46292</v>
      </c>
      <c r="F1425" t="inlineStr">
        <is>
          <t>GÄVLEBORGS LÄN</t>
        </is>
      </c>
      <c r="G1425" t="inlineStr">
        <is>
          <t>BOLLNÄS</t>
        </is>
      </c>
      <c r="I1425" t="n">
        <v>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23375-2024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45453</v>
      </c>
      <c r="E1426" s="1" t="n">
        <v>46292</v>
      </c>
      <c r="F1426" t="inlineStr">
        <is>
          <t>GÄVLEBORGS LÄN</t>
        </is>
      </c>
      <c r="G1426" t="inlineStr">
        <is>
          <t>BOLLNÄS</t>
        </is>
      </c>
      <c r="I1426" t="n">
        <v>3.5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23206-2026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46162</v>
      </c>
      <c r="E1427" s="1" t="n">
        <v>46292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23272-2026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46162</v>
      </c>
      <c r="E1428" s="1" t="n">
        <v>46292</v>
      </c>
      <c r="F1428" t="inlineStr">
        <is>
          <t>GÄVLEBORGS LÄN</t>
        </is>
      </c>
      <c r="G1428" t="inlineStr">
        <is>
          <t>BOLLNÄS</t>
        </is>
      </c>
      <c r="I1428" t="n">
        <v>6.7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34224-2025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45845</v>
      </c>
      <c r="E1429" s="1" t="n">
        <v>46292</v>
      </c>
      <c r="F1429" t="inlineStr">
        <is>
          <t>GÄVLEBORGS LÄN</t>
        </is>
      </c>
      <c r="G1429" t="inlineStr">
        <is>
          <t>BOLLNÄS</t>
        </is>
      </c>
      <c r="I1429" t="n">
        <v>2.6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34239-2025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45845</v>
      </c>
      <c r="E1430" s="1" t="n">
        <v>46292</v>
      </c>
      <c r="F1430" t="inlineStr">
        <is>
          <t>GÄVLEBORGS LÄN</t>
        </is>
      </c>
      <c r="G1430" t="inlineStr">
        <is>
          <t>BOLLNÄS</t>
        </is>
      </c>
      <c r="I1430" t="n">
        <v>4.7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23719-2026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46164</v>
      </c>
      <c r="E1431" s="1" t="n">
        <v>46292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29769-2023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45107</v>
      </c>
      <c r="E1432" s="1" t="n">
        <v>46292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34233-2025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45845</v>
      </c>
      <c r="E1433" s="1" t="n">
        <v>46292</v>
      </c>
      <c r="F1433" t="inlineStr">
        <is>
          <t>GÄVLEBORGS LÄN</t>
        </is>
      </c>
      <c r="G1433" t="inlineStr">
        <is>
          <t>BOLLNÄS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23664-2026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46164</v>
      </c>
      <c r="E1434" s="1" t="n">
        <v>46292</v>
      </c>
      <c r="F1434" t="inlineStr">
        <is>
          <t>GÄVLEBORGS LÄN</t>
        </is>
      </c>
      <c r="G1434" t="inlineStr">
        <is>
          <t>BOLLNÄS</t>
        </is>
      </c>
      <c r="I1434" t="n">
        <v>6.3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23594-2026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46292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20690-2026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46141</v>
      </c>
      <c r="E1436" s="1" t="n">
        <v>46292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5.2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56208-2023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45240</v>
      </c>
      <c r="E1437" s="1" t="n">
        <v>46292</v>
      </c>
      <c r="F1437" t="inlineStr">
        <is>
          <t>GÄVLEBORGS LÄN</t>
        </is>
      </c>
      <c r="G1437" t="inlineStr">
        <is>
          <t>BOLLNÄS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58279-2025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45985</v>
      </c>
      <c r="E1438" s="1" t="n">
        <v>46292</v>
      </c>
      <c r="F1438" t="inlineStr">
        <is>
          <t>GÄVLEBORGS LÄN</t>
        </is>
      </c>
      <c r="G1438" t="inlineStr">
        <is>
          <t>BOLLNÄS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34553-2025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45847</v>
      </c>
      <c r="E1439" s="1" t="n">
        <v>46292</v>
      </c>
      <c r="F1439" t="inlineStr">
        <is>
          <t>GÄVLEBORGS LÄN</t>
        </is>
      </c>
      <c r="G1439" t="inlineStr">
        <is>
          <t>BOLLNÄS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12005-2026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46085</v>
      </c>
      <c r="E1440" s="1" t="n">
        <v>46292</v>
      </c>
      <c r="F1440" t="inlineStr">
        <is>
          <t>GÄVLEBORGS LÄN</t>
        </is>
      </c>
      <c r="G1440" t="inlineStr">
        <is>
          <t>BOLLNÄS</t>
        </is>
      </c>
      <c r="I1440" t="n">
        <v>5.6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18664-2026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46128</v>
      </c>
      <c r="E1441" s="1" t="n">
        <v>46292</v>
      </c>
      <c r="F1441" t="inlineStr">
        <is>
          <t>GÄVLEBORGS LÄN</t>
        </is>
      </c>
      <c r="G1441" t="inlineStr">
        <is>
          <t>BOLLNÄS</t>
        </is>
      </c>
      <c r="I1441" t="n">
        <v>7.9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34688-2025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45848</v>
      </c>
      <c r="E1442" s="1" t="n">
        <v>46292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Holmen skog AB</t>
        </is>
      </c>
      <c r="I1442" t="n">
        <v>32.6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24039-2026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46167</v>
      </c>
      <c r="E1443" s="1" t="n">
        <v>46292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27.5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23891-2026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46292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10077-2026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46073</v>
      </c>
      <c r="E1445" s="1" t="n">
        <v>46292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10620-2026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46077</v>
      </c>
      <c r="E1446" s="1" t="n">
        <v>46292</v>
      </c>
      <c r="F1446" t="inlineStr">
        <is>
          <t>GÄVLEBORGS LÄN</t>
        </is>
      </c>
      <c r="G1446" t="inlineStr">
        <is>
          <t>BOLLNÄS</t>
        </is>
      </c>
      <c r="I1446" t="n">
        <v>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12275-2026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46087</v>
      </c>
      <c r="E1447" s="1" t="n">
        <v>46292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16061-2026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46108</v>
      </c>
      <c r="E1448" s="1" t="n">
        <v>46292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24034-2026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46292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24081-2026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46168</v>
      </c>
      <c r="E1450" s="1" t="n">
        <v>46292</v>
      </c>
      <c r="F1450" t="inlineStr">
        <is>
          <t>GÄVLEBORGS LÄN</t>
        </is>
      </c>
      <c r="G1450" t="inlineStr">
        <is>
          <t>BOLLNÄS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34481-2025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45847</v>
      </c>
      <c r="E1451" s="1" t="n">
        <v>46292</v>
      </c>
      <c r="F1451" t="inlineStr">
        <is>
          <t>GÄVLEBORGS LÄN</t>
        </is>
      </c>
      <c r="G1451" t="inlineStr">
        <is>
          <t>BOLLNÄS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46135</v>
      </c>
      <c r="E1452" s="1" t="n">
        <v>46292</v>
      </c>
      <c r="F1452" t="inlineStr">
        <is>
          <t>GÄVLEBORGS LÄN</t>
        </is>
      </c>
      <c r="G1452" t="inlineStr">
        <is>
          <t>BOLLNÄS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22193-2026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46292</v>
      </c>
      <c r="F1453" t="inlineStr">
        <is>
          <t>GÄVLEBORGS LÄN</t>
        </is>
      </c>
      <c r="G1453" t="inlineStr">
        <is>
          <t>BOLLNÄS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23881-2026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46292</v>
      </c>
      <c r="F1454" t="inlineStr">
        <is>
          <t>GÄVLEBORGS LÄN</t>
        </is>
      </c>
      <c r="G1454" t="inlineStr">
        <is>
          <t>BOLLNÄS</t>
        </is>
      </c>
      <c r="I1454" t="n">
        <v>5.9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35095-2025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45852</v>
      </c>
      <c r="E1455" s="1" t="n">
        <v>46292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63953-2025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46020</v>
      </c>
      <c r="E1456" s="1" t="n">
        <v>46292</v>
      </c>
      <c r="F1456" t="inlineStr">
        <is>
          <t>GÄVLEBORGS LÄN</t>
        </is>
      </c>
      <c r="G1456" t="inlineStr">
        <is>
          <t>BOLLNÄS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24076-2026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46168</v>
      </c>
      <c r="E1457" s="1" t="n">
        <v>46292</v>
      </c>
      <c r="F1457" t="inlineStr">
        <is>
          <t>GÄVLEBORGS LÄN</t>
        </is>
      </c>
      <c r="G1457" t="inlineStr">
        <is>
          <t>BOLLNÄS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46292</v>
      </c>
      <c r="F1458" t="inlineStr">
        <is>
          <t>GÄVLEBORGS LÄN</t>
        </is>
      </c>
      <c r="G1458" t="inlineStr">
        <is>
          <t>BOLLNÄS</t>
        </is>
      </c>
      <c r="I1458" t="n">
        <v>7.9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23856-2026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46167</v>
      </c>
      <c r="E1459" s="1" t="n">
        <v>46292</v>
      </c>
      <c r="F1459" t="inlineStr">
        <is>
          <t>GÄVLEBORGS LÄN</t>
        </is>
      </c>
      <c r="G1459" t="inlineStr">
        <is>
          <t>BOLLNÄS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23857-2026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46167</v>
      </c>
      <c r="E1460" s="1" t="n">
        <v>46292</v>
      </c>
      <c r="F1460" t="inlineStr">
        <is>
          <t>GÄVLEBORGS LÄN</t>
        </is>
      </c>
      <c r="G1460" t="inlineStr">
        <is>
          <t>BOLLNÄS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14521-2026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46100</v>
      </c>
      <c r="E1461" s="1" t="n">
        <v>46292</v>
      </c>
      <c r="F1461" t="inlineStr">
        <is>
          <t>GÄVLEBORGS LÄN</t>
        </is>
      </c>
      <c r="G1461" t="inlineStr">
        <is>
          <t>BOLLNÄS</t>
        </is>
      </c>
      <c r="I1461" t="n">
        <v>9.6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24136-2026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46292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9403-2026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46071</v>
      </c>
      <c r="E1463" s="1" t="n">
        <v>46292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46052</v>
      </c>
      <c r="E1464" s="1" t="n">
        <v>46292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22310-2026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46154</v>
      </c>
      <c r="E1465" s="1" t="n">
        <v>46292</v>
      </c>
      <c r="F1465" t="inlineStr">
        <is>
          <t>GÄVLEBORGS LÄN</t>
        </is>
      </c>
      <c r="G1465" t="inlineStr">
        <is>
          <t>BOLLNÄS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7067-2026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46292</v>
      </c>
      <c r="F1466" t="inlineStr">
        <is>
          <t>GÄVLEBORGS LÄN</t>
        </is>
      </c>
      <c r="G1466" t="inlineStr">
        <is>
          <t>BOLLNÄS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16051-2026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46108</v>
      </c>
      <c r="E1467" s="1" t="n">
        <v>46292</v>
      </c>
      <c r="F1467" t="inlineStr">
        <is>
          <t>GÄVLEBORGS LÄN</t>
        </is>
      </c>
      <c r="G1467" t="inlineStr">
        <is>
          <t>BOLLNÄS</t>
        </is>
      </c>
      <c r="I1467" t="n">
        <v>14.9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24083-2026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46168</v>
      </c>
      <c r="E1468" s="1" t="n">
        <v>46292</v>
      </c>
      <c r="F1468" t="inlineStr">
        <is>
          <t>GÄVLEBORGS LÄN</t>
        </is>
      </c>
      <c r="G1468" t="inlineStr">
        <is>
          <t>BOLLNÄS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9816-2026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46292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46292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7609-2026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46062</v>
      </c>
      <c r="E1471" s="1" t="n">
        <v>46292</v>
      </c>
      <c r="F1471" t="inlineStr">
        <is>
          <t>GÄVLEBORGS LÄN</t>
        </is>
      </c>
      <c r="G1471" t="inlineStr">
        <is>
          <t>BOLLNÄS</t>
        </is>
      </c>
      <c r="I1471" t="n">
        <v>4.9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9758-2026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46072</v>
      </c>
      <c r="E1472" s="1" t="n">
        <v>46292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Sveaskog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24231-2026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46292</v>
      </c>
      <c r="F1473" t="inlineStr">
        <is>
          <t>GÄVLEBORGS LÄN</t>
        </is>
      </c>
      <c r="G1473" t="inlineStr">
        <is>
          <t>BOLLNÄS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46078</v>
      </c>
      <c r="E1474" s="1" t="n">
        <v>46292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8308-2024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45352</v>
      </c>
      <c r="E1475" s="1" t="n">
        <v>46292</v>
      </c>
      <c r="F1475" t="inlineStr">
        <is>
          <t>GÄVLEBORGS LÄN</t>
        </is>
      </c>
      <c r="G1475" t="inlineStr">
        <is>
          <t>BOLLNÄS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19153-2026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46132</v>
      </c>
      <c r="E1476" s="1" t="n">
        <v>46292</v>
      </c>
      <c r="F1476" t="inlineStr">
        <is>
          <t>GÄVLEBORGS LÄN</t>
        </is>
      </c>
      <c r="G1476" t="inlineStr">
        <is>
          <t>BOLLNÄS</t>
        </is>
      </c>
      <c r="I1476" t="n">
        <v>10.2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16627-2025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45754</v>
      </c>
      <c r="E1477" s="1" t="n">
        <v>46292</v>
      </c>
      <c r="F1477" t="inlineStr">
        <is>
          <t>GÄVLEBORGS LÄN</t>
        </is>
      </c>
      <c r="G1477" t="inlineStr">
        <is>
          <t>BOLLNÄS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17648-2026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46121</v>
      </c>
      <c r="E1478" s="1" t="n">
        <v>46292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9262-2024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45358</v>
      </c>
      <c r="E1479" s="1" t="n">
        <v>46292</v>
      </c>
      <c r="F1479" t="inlineStr">
        <is>
          <t>GÄVLEBORGS LÄN</t>
        </is>
      </c>
      <c r="G1479" t="inlineStr">
        <is>
          <t>BOLLNÄS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14811-2026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46104</v>
      </c>
      <c r="E1480" s="1" t="n">
        <v>46292</v>
      </c>
      <c r="F1480" t="inlineStr">
        <is>
          <t>GÄVLEBORGS LÄN</t>
        </is>
      </c>
      <c r="G1480" t="inlineStr">
        <is>
          <t>BOLLNÄS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46292</v>
      </c>
      <c r="F1481" t="inlineStr">
        <is>
          <t>GÄVLEBORGS LÄN</t>
        </is>
      </c>
      <c r="G1481" t="inlineStr">
        <is>
          <t>BOLLNÄS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24743-2026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46292</v>
      </c>
      <c r="F1482" t="inlineStr">
        <is>
          <t>GÄVLEBORGS LÄN</t>
        </is>
      </c>
      <c r="G1482" t="inlineStr">
        <is>
          <t>BOLLNÄS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16423-2026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46111</v>
      </c>
      <c r="E1483" s="1" t="n">
        <v>46292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öst AB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24749-2026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46292</v>
      </c>
      <c r="F1484" t="inlineStr">
        <is>
          <t>GÄVLEBORGS LÄN</t>
        </is>
      </c>
      <c r="G1484" t="inlineStr">
        <is>
          <t>BOLLNÄS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9341-2026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46070</v>
      </c>
      <c r="E1485" s="1" t="n">
        <v>46292</v>
      </c>
      <c r="F1485" t="inlineStr">
        <is>
          <t>GÄVLEBORGS LÄN</t>
        </is>
      </c>
      <c r="G1485" t="inlineStr">
        <is>
          <t>BOLLNÄS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29773-2023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45107</v>
      </c>
      <c r="E1486" s="1" t="n">
        <v>46292</v>
      </c>
      <c r="F1486" t="inlineStr">
        <is>
          <t>GÄVLEBORGS LÄN</t>
        </is>
      </c>
      <c r="G1486" t="inlineStr">
        <is>
          <t>BOLLNÄS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24461-2026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46170</v>
      </c>
      <c r="E1487" s="1" t="n">
        <v>46292</v>
      </c>
      <c r="F1487" t="inlineStr">
        <is>
          <t>GÄVLEBORGS LÄN</t>
        </is>
      </c>
      <c r="G1487" t="inlineStr">
        <is>
          <t>BOLLNÄS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9187-2026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46070</v>
      </c>
      <c r="E1488" s="1" t="n">
        <v>46292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24658-2026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46171</v>
      </c>
      <c r="E1489" s="1" t="n">
        <v>46292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35181-2023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45145</v>
      </c>
      <c r="E1490" s="1" t="n">
        <v>46292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Holmen skog AB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2611-2022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44580</v>
      </c>
      <c r="E1491" s="1" t="n">
        <v>46292</v>
      </c>
      <c r="F1491" t="inlineStr">
        <is>
          <t>GÄVLEBORGS LÄN</t>
        </is>
      </c>
      <c r="G1491" t="inlineStr">
        <is>
          <t>BOLLNÄS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23939-2026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46292</v>
      </c>
      <c r="F1492" t="inlineStr">
        <is>
          <t>GÄVLEBORGS LÄN</t>
        </is>
      </c>
      <c r="G1492" t="inlineStr">
        <is>
          <t>BOLLNÄS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24748-2026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46171</v>
      </c>
      <c r="E1493" s="1" t="n">
        <v>46292</v>
      </c>
      <c r="F1493" t="inlineStr">
        <is>
          <t>GÄVLEBORGS LÄN</t>
        </is>
      </c>
      <c r="G1493" t="inlineStr">
        <is>
          <t>BOLLNÄS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24751-2026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46171</v>
      </c>
      <c r="E1494" s="1" t="n">
        <v>46292</v>
      </c>
      <c r="F1494" t="inlineStr">
        <is>
          <t>GÄVLEBORGS LÄN</t>
        </is>
      </c>
      <c r="G1494" t="inlineStr">
        <is>
          <t>BOLLNÄS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8497-2026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46065</v>
      </c>
      <c r="E1495" s="1" t="n">
        <v>46292</v>
      </c>
      <c r="F1495" t="inlineStr">
        <is>
          <t>GÄVLEBORGS LÄN</t>
        </is>
      </c>
      <c r="G1495" t="inlineStr">
        <is>
          <t>BOLLNÄS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46292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8130-2026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46064</v>
      </c>
      <c r="E1497" s="1" t="n">
        <v>46292</v>
      </c>
      <c r="F1497" t="inlineStr">
        <is>
          <t>GÄVLEBORGS LÄN</t>
        </is>
      </c>
      <c r="G1497" t="inlineStr">
        <is>
          <t>BOLLNÄS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36061-2023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45149</v>
      </c>
      <c r="E1498" s="1" t="n">
        <v>46292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24652-2026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46171</v>
      </c>
      <c r="E1499" s="1" t="n">
        <v>46292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38937-2023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45163</v>
      </c>
      <c r="E1500" s="1" t="n">
        <v>46292</v>
      </c>
      <c r="F1500" t="inlineStr">
        <is>
          <t>GÄVLEBORGS LÄN</t>
        </is>
      </c>
      <c r="G1500" t="inlineStr">
        <is>
          <t>BOLLNÄS</t>
        </is>
      </c>
      <c r="I1500" t="n">
        <v>5.1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24747-2026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46171</v>
      </c>
      <c r="E1501" s="1" t="n">
        <v>46292</v>
      </c>
      <c r="F1501" t="inlineStr">
        <is>
          <t>GÄVLEBORGS LÄN</t>
        </is>
      </c>
      <c r="G1501" t="inlineStr">
        <is>
          <t>BOLLNÄS</t>
        </is>
      </c>
      <c r="I1501" t="n">
        <v>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24753-2026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46292</v>
      </c>
      <c r="F1502" t="inlineStr">
        <is>
          <t>GÄVLEBORGS LÄN</t>
        </is>
      </c>
      <c r="G1502" t="inlineStr">
        <is>
          <t>BOLLNÄS</t>
        </is>
      </c>
      <c r="I1502" t="n">
        <v>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19643-2026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46134</v>
      </c>
      <c r="E1503" s="1" t="n">
        <v>46292</v>
      </c>
      <c r="F1503" t="inlineStr">
        <is>
          <t>GÄVLEBORGS LÄN</t>
        </is>
      </c>
      <c r="G1503" t="inlineStr">
        <is>
          <t>BOLLNÄS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46041</v>
      </c>
      <c r="E1504" s="1" t="n">
        <v>46292</v>
      </c>
      <c r="F1504" t="inlineStr">
        <is>
          <t>GÄVLEBORGS LÄN</t>
        </is>
      </c>
      <c r="G1504" t="inlineStr">
        <is>
          <t>BOLLNÄS</t>
        </is>
      </c>
      <c r="I1504" t="n">
        <v>2.6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19861-2026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46135</v>
      </c>
      <c r="E1505" s="1" t="n">
        <v>46292</v>
      </c>
      <c r="F1505" t="inlineStr">
        <is>
          <t>GÄVLEBORGS LÄN</t>
        </is>
      </c>
      <c r="G1505" t="inlineStr">
        <is>
          <t>BOLLNÄS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25204-2026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46175</v>
      </c>
      <c r="E1506" s="1" t="n">
        <v>46292</v>
      </c>
      <c r="F1506" t="inlineStr">
        <is>
          <t>GÄVLEBORGS LÄN</t>
        </is>
      </c>
      <c r="G1506" t="inlineStr">
        <is>
          <t>BOLLNÄS</t>
        </is>
      </c>
      <c r="I1506" t="n">
        <v>10.1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24953-2026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46174</v>
      </c>
      <c r="E1507" s="1" t="n">
        <v>46292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Kommuner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36228-2025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45867</v>
      </c>
      <c r="E1508" s="1" t="n">
        <v>46292</v>
      </c>
      <c r="F1508" t="inlineStr">
        <is>
          <t>GÄVLEBORGS LÄN</t>
        </is>
      </c>
      <c r="G1508" t="inlineStr">
        <is>
          <t>BOLLNÄS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24885-2026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46174</v>
      </c>
      <c r="E1509" s="1" t="n">
        <v>46292</v>
      </c>
      <c r="F1509" t="inlineStr">
        <is>
          <t>GÄVLEBORGS LÄN</t>
        </is>
      </c>
      <c r="G1509" t="inlineStr">
        <is>
          <t>BOLLNÄS</t>
        </is>
      </c>
      <c r="I1509" t="n">
        <v>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46292</v>
      </c>
      <c r="F1510" t="inlineStr">
        <is>
          <t>GÄVLEBORGS LÄN</t>
        </is>
      </c>
      <c r="G1510" t="inlineStr">
        <is>
          <t>BOLLNÄS</t>
        </is>
      </c>
      <c r="I1510" t="n">
        <v>3.4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36234-2025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45867</v>
      </c>
      <c r="E1511" s="1" t="n">
        <v>46292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36265-2025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45867</v>
      </c>
      <c r="E1512" s="1" t="n">
        <v>46292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24925-2026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46174</v>
      </c>
      <c r="E1513" s="1" t="n">
        <v>46292</v>
      </c>
      <c r="F1513" t="inlineStr">
        <is>
          <t>GÄVLEBORGS LÄN</t>
        </is>
      </c>
      <c r="G1513" t="inlineStr">
        <is>
          <t>BOLLNÄS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24897-2026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46292</v>
      </c>
      <c r="F1514" t="inlineStr">
        <is>
          <t>GÄVLEBORGS LÄN</t>
        </is>
      </c>
      <c r="G1514" t="inlineStr">
        <is>
          <t>BOLLNÄS</t>
        </is>
      </c>
      <c r="I1514" t="n">
        <v>9.9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15834-2026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46107</v>
      </c>
      <c r="E1515" s="1" t="n">
        <v>46292</v>
      </c>
      <c r="F1515" t="inlineStr">
        <is>
          <t>GÄVLEBORGS LÄN</t>
        </is>
      </c>
      <c r="G1515" t="inlineStr">
        <is>
          <t>BOLLNÄS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25209-2026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46175</v>
      </c>
      <c r="E1516" s="1" t="n">
        <v>46292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46177</v>
      </c>
      <c r="E1517" s="1" t="n">
        <v>46292</v>
      </c>
      <c r="F1517" t="inlineStr">
        <is>
          <t>GÄVLEBORGS LÄN</t>
        </is>
      </c>
      <c r="G1517" t="inlineStr">
        <is>
          <t>BOLLNÄS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25561-2026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46177</v>
      </c>
      <c r="E1518" s="1" t="n">
        <v>46292</v>
      </c>
      <c r="F1518" t="inlineStr">
        <is>
          <t>GÄVLEBORGS LÄN</t>
        </is>
      </c>
      <c r="G1518" t="inlineStr">
        <is>
          <t>BOLLNÄS</t>
        </is>
      </c>
      <c r="I1518" t="n">
        <v>21.8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16391-2026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46111</v>
      </c>
      <c r="E1519" s="1" t="n">
        <v>46292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25474-2026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46177</v>
      </c>
      <c r="E1520" s="1" t="n">
        <v>46292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21629-2026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46292</v>
      </c>
      <c r="F1521" t="inlineStr">
        <is>
          <t>GÄVLEBORGS LÄN</t>
        </is>
      </c>
      <c r="G1521" t="inlineStr">
        <is>
          <t>BOLLNÄS</t>
        </is>
      </c>
      <c r="I1521" t="n">
        <v>5.9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18311-2025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45762</v>
      </c>
      <c r="E1522" s="1" t="n">
        <v>46292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20086-2026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46292</v>
      </c>
      <c r="F1523" t="inlineStr">
        <is>
          <t>GÄVLEBORGS LÄN</t>
        </is>
      </c>
      <c r="G1523" t="inlineStr">
        <is>
          <t>BOLLNÄS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36058-2023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45149</v>
      </c>
      <c r="E1524" s="1" t="n">
        <v>46292</v>
      </c>
      <c r="F1524" t="inlineStr">
        <is>
          <t>GÄVLEBORGS LÄN</t>
        </is>
      </c>
      <c r="G1524" t="inlineStr">
        <is>
          <t>BOLLNÄS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25269-2026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46176</v>
      </c>
      <c r="E1525" s="1" t="n">
        <v>46292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20228-2026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46139</v>
      </c>
      <c r="E1526" s="1" t="n">
        <v>46292</v>
      </c>
      <c r="F1526" t="inlineStr">
        <is>
          <t>GÄVLEBORGS LÄN</t>
        </is>
      </c>
      <c r="G1526" t="inlineStr">
        <is>
          <t>BOLLNÄS</t>
        </is>
      </c>
      <c r="I1526" t="n">
        <v>13.5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25449-2026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46177</v>
      </c>
      <c r="E1527" s="1" t="n">
        <v>46292</v>
      </c>
      <c r="F1527" t="inlineStr">
        <is>
          <t>GÄVLEBORGS LÄN</t>
        </is>
      </c>
      <c r="G1527" t="inlineStr">
        <is>
          <t>BOLLNÄS</t>
        </is>
      </c>
      <c r="I1527" t="n">
        <v>7.5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71678-2021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44543</v>
      </c>
      <c r="E1528" s="1" t="n">
        <v>46292</v>
      </c>
      <c r="F1528" t="inlineStr">
        <is>
          <t>GÄVLEBORGS LÄN</t>
        </is>
      </c>
      <c r="G1528" t="inlineStr">
        <is>
          <t>BOLLNÄS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21643-2026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46149</v>
      </c>
      <c r="E1529" s="1" t="n">
        <v>46292</v>
      </c>
      <c r="F1529" t="inlineStr">
        <is>
          <t>GÄVLEBORGS LÄN</t>
        </is>
      </c>
      <c r="G1529" t="inlineStr">
        <is>
          <t>BOLLNÄS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12181-2025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45729</v>
      </c>
      <c r="E1530" s="1" t="n">
        <v>46292</v>
      </c>
      <c r="F1530" t="inlineStr">
        <is>
          <t>GÄVLEBORGS LÄN</t>
        </is>
      </c>
      <c r="G1530" t="inlineStr">
        <is>
          <t>BOLLNÄS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21565-2026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46292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10213-2026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46076</v>
      </c>
      <c r="E1532" s="1" t="n">
        <v>46292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3.6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25497-2026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46177</v>
      </c>
      <c r="E1533" s="1" t="n">
        <v>46292</v>
      </c>
      <c r="F1533" t="inlineStr">
        <is>
          <t>GÄVLEBORGS LÄN</t>
        </is>
      </c>
      <c r="G1533" t="inlineStr">
        <is>
          <t>BOLLNÄS</t>
        </is>
      </c>
      <c r="I1533" t="n">
        <v>6.5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22178-2026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46153</v>
      </c>
      <c r="E1534" s="1" t="n">
        <v>46292</v>
      </c>
      <c r="F1534" t="inlineStr">
        <is>
          <t>GÄVLEBORGS LÄN</t>
        </is>
      </c>
      <c r="G1534" t="inlineStr">
        <is>
          <t>BOLLNÄS</t>
        </is>
      </c>
      <c r="I1534" t="n">
        <v>9.6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26069-2026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46181</v>
      </c>
      <c r="E1535" s="1" t="n">
        <v>46292</v>
      </c>
      <c r="F1535" t="inlineStr">
        <is>
          <t>GÄVLEBORGS LÄN</t>
        </is>
      </c>
      <c r="G1535" t="inlineStr">
        <is>
          <t>BOLLNÄS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36482-2025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45869</v>
      </c>
      <c r="E1536" s="1" t="n">
        <v>46292</v>
      </c>
      <c r="F1536" t="inlineStr">
        <is>
          <t>GÄVLEBORGS LÄN</t>
        </is>
      </c>
      <c r="G1536" t="inlineStr">
        <is>
          <t>BOLLNÄS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21700-2026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46292</v>
      </c>
      <c r="F1537" t="inlineStr">
        <is>
          <t>GÄVLEBORGS LÄN</t>
        </is>
      </c>
      <c r="G1537" t="inlineStr">
        <is>
          <t>BOLLNÄS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21790-2026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46150</v>
      </c>
      <c r="E1538" s="1" t="n">
        <v>46292</v>
      </c>
      <c r="F1538" t="inlineStr">
        <is>
          <t>GÄVLEBORGS LÄN</t>
        </is>
      </c>
      <c r="G1538" t="inlineStr">
        <is>
          <t>BOLLNÄS</t>
        </is>
      </c>
      <c r="I1538" t="n">
        <v>4.1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26039-2026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46181</v>
      </c>
      <c r="E1539" s="1" t="n">
        <v>46292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26068-2026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46181</v>
      </c>
      <c r="E1540" s="1" t="n">
        <v>46292</v>
      </c>
      <c r="F1540" t="inlineStr">
        <is>
          <t>GÄVLEBORGS LÄN</t>
        </is>
      </c>
      <c r="G1540" t="inlineStr">
        <is>
          <t>BOLLNÄS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21675-2026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46149</v>
      </c>
      <c r="E1541" s="1" t="n">
        <v>46292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25177-2023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45086</v>
      </c>
      <c r="E1542" s="1" t="n">
        <v>46292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Sveaskog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5262-2025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45692</v>
      </c>
      <c r="E1543" s="1" t="n">
        <v>46292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24994-2024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45461</v>
      </c>
      <c r="E1544" s="1" t="n">
        <v>46292</v>
      </c>
      <c r="F1544" t="inlineStr">
        <is>
          <t>GÄVLEBORGS LÄN</t>
        </is>
      </c>
      <c r="G1544" t="inlineStr">
        <is>
          <t>BOLLNÄS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26041-2026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46181</v>
      </c>
      <c r="E1545" s="1" t="n">
        <v>46292</v>
      </c>
      <c r="F1545" t="inlineStr">
        <is>
          <t>GÄVLEBORGS LÄN</t>
        </is>
      </c>
      <c r="G1545" t="inlineStr">
        <is>
          <t>BOLLNÄS</t>
        </is>
      </c>
      <c r="I1545" t="n">
        <v>6.4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21682-2026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46292</v>
      </c>
      <c r="F1546" t="inlineStr">
        <is>
          <t>GÄVLEBORGS LÄN</t>
        </is>
      </c>
      <c r="G1546" t="inlineStr">
        <is>
          <t>BOLLNÄS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26065-2026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46181</v>
      </c>
      <c r="E1547" s="1" t="n">
        <v>46292</v>
      </c>
      <c r="F1547" t="inlineStr">
        <is>
          <t>GÄVLEBORGS LÄN</t>
        </is>
      </c>
      <c r="G1547" t="inlineStr">
        <is>
          <t>BOLLNÄS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26066-2026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46181</v>
      </c>
      <c r="E1548" s="1" t="n">
        <v>46292</v>
      </c>
      <c r="F1548" t="inlineStr">
        <is>
          <t>GÄVLEBORGS LÄN</t>
        </is>
      </c>
      <c r="G1548" t="inlineStr">
        <is>
          <t>BOLLNÄS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60428-2024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45643</v>
      </c>
      <c r="E1549" s="1" t="n">
        <v>46292</v>
      </c>
      <c r="F1549" t="inlineStr">
        <is>
          <t>GÄVLEBORGS LÄN</t>
        </is>
      </c>
      <c r="G1549" t="inlineStr">
        <is>
          <t>BOLLNÄS</t>
        </is>
      </c>
      <c r="I1549" t="n">
        <v>5.5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26247-2026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46182</v>
      </c>
      <c r="E1550" s="1" t="n">
        <v>46292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45583</v>
      </c>
      <c r="E1551" s="1" t="n">
        <v>46292</v>
      </c>
      <c r="F1551" t="inlineStr">
        <is>
          <t>GÄVLEBORGS LÄN</t>
        </is>
      </c>
      <c r="G1551" t="inlineStr">
        <is>
          <t>BOLLNÄS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46182</v>
      </c>
      <c r="E1552" s="1" t="n">
        <v>46292</v>
      </c>
      <c r="F1552" t="inlineStr">
        <is>
          <t>GÄVLEBORGS LÄN</t>
        </is>
      </c>
      <c r="G1552" t="inlineStr">
        <is>
          <t>BOLLNÄS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18614-2023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45043</v>
      </c>
      <c r="E1553" s="1" t="n">
        <v>46292</v>
      </c>
      <c r="F1553" t="inlineStr">
        <is>
          <t>GÄVLEBORGS LÄN</t>
        </is>
      </c>
      <c r="G1553" t="inlineStr">
        <is>
          <t>BOLLNÄS</t>
        </is>
      </c>
      <c r="I1553" t="n">
        <v>5.4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26558-2026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46183</v>
      </c>
      <c r="E1554" s="1" t="n">
        <v>46292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26231-2026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46182</v>
      </c>
      <c r="E1555" s="1" t="n">
        <v>46292</v>
      </c>
      <c r="F1555" t="inlineStr">
        <is>
          <t>GÄVLEBORGS LÄN</t>
        </is>
      </c>
      <c r="G1555" t="inlineStr">
        <is>
          <t>BOLLNÄS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26194-2026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46292</v>
      </c>
      <c r="F1556" t="inlineStr">
        <is>
          <t>GÄVLEBORGS LÄN</t>
        </is>
      </c>
      <c r="G1556" t="inlineStr">
        <is>
          <t>BOLLNÄS</t>
        </is>
      </c>
      <c r="I1556" t="n">
        <v>5.5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26214-2026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46182</v>
      </c>
      <c r="E1557" s="1" t="n">
        <v>46292</v>
      </c>
      <c r="F1557" t="inlineStr">
        <is>
          <t>GÄVLEBORGS LÄN</t>
        </is>
      </c>
      <c r="G1557" t="inlineStr">
        <is>
          <t>BOLLNÄS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26909-2026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46185</v>
      </c>
      <c r="E1558" s="1" t="n">
        <v>46292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26910-2026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46185</v>
      </c>
      <c r="E1559" s="1" t="n">
        <v>46292</v>
      </c>
      <c r="F1559" t="inlineStr">
        <is>
          <t>GÄVLEBORGS LÄN</t>
        </is>
      </c>
      <c r="G1559" t="inlineStr">
        <is>
          <t>BOLLNÄS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22010-2024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45443</v>
      </c>
      <c r="E1560" s="1" t="n">
        <v>46292</v>
      </c>
      <c r="F1560" t="inlineStr">
        <is>
          <t>GÄVLEBORGS LÄN</t>
        </is>
      </c>
      <c r="G1560" t="inlineStr">
        <is>
          <t>BOLLNÄS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46184</v>
      </c>
      <c r="E1561" s="1" t="n">
        <v>46292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46185</v>
      </c>
      <c r="E1562" s="1" t="n">
        <v>46292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26695-2026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46184</v>
      </c>
      <c r="E1563" s="1" t="n">
        <v>46292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8.300000000000001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46184</v>
      </c>
      <c r="E1564" s="1" t="n">
        <v>46292</v>
      </c>
      <c r="F1564" t="inlineStr">
        <is>
          <t>GÄVLEBORGS LÄN</t>
        </is>
      </c>
      <c r="G1564" t="inlineStr">
        <is>
          <t>BOLLNÄS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26892-2026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46185</v>
      </c>
      <c r="E1565" s="1" t="n">
        <v>46292</v>
      </c>
      <c r="F1565" t="inlineStr">
        <is>
          <t>GÄVLEBORGS LÄN</t>
        </is>
      </c>
      <c r="G1565" t="inlineStr">
        <is>
          <t>BOLLNÄS</t>
        </is>
      </c>
      <c r="I1565" t="n">
        <v>9.800000000000001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69613-2021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44532</v>
      </c>
      <c r="E1566" s="1" t="n">
        <v>46292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26526-2026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46183</v>
      </c>
      <c r="E1567" s="1" t="n">
        <v>46292</v>
      </c>
      <c r="F1567" t="inlineStr">
        <is>
          <t>GÄVLEBORGS LÄN</t>
        </is>
      </c>
      <c r="G1567" t="inlineStr">
        <is>
          <t>BOLLNÄS</t>
        </is>
      </c>
      <c r="I1567" t="n">
        <v>4.6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26610-2026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46184</v>
      </c>
      <c r="E1568" s="1" t="n">
        <v>46292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Kyrkan</t>
        </is>
      </c>
      <c r="I1568" t="n">
        <v>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60956-2022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44914</v>
      </c>
      <c r="E1569" s="1" t="n">
        <v>46292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46292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26729-2026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46184</v>
      </c>
      <c r="E1571" s="1" t="n">
        <v>46292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26977-2026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46185</v>
      </c>
      <c r="E1572" s="1" t="n">
        <v>46292</v>
      </c>
      <c r="F1572" t="inlineStr">
        <is>
          <t>GÄVLEBORGS LÄN</t>
        </is>
      </c>
      <c r="G1572" t="inlineStr">
        <is>
          <t>BOLLNÄS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26981-2026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46185</v>
      </c>
      <c r="E1573" s="1" t="n">
        <v>46292</v>
      </c>
      <c r="F1573" t="inlineStr">
        <is>
          <t>GÄVLEBORGS LÄN</t>
        </is>
      </c>
      <c r="G1573" t="inlineStr">
        <is>
          <t>BOLLNÄS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46292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26891-2026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46292</v>
      </c>
      <c r="F1575" t="inlineStr">
        <is>
          <t>GÄVLEBORGS LÄN</t>
        </is>
      </c>
      <c r="G1575" t="inlineStr">
        <is>
          <t>BOLLNÄS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27327-2026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46292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23365-2024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45453</v>
      </c>
      <c r="E1577" s="1" t="n">
        <v>46292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27318-2026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46188</v>
      </c>
      <c r="E1578" s="1" t="n">
        <v>46292</v>
      </c>
      <c r="F1578" t="inlineStr">
        <is>
          <t>GÄVLEBORGS LÄN</t>
        </is>
      </c>
      <c r="G1578" t="inlineStr">
        <is>
          <t>BOLLNÄS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27092-2026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46188</v>
      </c>
      <c r="E1579" s="1" t="n">
        <v>46292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12904-2026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46092</v>
      </c>
      <c r="E1580" s="1" t="n">
        <v>46292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3.9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35067-2023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45145</v>
      </c>
      <c r="E1581" s="1" t="n">
        <v>46292</v>
      </c>
      <c r="F1581" t="inlineStr">
        <is>
          <t>GÄVLEBORGS LÄN</t>
        </is>
      </c>
      <c r="G1581" t="inlineStr">
        <is>
          <t>BOLLNÄS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3327-2026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46041</v>
      </c>
      <c r="E1582" s="1" t="n">
        <v>46292</v>
      </c>
      <c r="F1582" t="inlineStr">
        <is>
          <t>GÄVLEBORGS LÄN</t>
        </is>
      </c>
      <c r="G1582" t="inlineStr">
        <is>
          <t>BOLLNÄS</t>
        </is>
      </c>
      <c r="I1582" t="n">
        <v>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20668-2026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46141</v>
      </c>
      <c r="E1583" s="1" t="n">
        <v>46292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3.2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27326-2026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46188</v>
      </c>
      <c r="E1584" s="1" t="n">
        <v>46292</v>
      </c>
      <c r="F1584" t="inlineStr">
        <is>
          <t>GÄVLEBORGS LÄN</t>
        </is>
      </c>
      <c r="G1584" t="inlineStr">
        <is>
          <t>BOLLNÄS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36957-2025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45874</v>
      </c>
      <c r="E1585" s="1" t="n">
        <v>46292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27143-2026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46188</v>
      </c>
      <c r="E1586" s="1" t="n">
        <v>46292</v>
      </c>
      <c r="F1586" t="inlineStr">
        <is>
          <t>GÄVLEBORGS LÄN</t>
        </is>
      </c>
      <c r="G1586" t="inlineStr">
        <is>
          <t>BOLLNÄS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8235-2026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46064</v>
      </c>
      <c r="E1587" s="1" t="n">
        <v>46292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63984-2025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46021</v>
      </c>
      <c r="E1588" s="1" t="n">
        <v>46292</v>
      </c>
      <c r="F1588" t="inlineStr">
        <is>
          <t>GÄVLEBORGS LÄN</t>
        </is>
      </c>
      <c r="G1588" t="inlineStr">
        <is>
          <t>BOLLNÄS</t>
        </is>
      </c>
      <c r="I1588" t="n">
        <v>10.6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17776-2025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45758</v>
      </c>
      <c r="E1589" s="1" t="n">
        <v>46292</v>
      </c>
      <c r="F1589" t="inlineStr">
        <is>
          <t>GÄVLEBORGS LÄN</t>
        </is>
      </c>
      <c r="G1589" t="inlineStr">
        <is>
          <t>BOLLNÄS</t>
        </is>
      </c>
      <c r="I1589" t="n">
        <v>0.4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2932-2024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45315</v>
      </c>
      <c r="E1590" s="1" t="n">
        <v>46292</v>
      </c>
      <c r="F1590" t="inlineStr">
        <is>
          <t>GÄVLEBORGS LÄN</t>
        </is>
      </c>
      <c r="G1590" t="inlineStr">
        <is>
          <t>BOLLNÄS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27748-2026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46191</v>
      </c>
      <c r="E1591" s="1" t="n">
        <v>46292</v>
      </c>
      <c r="F1591" t="inlineStr">
        <is>
          <t>GÄVLEBORGS LÄN</t>
        </is>
      </c>
      <c r="G1591" t="inlineStr">
        <is>
          <t>BOLLNÄS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27753-2026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46191</v>
      </c>
      <c r="E1592" s="1" t="n">
        <v>46292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23095-2026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46161</v>
      </c>
      <c r="E1593" s="1" t="n">
        <v>46292</v>
      </c>
      <c r="F1593" t="inlineStr">
        <is>
          <t>GÄVLEBORGS LÄN</t>
        </is>
      </c>
      <c r="G1593" t="inlineStr">
        <is>
          <t>BOLLNÄS</t>
        </is>
      </c>
      <c r="I1593" t="n">
        <v>3.3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27598-2026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46190</v>
      </c>
      <c r="E1594" s="1" t="n">
        <v>46292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28124-2026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46195</v>
      </c>
      <c r="E1595" s="1" t="n">
        <v>46292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9814-2026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46072</v>
      </c>
      <c r="E1596" s="1" t="n">
        <v>46292</v>
      </c>
      <c r="F1596" t="inlineStr">
        <is>
          <t>GÄVLEBORGS LÄN</t>
        </is>
      </c>
      <c r="G1596" t="inlineStr">
        <is>
          <t>BOLLNÄS</t>
        </is>
      </c>
      <c r="I1596" t="n">
        <v>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23291-2026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46162</v>
      </c>
      <c r="E1597" s="1" t="n">
        <v>46292</v>
      </c>
      <c r="F1597" t="inlineStr">
        <is>
          <t>GÄVLEBORGS LÄN</t>
        </is>
      </c>
      <c r="G1597" t="inlineStr">
        <is>
          <t>BOLLNÄS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28439-2026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46197</v>
      </c>
      <c r="E1598" s="1" t="n">
        <v>46292</v>
      </c>
      <c r="F1598" t="inlineStr">
        <is>
          <t>GÄVLEBORGS LÄN</t>
        </is>
      </c>
      <c r="G1598" t="inlineStr">
        <is>
          <t>BOLLNÄS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60426-2024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45643</v>
      </c>
      <c r="E1599" s="1" t="n">
        <v>46292</v>
      </c>
      <c r="F1599" t="inlineStr">
        <is>
          <t>GÄVLEBORGS LÄN</t>
        </is>
      </c>
      <c r="G1599" t="inlineStr">
        <is>
          <t>BOLLNÄS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28429-2026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46197</v>
      </c>
      <c r="E1600" s="1" t="n">
        <v>46292</v>
      </c>
      <c r="F1600" t="inlineStr">
        <is>
          <t>GÄVLEBORGS LÄN</t>
        </is>
      </c>
      <c r="G1600" t="inlineStr">
        <is>
          <t>BOLLNÄS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12800-2025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45733</v>
      </c>
      <c r="E1601" s="1" t="n">
        <v>46292</v>
      </c>
      <c r="F1601" t="inlineStr">
        <is>
          <t>GÄVLEBORGS LÄN</t>
        </is>
      </c>
      <c r="G1601" t="inlineStr">
        <is>
          <t>BOLLNÄS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12867-2025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45733</v>
      </c>
      <c r="E1602" s="1" t="n">
        <v>46292</v>
      </c>
      <c r="F1602" t="inlineStr">
        <is>
          <t>GÄVLEBORGS LÄN</t>
        </is>
      </c>
      <c r="G1602" t="inlineStr">
        <is>
          <t>BOLLNÄS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48308-2024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45590</v>
      </c>
      <c r="E1603" s="1" t="n">
        <v>46292</v>
      </c>
      <c r="F1603" t="inlineStr">
        <is>
          <t>GÄVLEBORGS LÄN</t>
        </is>
      </c>
      <c r="G1603" t="inlineStr">
        <is>
          <t>BOLLNÄS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28398-2026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46197</v>
      </c>
      <c r="E1604" s="1" t="n">
        <v>46292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42643-2024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45566</v>
      </c>
      <c r="E1605" s="1" t="n">
        <v>46292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28494-2026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46197</v>
      </c>
      <c r="E1606" s="1" t="n">
        <v>46292</v>
      </c>
      <c r="F1606" t="inlineStr">
        <is>
          <t>GÄVLEBORGS LÄN</t>
        </is>
      </c>
      <c r="G1606" t="inlineStr">
        <is>
          <t>BOLLNÄS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42644-2024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45566</v>
      </c>
      <c r="E1607" s="1" t="n">
        <v>46292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37631-2025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45880</v>
      </c>
      <c r="E1608" s="1" t="n">
        <v>46292</v>
      </c>
      <c r="F1608" t="inlineStr">
        <is>
          <t>GÄVLEBORGS LÄN</t>
        </is>
      </c>
      <c r="G1608" t="inlineStr">
        <is>
          <t>BOLLNÄS</t>
        </is>
      </c>
      <c r="I1608" t="n">
        <v>8.699999999999999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28270-2026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46292</v>
      </c>
      <c r="F1609" t="inlineStr">
        <is>
          <t>GÄVLEBORGS LÄN</t>
        </is>
      </c>
      <c r="G1609" t="inlineStr">
        <is>
          <t>BOLLNÄS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46197</v>
      </c>
      <c r="E1610" s="1" t="n">
        <v>46292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28196-2026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46196</v>
      </c>
      <c r="E1611" s="1" t="n">
        <v>46292</v>
      </c>
      <c r="F1611" t="inlineStr">
        <is>
          <t>GÄVLEBORGS LÄN</t>
        </is>
      </c>
      <c r="G1611" t="inlineStr">
        <is>
          <t>BOLLNÄS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19926-2026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46136</v>
      </c>
      <c r="E1612" s="1" t="n">
        <v>46292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40928-2024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45558</v>
      </c>
      <c r="E1613" s="1" t="n">
        <v>46292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29037-2026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46199</v>
      </c>
      <c r="E1614" s="1" t="n">
        <v>46292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7015-2025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45701</v>
      </c>
      <c r="E1615" s="1" t="n">
        <v>46292</v>
      </c>
      <c r="F1615" t="inlineStr">
        <is>
          <t>GÄVLEBORGS LÄN</t>
        </is>
      </c>
      <c r="G1615" t="inlineStr">
        <is>
          <t>BOLLNÄS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38074-2025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45882</v>
      </c>
      <c r="E1616" s="1" t="n">
        <v>46292</v>
      </c>
      <c r="F1616" t="inlineStr">
        <is>
          <t>GÄVLEBORGS LÄN</t>
        </is>
      </c>
      <c r="G1616" t="inlineStr">
        <is>
          <t>BOLLNÄS</t>
        </is>
      </c>
      <c r="I1616" t="n">
        <v>2.6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19418-2026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46133</v>
      </c>
      <c r="E1617" s="1" t="n">
        <v>46292</v>
      </c>
      <c r="F1617" t="inlineStr">
        <is>
          <t>GÄVLEBORGS LÄN</t>
        </is>
      </c>
      <c r="G1617" t="inlineStr">
        <is>
          <t>BOLLNÄS</t>
        </is>
      </c>
      <c r="I1617" t="n">
        <v>2.5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31022-2024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45500</v>
      </c>
      <c r="E1618" s="1" t="n">
        <v>46292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28658-2024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45478</v>
      </c>
      <c r="E1619" s="1" t="n">
        <v>46292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0.4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29715-2024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45485</v>
      </c>
      <c r="E1620" s="1" t="n">
        <v>46292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28943-2026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46199</v>
      </c>
      <c r="E1621" s="1" t="n">
        <v>46292</v>
      </c>
      <c r="F1621" t="inlineStr">
        <is>
          <t>GÄVLEBORGS LÄN</t>
        </is>
      </c>
      <c r="G1621" t="inlineStr">
        <is>
          <t>BOLLNÄS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37987-2025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45881</v>
      </c>
      <c r="E1622" s="1" t="n">
        <v>46292</v>
      </c>
      <c r="F1622" t="inlineStr">
        <is>
          <t>GÄVLEBORGS LÄN</t>
        </is>
      </c>
      <c r="G1622" t="inlineStr">
        <is>
          <t>BOLLNÄS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28828-2026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46198</v>
      </c>
      <c r="E1623" s="1" t="n">
        <v>46292</v>
      </c>
      <c r="F1623" t="inlineStr">
        <is>
          <t>GÄVLEBORGS LÄN</t>
        </is>
      </c>
      <c r="G1623" t="inlineStr">
        <is>
          <t>BOLLNÄS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19408-2026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46133</v>
      </c>
      <c r="E1624" s="1" t="n">
        <v>46292</v>
      </c>
      <c r="F1624" t="inlineStr">
        <is>
          <t>GÄVLEBORGS LÄN</t>
        </is>
      </c>
      <c r="G1624" t="inlineStr">
        <is>
          <t>BOLLNÄS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10180-2022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44622</v>
      </c>
      <c r="E1625" s="1" t="n">
        <v>46292</v>
      </c>
      <c r="F1625" t="inlineStr">
        <is>
          <t>GÄVLEBORGS LÄN</t>
        </is>
      </c>
      <c r="G1625" t="inlineStr">
        <is>
          <t>BOLLNÄS</t>
        </is>
      </c>
      <c r="I1625" t="n">
        <v>0.2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23885-2026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46292</v>
      </c>
      <c r="F1626" t="inlineStr">
        <is>
          <t>GÄVLEBORGS LÄN</t>
        </is>
      </c>
      <c r="G1626" t="inlineStr">
        <is>
          <t>BOLLNÄS</t>
        </is>
      </c>
      <c r="I1626" t="n">
        <v>16.3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16379-2022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44671</v>
      </c>
      <c r="E1627" s="1" t="n">
        <v>46292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29150-2026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46202</v>
      </c>
      <c r="E1628" s="1" t="n">
        <v>46292</v>
      </c>
      <c r="F1628" t="inlineStr">
        <is>
          <t>GÄVLEBORGS LÄN</t>
        </is>
      </c>
      <c r="G1628" t="inlineStr">
        <is>
          <t>BOLLNÄS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29187-2026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46202</v>
      </c>
      <c r="E1629" s="1" t="n">
        <v>46292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32056-2023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45119</v>
      </c>
      <c r="E1630" s="1" t="n">
        <v>46292</v>
      </c>
      <c r="F1630" t="inlineStr">
        <is>
          <t>GÄVLEBORGS LÄN</t>
        </is>
      </c>
      <c r="G1630" t="inlineStr">
        <is>
          <t>BOLLNÄS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29154-2026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46202</v>
      </c>
      <c r="E1631" s="1" t="n">
        <v>46292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18486-2022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44686</v>
      </c>
      <c r="E1632" s="1" t="n">
        <v>46292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29457-2026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46203</v>
      </c>
      <c r="E1633" s="1" t="n">
        <v>46292</v>
      </c>
      <c r="F1633" t="inlineStr">
        <is>
          <t>GÄVLEBORGS LÄN</t>
        </is>
      </c>
      <c r="G1633" t="inlineStr">
        <is>
          <t>BOLLNÄS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54961-2025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45967</v>
      </c>
      <c r="E1634" s="1" t="n">
        <v>46292</v>
      </c>
      <c r="F1634" t="inlineStr">
        <is>
          <t>GÄVLEBORGS LÄN</t>
        </is>
      </c>
      <c r="G1634" t="inlineStr">
        <is>
          <t>BOLLNÄS</t>
        </is>
      </c>
      <c r="I1634" t="n">
        <v>9.1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29445-2026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46203</v>
      </c>
      <c r="E1635" s="1" t="n">
        <v>46292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29447-2026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46203</v>
      </c>
      <c r="E1636" s="1" t="n">
        <v>46292</v>
      </c>
      <c r="F1636" t="inlineStr">
        <is>
          <t>GÄVLEBORGS LÄN</t>
        </is>
      </c>
      <c r="G1636" t="inlineStr">
        <is>
          <t>BOLLNÄS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38883-2022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44816</v>
      </c>
      <c r="E1637" s="1" t="n">
        <v>46292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46292</v>
      </c>
      <c r="F1638" t="inlineStr">
        <is>
          <t>GÄVLEBORGS LÄN</t>
        </is>
      </c>
      <c r="G1638" t="inlineStr">
        <is>
          <t>BOLLNÄS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38563-2025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45884</v>
      </c>
      <c r="E1639" s="1" t="n">
        <v>46292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Kyrkan</t>
        </is>
      </c>
      <c r="I1639" t="n">
        <v>8.6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17394-2022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44678</v>
      </c>
      <c r="E1640" s="1" t="n">
        <v>46292</v>
      </c>
      <c r="F1640" t="inlineStr">
        <is>
          <t>GÄVLEBORGS LÄN</t>
        </is>
      </c>
      <c r="G1640" t="inlineStr">
        <is>
          <t>BOLLNÄS</t>
        </is>
      </c>
      <c r="I1640" t="n">
        <v>4.8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29632-2026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46292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29633-2026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46292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29989-2026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46205</v>
      </c>
      <c r="E1643" s="1" t="n">
        <v>46292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38248-2025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45883</v>
      </c>
      <c r="E1644" s="1" t="n">
        <v>46292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29567-2026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46292</v>
      </c>
      <c r="F1645" t="inlineStr">
        <is>
          <t>GÄVLEBORGS LÄN</t>
        </is>
      </c>
      <c r="G1645" t="inlineStr">
        <is>
          <t>BOLLNÄS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29607-2026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46292</v>
      </c>
      <c r="F1646" t="inlineStr">
        <is>
          <t>GÄVLEBORGS LÄN</t>
        </is>
      </c>
      <c r="G1646" t="inlineStr">
        <is>
          <t>BOLLNÄS</t>
        </is>
      </c>
      <c r="I1646" t="n">
        <v>7.6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29652-2026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46292</v>
      </c>
      <c r="F1647" t="inlineStr">
        <is>
          <t>GÄVLEBORGS LÄN</t>
        </is>
      </c>
      <c r="G1647" t="inlineStr">
        <is>
          <t>BOLLNÄS</t>
        </is>
      </c>
      <c r="I1647" t="n">
        <v>10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29691-2026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46292</v>
      </c>
      <c r="F1648" t="inlineStr">
        <is>
          <t>GÄVLEBORGS LÄN</t>
        </is>
      </c>
      <c r="G1648" t="inlineStr">
        <is>
          <t>BOLLNÄS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29700-2026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46204</v>
      </c>
      <c r="E1649" s="1" t="n">
        <v>46292</v>
      </c>
      <c r="F1649" t="inlineStr">
        <is>
          <t>GÄVLEBORGS LÄN</t>
        </is>
      </c>
      <c r="G1649" t="inlineStr">
        <is>
          <t>BOLLNÄS</t>
        </is>
      </c>
      <c r="I1649" t="n">
        <v>5.9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29696-2026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46204</v>
      </c>
      <c r="E1650" s="1" t="n">
        <v>46292</v>
      </c>
      <c r="F1650" t="inlineStr">
        <is>
          <t>GÄVLEBORGS LÄN</t>
        </is>
      </c>
      <c r="G1650" t="inlineStr">
        <is>
          <t>BOLLNÄS</t>
        </is>
      </c>
      <c r="I1650" t="n">
        <v>5.3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29635-2026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46292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19767-2026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46135</v>
      </c>
      <c r="E1652" s="1" t="n">
        <v>46292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4.4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29617-2026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46204</v>
      </c>
      <c r="E1653" s="1" t="n">
        <v>46292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29629-2026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46204</v>
      </c>
      <c r="E1654" s="1" t="n">
        <v>46292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29697-2026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46204</v>
      </c>
      <c r="E1655" s="1" t="n">
        <v>46292</v>
      </c>
      <c r="F1655" t="inlineStr">
        <is>
          <t>GÄVLEBORGS LÄN</t>
        </is>
      </c>
      <c r="G1655" t="inlineStr">
        <is>
          <t>BOLLNÄS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29857-2026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46292</v>
      </c>
      <c r="F1656" t="inlineStr">
        <is>
          <t>GÄVLEBORGS LÄN</t>
        </is>
      </c>
      <c r="G1656" t="inlineStr">
        <is>
          <t>BOLLNÄS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43131-2024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45567</v>
      </c>
      <c r="E1657" s="1" t="n">
        <v>46292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33773-2026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46251</v>
      </c>
      <c r="E1658" s="1" t="n">
        <v>46292</v>
      </c>
      <c r="F1658" t="inlineStr">
        <is>
          <t>GÄVLEBORGS LÄN</t>
        </is>
      </c>
      <c r="G1658" t="inlineStr">
        <is>
          <t>BOLLNÄS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51970-2024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45607</v>
      </c>
      <c r="E1659" s="1" t="n">
        <v>46292</v>
      </c>
      <c r="F1659" t="inlineStr">
        <is>
          <t>GÄVLEBORGS LÄN</t>
        </is>
      </c>
      <c r="G1659" t="inlineStr">
        <is>
          <t>BOLLNÄS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30131-2026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46292</v>
      </c>
      <c r="F1660" t="inlineStr">
        <is>
          <t>GÄVLEBORGS LÄN</t>
        </is>
      </c>
      <c r="G1660" t="inlineStr">
        <is>
          <t>BOLLNÄS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30136-2026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46292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30139-2026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46206</v>
      </c>
      <c r="E1662" s="1" t="n">
        <v>46292</v>
      </c>
      <c r="F1662" t="inlineStr">
        <is>
          <t>GÄVLEBORGS LÄN</t>
        </is>
      </c>
      <c r="G1662" t="inlineStr">
        <is>
          <t>BOLLNÄS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3630-2025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45681</v>
      </c>
      <c r="E1663" s="1" t="n">
        <v>46292</v>
      </c>
      <c r="F1663" t="inlineStr">
        <is>
          <t>GÄVLEBORGS LÄN</t>
        </is>
      </c>
      <c r="G1663" t="inlineStr">
        <is>
          <t>BOLLNÄS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33869-2026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46251</v>
      </c>
      <c r="E1664" s="1" t="n">
        <v>46292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30282-2026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46292</v>
      </c>
      <c r="F1665" t="inlineStr">
        <is>
          <t>GÄVLEBORGS LÄN</t>
        </is>
      </c>
      <c r="G1665" t="inlineStr">
        <is>
          <t>BOLLNÄS</t>
        </is>
      </c>
      <c r="I1665" t="n">
        <v>4.8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30300-2026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46292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30305-2026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46206</v>
      </c>
      <c r="E1667" s="1" t="n">
        <v>46292</v>
      </c>
      <c r="F1667" t="inlineStr">
        <is>
          <t>GÄVLEBORGS LÄN</t>
        </is>
      </c>
      <c r="G1667" t="inlineStr">
        <is>
          <t>BOLLNÄS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30041-2026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46206</v>
      </c>
      <c r="E1668" s="1" t="n">
        <v>46292</v>
      </c>
      <c r="F1668" t="inlineStr">
        <is>
          <t>GÄVLEBORGS LÄN</t>
        </is>
      </c>
      <c r="G1668" t="inlineStr">
        <is>
          <t>BOLLNÄS</t>
        </is>
      </c>
      <c r="I1668" t="n">
        <v>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30273-2026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46206</v>
      </c>
      <c r="E1669" s="1" t="n">
        <v>46292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11361-2026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46083</v>
      </c>
      <c r="E1670" s="1" t="n">
        <v>46292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33742-2026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46251</v>
      </c>
      <c r="E1671" s="1" t="n">
        <v>46292</v>
      </c>
      <c r="F1671" t="inlineStr">
        <is>
          <t>GÄVLEBORGS LÄN</t>
        </is>
      </c>
      <c r="G1671" t="inlineStr">
        <is>
          <t>BOLLNÄS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23897-2026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46167</v>
      </c>
      <c r="E1672" s="1" t="n">
        <v>46292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45598-2024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45579</v>
      </c>
      <c r="E1673" s="1" t="n">
        <v>46292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Kommuner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46206</v>
      </c>
      <c r="E1674" s="1" t="n">
        <v>46292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30298-2026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46292</v>
      </c>
      <c r="F1675" t="inlineStr">
        <is>
          <t>GÄVLEBORGS LÄN</t>
        </is>
      </c>
      <c r="G1675" t="inlineStr">
        <is>
          <t>BOLLNÄS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33740-2026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46251</v>
      </c>
      <c r="E1676" s="1" t="n">
        <v>46292</v>
      </c>
      <c r="F1676" t="inlineStr">
        <is>
          <t>GÄVLEBORGS LÄN</t>
        </is>
      </c>
      <c r="G1676" t="inlineStr">
        <is>
          <t>BOLLNÄS</t>
        </is>
      </c>
      <c r="I1676" t="n">
        <v>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30275-2026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46206</v>
      </c>
      <c r="E1677" s="1" t="n">
        <v>46292</v>
      </c>
      <c r="F1677" t="inlineStr">
        <is>
          <t>GÄVLEBORGS LÄN</t>
        </is>
      </c>
      <c r="G1677" t="inlineStr">
        <is>
          <t>BOLLNÄS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25455-2026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46177</v>
      </c>
      <c r="E1678" s="1" t="n">
        <v>46292</v>
      </c>
      <c r="F1678" t="inlineStr">
        <is>
          <t>GÄVLEBORGS LÄN</t>
        </is>
      </c>
      <c r="G1678" t="inlineStr">
        <is>
          <t>BOLLNÄS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30043-2026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46206</v>
      </c>
      <c r="E1679" s="1" t="n">
        <v>46292</v>
      </c>
      <c r="F1679" t="inlineStr">
        <is>
          <t>GÄVLEBORGS LÄN</t>
        </is>
      </c>
      <c r="G1679" t="inlineStr">
        <is>
          <t>BOLLNÄS</t>
        </is>
      </c>
      <c r="I1679" t="n">
        <v>6.3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30050-2026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46292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30052-2026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46292</v>
      </c>
      <c r="F1681" t="inlineStr">
        <is>
          <t>GÄVLEBORGS LÄN</t>
        </is>
      </c>
      <c r="G1681" t="inlineStr">
        <is>
          <t>BOLLNÄS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20778-2023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45058</v>
      </c>
      <c r="E1682" s="1" t="n">
        <v>46292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Sveaskog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30278-2026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46292</v>
      </c>
      <c r="F1683" t="inlineStr">
        <is>
          <t>GÄVLEBORGS LÄN</t>
        </is>
      </c>
      <c r="G1683" t="inlineStr">
        <is>
          <t>BOLLNÄS</t>
        </is>
      </c>
      <c r="I1683" t="n">
        <v>3.9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56024-2024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45624</v>
      </c>
      <c r="E1684" s="1" t="n">
        <v>46292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30383-2026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46209</v>
      </c>
      <c r="E1685" s="1" t="n">
        <v>46292</v>
      </c>
      <c r="F1685" t="inlineStr">
        <is>
          <t>GÄVLEBORGS LÄN</t>
        </is>
      </c>
      <c r="G1685" t="inlineStr">
        <is>
          <t>BOLLNÄS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33956-2026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46252</v>
      </c>
      <c r="E1686" s="1" t="n">
        <v>46292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30647-2026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46211</v>
      </c>
      <c r="E1687" s="1" t="n">
        <v>46292</v>
      </c>
      <c r="F1687" t="inlineStr">
        <is>
          <t>GÄVLEBORGS LÄN</t>
        </is>
      </c>
      <c r="G1687" t="inlineStr">
        <is>
          <t>BOLLNÄS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38837-2024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45547</v>
      </c>
      <c r="E1688" s="1" t="n">
        <v>46292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34140-2026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46253</v>
      </c>
      <c r="E1689" s="1" t="n">
        <v>46292</v>
      </c>
      <c r="F1689" t="inlineStr">
        <is>
          <t>GÄVLEBORGS LÄN</t>
        </is>
      </c>
      <c r="G1689" t="inlineStr">
        <is>
          <t>BOLLNÄS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30653-2026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46211</v>
      </c>
      <c r="E1690" s="1" t="n">
        <v>46292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34069-2026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46252</v>
      </c>
      <c r="E1691" s="1" t="n">
        <v>46292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34107-2026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46253</v>
      </c>
      <c r="E1692" s="1" t="n">
        <v>46292</v>
      </c>
      <c r="F1692" t="inlineStr">
        <is>
          <t>GÄVLEBORGS LÄN</t>
        </is>
      </c>
      <c r="G1692" t="inlineStr">
        <is>
          <t>BOLLNÄS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45664</v>
      </c>
      <c r="E1693" s="1" t="n">
        <v>46292</v>
      </c>
      <c r="F1693" t="inlineStr">
        <is>
          <t>GÄVLEBORGS LÄN</t>
        </is>
      </c>
      <c r="G1693" t="inlineStr">
        <is>
          <t>BOLLNÄS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2667-2025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45677</v>
      </c>
      <c r="E1694" s="1" t="n">
        <v>46292</v>
      </c>
      <c r="F1694" t="inlineStr">
        <is>
          <t>GÄVLEBORGS LÄN</t>
        </is>
      </c>
      <c r="G1694" t="inlineStr">
        <is>
          <t>BOLLNÄS</t>
        </is>
      </c>
      <c r="I1694" t="n">
        <v>2.3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2620-2025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45675</v>
      </c>
      <c r="E1695" s="1" t="n">
        <v>46292</v>
      </c>
      <c r="F1695" t="inlineStr">
        <is>
          <t>GÄVLEBORGS LÄN</t>
        </is>
      </c>
      <c r="G1695" t="inlineStr">
        <is>
          <t>BOLLNÄS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34129-2026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46253</v>
      </c>
      <c r="E1696" s="1" t="n">
        <v>46292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8119-2024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45351</v>
      </c>
      <c r="E1697" s="1" t="n">
        <v>46292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34330-2026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46254</v>
      </c>
      <c r="E1698" s="1" t="n">
        <v>46292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30827-2026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46212</v>
      </c>
      <c r="E1699" s="1" t="n">
        <v>46292</v>
      </c>
      <c r="F1699" t="inlineStr">
        <is>
          <t>GÄVLEBORGS LÄN</t>
        </is>
      </c>
      <c r="G1699" t="inlineStr">
        <is>
          <t>BOLLNÄS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59637-2024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45639</v>
      </c>
      <c r="E1700" s="1" t="n">
        <v>46292</v>
      </c>
      <c r="F1700" t="inlineStr">
        <is>
          <t>GÄVLEBORGS LÄN</t>
        </is>
      </c>
      <c r="G1700" t="inlineStr">
        <is>
          <t>BOLLNÄS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30764-2026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46212</v>
      </c>
      <c r="E1701" s="1" t="n">
        <v>46292</v>
      </c>
      <c r="F1701" t="inlineStr">
        <is>
          <t>GÄVLEBORGS LÄN</t>
        </is>
      </c>
      <c r="G1701" t="inlineStr">
        <is>
          <t>BOLLNÄS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30766-2026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46212</v>
      </c>
      <c r="E1702" s="1" t="n">
        <v>46292</v>
      </c>
      <c r="F1702" t="inlineStr">
        <is>
          <t>GÄVLEBORGS LÄN</t>
        </is>
      </c>
      <c r="G1702" t="inlineStr">
        <is>
          <t>BOLLNÄS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31125-2026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46216</v>
      </c>
      <c r="E1703" s="1" t="n">
        <v>46292</v>
      </c>
      <c r="F1703" t="inlineStr">
        <is>
          <t>GÄVLEBORGS LÄN</t>
        </is>
      </c>
      <c r="G1703" t="inlineStr">
        <is>
          <t>BOLLNÄS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31127-2026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46292</v>
      </c>
      <c r="F1704" t="inlineStr">
        <is>
          <t>GÄVLEBORGS LÄN</t>
        </is>
      </c>
      <c r="G1704" t="inlineStr">
        <is>
          <t>BOLLNÄS</t>
        </is>
      </c>
      <c r="I1704" t="n">
        <v>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31132-2026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46216</v>
      </c>
      <c r="E1705" s="1" t="n">
        <v>46292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30797-2026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46212</v>
      </c>
      <c r="E1706" s="1" t="n">
        <v>46292</v>
      </c>
      <c r="F1706" t="inlineStr">
        <is>
          <t>GÄVLEBORGS LÄN</t>
        </is>
      </c>
      <c r="G1706" t="inlineStr">
        <is>
          <t>BOLLNÄS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30798-2026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46212</v>
      </c>
      <c r="E1707" s="1" t="n">
        <v>46292</v>
      </c>
      <c r="F1707" t="inlineStr">
        <is>
          <t>GÄVLEBORGS LÄN</t>
        </is>
      </c>
      <c r="G1707" t="inlineStr">
        <is>
          <t>BOLLNÄS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6887-2026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46057</v>
      </c>
      <c r="E1708" s="1" t="n">
        <v>46292</v>
      </c>
      <c r="F1708" t="inlineStr">
        <is>
          <t>GÄVLEBORGS LÄN</t>
        </is>
      </c>
      <c r="G1708" t="inlineStr">
        <is>
          <t>BOLLNÄS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34723-2026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46258</v>
      </c>
      <c r="E1709" s="1" t="n">
        <v>46292</v>
      </c>
      <c r="F1709" t="inlineStr">
        <is>
          <t>GÄVLEBORGS LÄN</t>
        </is>
      </c>
      <c r="G1709" t="inlineStr">
        <is>
          <t>BOLLNÄS</t>
        </is>
      </c>
      <c r="I1709" t="n">
        <v>3.7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34735-2026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46292</v>
      </c>
      <c r="F1710" t="inlineStr">
        <is>
          <t>GÄVLEBORGS LÄN</t>
        </is>
      </c>
      <c r="G1710" t="inlineStr">
        <is>
          <t>BOLLNÄS</t>
        </is>
      </c>
      <c r="I1710" t="n">
        <v>14.6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46216</v>
      </c>
      <c r="E1711" s="1" t="n">
        <v>46292</v>
      </c>
      <c r="F1711" t="inlineStr">
        <is>
          <t>GÄVLEBORGS LÄN</t>
        </is>
      </c>
      <c r="G1711" t="inlineStr">
        <is>
          <t>BOLLNÄS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34461-2026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46254</v>
      </c>
      <c r="E1712" s="1" t="n">
        <v>46292</v>
      </c>
      <c r="F1712" t="inlineStr">
        <is>
          <t>GÄVLEBORGS LÄN</t>
        </is>
      </c>
      <c r="G1712" t="inlineStr">
        <is>
          <t>BOLLNÄS</t>
        </is>
      </c>
      <c r="I1712" t="n">
        <v>3.3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31128-2026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46216</v>
      </c>
      <c r="E1713" s="1" t="n">
        <v>46292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56209-2023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45240</v>
      </c>
      <c r="E1714" s="1" t="n">
        <v>46292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34580-2026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46292</v>
      </c>
      <c r="F1715" t="inlineStr">
        <is>
          <t>GÄVLEBORGS LÄN</t>
        </is>
      </c>
      <c r="G1715" t="inlineStr">
        <is>
          <t>BOLLNÄS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34845-2026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46258</v>
      </c>
      <c r="E1716" s="1" t="n">
        <v>46292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Sveaskog</t>
        </is>
      </c>
      <c r="I1716" t="n">
        <v>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31139-2026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46216</v>
      </c>
      <c r="E1717" s="1" t="n">
        <v>46292</v>
      </c>
      <c r="F1717" t="inlineStr">
        <is>
          <t>GÄVLEBORGS LÄN</t>
        </is>
      </c>
      <c r="G1717" t="inlineStr">
        <is>
          <t>BOLLNÄS</t>
        </is>
      </c>
      <c r="I1717" t="n">
        <v>7.3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31030-2026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46213</v>
      </c>
      <c r="E1718" s="1" t="n">
        <v>46292</v>
      </c>
      <c r="F1718" t="inlineStr">
        <is>
          <t>GÄVLEBORGS LÄN</t>
        </is>
      </c>
      <c r="G1718" t="inlineStr">
        <is>
          <t>BOLLNÄS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30900-2026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46213</v>
      </c>
      <c r="E1719" s="1" t="n">
        <v>46292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30916-2026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46213</v>
      </c>
      <c r="E1720" s="1" t="n">
        <v>46292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46258</v>
      </c>
      <c r="E1721" s="1" t="n">
        <v>46292</v>
      </c>
      <c r="F1721" t="inlineStr">
        <is>
          <t>GÄVLEBORGS LÄN</t>
        </is>
      </c>
      <c r="G1721" t="inlineStr">
        <is>
          <t>BOLLNÄS</t>
        </is>
      </c>
      <c r="I1721" t="n">
        <v>12.7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48310-2023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45205</v>
      </c>
      <c r="E1722" s="1" t="n">
        <v>46292</v>
      </c>
      <c r="F1722" t="inlineStr">
        <is>
          <t>GÄVLEBORGS LÄN</t>
        </is>
      </c>
      <c r="G1722" t="inlineStr">
        <is>
          <t>BOLLNÄS</t>
        </is>
      </c>
      <c r="I1722" t="n">
        <v>1.9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31130-2026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46216</v>
      </c>
      <c r="E1723" s="1" t="n">
        <v>46292</v>
      </c>
      <c r="F1723" t="inlineStr">
        <is>
          <t>GÄVLEBORGS LÄN</t>
        </is>
      </c>
      <c r="G1723" t="inlineStr">
        <is>
          <t>BOLLNÄS</t>
        </is>
      </c>
      <c r="I1723" t="n">
        <v>4.4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30776-2026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46212</v>
      </c>
      <c r="E1724" s="1" t="n">
        <v>46292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48605-2023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45208</v>
      </c>
      <c r="E1725" s="1" t="n">
        <v>46292</v>
      </c>
      <c r="F1725" t="inlineStr">
        <is>
          <t>GÄVLEBORGS LÄN</t>
        </is>
      </c>
      <c r="G1725" t="inlineStr">
        <is>
          <t>BOLLNÄS</t>
        </is>
      </c>
      <c r="I1725" t="n">
        <v>0.2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20284-2025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45774</v>
      </c>
      <c r="E1726" s="1" t="n">
        <v>46292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30763-2026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46212</v>
      </c>
      <c r="E1727" s="1" t="n">
        <v>46292</v>
      </c>
      <c r="F1727" t="inlineStr">
        <is>
          <t>GÄVLEBORGS LÄN</t>
        </is>
      </c>
      <c r="G1727" t="inlineStr">
        <is>
          <t>BOLLNÄS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30785-2026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46212</v>
      </c>
      <c r="E1728" s="1" t="n">
        <v>46292</v>
      </c>
      <c r="F1728" t="inlineStr">
        <is>
          <t>GÄVLEBORGS LÄN</t>
        </is>
      </c>
      <c r="G1728" t="inlineStr">
        <is>
          <t>BOLLNÄS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46292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30777-2026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46292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30787-2026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46292</v>
      </c>
      <c r="F1731" t="inlineStr">
        <is>
          <t>GÄVLEBORGS LÄN</t>
        </is>
      </c>
      <c r="G1731" t="inlineStr">
        <is>
          <t>BOLLNÄS</t>
        </is>
      </c>
      <c r="I1731" t="n">
        <v>3.7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30828-2026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46292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31136-2026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46292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30786-2026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46212</v>
      </c>
      <c r="E1734" s="1" t="n">
        <v>46292</v>
      </c>
      <c r="F1734" t="inlineStr">
        <is>
          <t>GÄVLEBORGS LÄN</t>
        </is>
      </c>
      <c r="G1734" t="inlineStr">
        <is>
          <t>BOLLNÄS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34933-2026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46259</v>
      </c>
      <c r="E1735" s="1" t="n">
        <v>46292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6.1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34935-2026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46292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35084-2026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46260</v>
      </c>
      <c r="E1737" s="1" t="n">
        <v>46292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35097-2026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46260</v>
      </c>
      <c r="E1738" s="1" t="n">
        <v>46292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55520-2023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45238</v>
      </c>
      <c r="E1739" s="1" t="n">
        <v>46292</v>
      </c>
      <c r="F1739" t="inlineStr">
        <is>
          <t>GÄVLEBORGS LÄN</t>
        </is>
      </c>
      <c r="G1739" t="inlineStr">
        <is>
          <t>BOLLNÄS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46259</v>
      </c>
      <c r="E1740" s="1" t="n">
        <v>46292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35149-2026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46260</v>
      </c>
      <c r="E1741" s="1" t="n">
        <v>46292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35150-2026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46260</v>
      </c>
      <c r="E1742" s="1" t="n">
        <v>46292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34949-2026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46292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35132-2026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46260</v>
      </c>
      <c r="E1744" s="1" t="n">
        <v>46292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61065-2023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45261</v>
      </c>
      <c r="E1745" s="1" t="n">
        <v>46292</v>
      </c>
      <c r="F1745" t="inlineStr">
        <is>
          <t>GÄVLEBORGS LÄN</t>
        </is>
      </c>
      <c r="G1745" t="inlineStr">
        <is>
          <t>BOLLNÄS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35098-2026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46260</v>
      </c>
      <c r="E1746" s="1" t="n">
        <v>46292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5.6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35086-2026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46260</v>
      </c>
      <c r="E1747" s="1" t="n">
        <v>46292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35128-2026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46260</v>
      </c>
      <c r="E1748" s="1" t="n">
        <v>46292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24770-2022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44728</v>
      </c>
      <c r="E1749" s="1" t="n">
        <v>46292</v>
      </c>
      <c r="F1749" t="inlineStr">
        <is>
          <t>GÄVLEBORGS LÄN</t>
        </is>
      </c>
      <c r="G1749" t="inlineStr">
        <is>
          <t>BOLLNÄS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35129-2026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46260</v>
      </c>
      <c r="E1750" s="1" t="n">
        <v>46292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6.6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28418-2026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46197</v>
      </c>
      <c r="E1751" s="1" t="n">
        <v>46292</v>
      </c>
      <c r="F1751" t="inlineStr">
        <is>
          <t>GÄVLEBORGS LÄN</t>
        </is>
      </c>
      <c r="G1751" t="inlineStr">
        <is>
          <t>BOLLNÄS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46149</v>
      </c>
      <c r="E1752" s="1" t="n">
        <v>46292</v>
      </c>
      <c r="F1752" t="inlineStr">
        <is>
          <t>GÄVLEBORGS LÄN</t>
        </is>
      </c>
      <c r="G1752" t="inlineStr">
        <is>
          <t>BOLLNÄS</t>
        </is>
      </c>
      <c r="I1752" t="n">
        <v>4.5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36607-2023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45153</v>
      </c>
      <c r="E1753" s="1" t="n">
        <v>46292</v>
      </c>
      <c r="F1753" t="inlineStr">
        <is>
          <t>GÄVLEBORGS LÄN</t>
        </is>
      </c>
      <c r="G1753" t="inlineStr">
        <is>
          <t>BOLLNÄS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35083-2026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46260</v>
      </c>
      <c r="E1754" s="1" t="n">
        <v>46292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46027</v>
      </c>
      <c r="E1755" s="1" t="n">
        <v>46292</v>
      </c>
      <c r="F1755" t="inlineStr">
        <is>
          <t>GÄVLEBORGS LÄN</t>
        </is>
      </c>
      <c r="G1755" t="inlineStr">
        <is>
          <t>BOLLNÄS</t>
        </is>
      </c>
      <c r="I1755" t="n">
        <v>3.5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35007-2026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46259</v>
      </c>
      <c r="E1756" s="1" t="n">
        <v>46292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34908-2026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46259</v>
      </c>
      <c r="E1757" s="1" t="n">
        <v>46292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35433-2026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46262</v>
      </c>
      <c r="E1758" s="1" t="n">
        <v>46292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35398-2026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46261</v>
      </c>
      <c r="E1759" s="1" t="n">
        <v>46292</v>
      </c>
      <c r="F1759" t="inlineStr">
        <is>
          <t>GÄVLEBORGS LÄN</t>
        </is>
      </c>
      <c r="G1759" t="inlineStr">
        <is>
          <t>BOLLNÄS</t>
        </is>
      </c>
      <c r="I1759" t="n">
        <v>5.8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35511-2026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46262</v>
      </c>
      <c r="E1760" s="1" t="n">
        <v>46292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Sveaskog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35346-2026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46261</v>
      </c>
      <c r="E1761" s="1" t="n">
        <v>46292</v>
      </c>
      <c r="F1761" t="inlineStr">
        <is>
          <t>GÄVLEBORGS LÄN</t>
        </is>
      </c>
      <c r="G1761" t="inlineStr">
        <is>
          <t>BOLLNÄS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15447-2026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46292</v>
      </c>
      <c r="F1762" t="inlineStr">
        <is>
          <t>GÄVLEBORGS LÄN</t>
        </is>
      </c>
      <c r="G1762" t="inlineStr">
        <is>
          <t>BOLLNÄS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35396-2026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46261</v>
      </c>
      <c r="E1763" s="1" t="n">
        <v>46292</v>
      </c>
      <c r="F1763" t="inlineStr">
        <is>
          <t>GÄVLEBORGS LÄN</t>
        </is>
      </c>
      <c r="G1763" t="inlineStr">
        <is>
          <t>BOLLNÄS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35397-2026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46261</v>
      </c>
      <c r="E1764" s="1" t="n">
        <v>46292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49401-2023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45211</v>
      </c>
      <c r="E1765" s="1" t="n">
        <v>46292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45557-2023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45194</v>
      </c>
      <c r="E1766" s="1" t="n">
        <v>46292</v>
      </c>
      <c r="F1766" t="inlineStr">
        <is>
          <t>GÄVLEBORGS LÄN</t>
        </is>
      </c>
      <c r="G1766" t="inlineStr">
        <is>
          <t>BOLLNÄS</t>
        </is>
      </c>
      <c r="I1766" t="n">
        <v>2.1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28983-2022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44749</v>
      </c>
      <c r="E1767" s="1" t="n">
        <v>46292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51261-2023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45219</v>
      </c>
      <c r="E1768" s="1" t="n">
        <v>46292</v>
      </c>
      <c r="F1768" t="inlineStr">
        <is>
          <t>GÄVLEBORGS LÄN</t>
        </is>
      </c>
      <c r="G1768" t="inlineStr">
        <is>
          <t>BOLLNÄS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8035-2025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45707</v>
      </c>
      <c r="E1769" s="1" t="n">
        <v>46292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63862-2023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45278</v>
      </c>
      <c r="E1770" s="1" t="n">
        <v>46292</v>
      </c>
      <c r="F1770" t="inlineStr">
        <is>
          <t>GÄVLEBORGS LÄN</t>
        </is>
      </c>
      <c r="G1770" t="inlineStr">
        <is>
          <t>BOLLNÄS</t>
        </is>
      </c>
      <c r="I1770" t="n">
        <v>2.7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21009-2022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44704</v>
      </c>
      <c r="E1771" s="1" t="n">
        <v>46292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5388-2024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45331</v>
      </c>
      <c r="E1772" s="1" t="n">
        <v>46292</v>
      </c>
      <c r="F1772" t="inlineStr">
        <is>
          <t>GÄVLEBORGS LÄN</t>
        </is>
      </c>
      <c r="G1772" t="inlineStr">
        <is>
          <t>BOLLNÄS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44625-2023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45189</v>
      </c>
      <c r="E1773" s="1" t="n">
        <v>46292</v>
      </c>
      <c r="F1773" t="inlineStr">
        <is>
          <t>GÄVLEBORGS LÄN</t>
        </is>
      </c>
      <c r="G1773" t="inlineStr">
        <is>
          <t>BOLLNÄS</t>
        </is>
      </c>
      <c r="I1773" t="n">
        <v>5.1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7884-2026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46063</v>
      </c>
      <c r="E1774" s="1" t="n">
        <v>46292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7.6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31498-2026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46223</v>
      </c>
      <c r="E1775" s="1" t="n">
        <v>46292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31499-2026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46223</v>
      </c>
      <c r="E1776" s="1" t="n">
        <v>46292</v>
      </c>
      <c r="F1776" t="inlineStr">
        <is>
          <t>GÄVLEBORGS LÄN</t>
        </is>
      </c>
      <c r="G1776" t="inlineStr">
        <is>
          <t>BOLLNÄS</t>
        </is>
      </c>
      <c r="I1776" t="n">
        <v>2.4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31434-2022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44774</v>
      </c>
      <c r="E1777" s="1" t="n">
        <v>46292</v>
      </c>
      <c r="F1777" t="inlineStr">
        <is>
          <t>GÄVLEBORGS LÄN</t>
        </is>
      </c>
      <c r="G1777" t="inlineStr">
        <is>
          <t>BOLLNÄS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57546-2023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45246</v>
      </c>
      <c r="E1778" s="1" t="n">
        <v>46292</v>
      </c>
      <c r="F1778" t="inlineStr">
        <is>
          <t>GÄVLEBORGS LÄN</t>
        </is>
      </c>
      <c r="G1778" t="inlineStr">
        <is>
          <t>BOLLNÄS</t>
        </is>
      </c>
      <c r="I1778" t="n">
        <v>2.5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46052</v>
      </c>
      <c r="E1779" s="1" t="n">
        <v>46292</v>
      </c>
      <c r="F1779" t="inlineStr">
        <is>
          <t>GÄVLEBORGS LÄN</t>
        </is>
      </c>
      <c r="G1779" t="inlineStr">
        <is>
          <t>BOLLNÄS</t>
        </is>
      </c>
      <c r="I1779" t="n">
        <v>16.9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8955-2026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46069</v>
      </c>
      <c r="E1780" s="1" t="n">
        <v>46292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31497-2026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46223</v>
      </c>
      <c r="E1781" s="1" t="n">
        <v>46292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51310-2023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45219</v>
      </c>
      <c r="E1782" s="1" t="n">
        <v>46292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35916-2026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46266</v>
      </c>
      <c r="E1783" s="1" t="n">
        <v>46292</v>
      </c>
      <c r="F1783" t="inlineStr">
        <is>
          <t>GÄVLEBORGS LÄN</t>
        </is>
      </c>
      <c r="G1783" t="inlineStr">
        <is>
          <t>BOLLNÄS</t>
        </is>
      </c>
      <c r="I1783" t="n">
        <v>2.9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13988-2026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46098</v>
      </c>
      <c r="E1784" s="1" t="n">
        <v>46292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10021-2025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45719</v>
      </c>
      <c r="E1785" s="1" t="n">
        <v>46292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24110-2026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46168</v>
      </c>
      <c r="E1786" s="1" t="n">
        <v>46292</v>
      </c>
      <c r="F1786" t="inlineStr">
        <is>
          <t>GÄVLEBORGS LÄN</t>
        </is>
      </c>
      <c r="G1786" t="inlineStr">
        <is>
          <t>BOLLNÄS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36061-2026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46267</v>
      </c>
      <c r="E1787" s="1" t="n">
        <v>46292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36109-2026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46267</v>
      </c>
      <c r="E1788" s="1" t="n">
        <v>46292</v>
      </c>
      <c r="F1788" t="inlineStr">
        <is>
          <t>GÄVLEBORGS LÄN</t>
        </is>
      </c>
      <c r="G1788" t="inlineStr">
        <is>
          <t>BOLLNÄS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42350-2022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44831</v>
      </c>
      <c r="E1789" s="1" t="n">
        <v>46292</v>
      </c>
      <c r="F1789" t="inlineStr">
        <is>
          <t>GÄVLEBORGS LÄN</t>
        </is>
      </c>
      <c r="G1789" t="inlineStr">
        <is>
          <t>BOLLNÄS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31563-2026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46224</v>
      </c>
      <c r="E1790" s="1" t="n">
        <v>46292</v>
      </c>
      <c r="F1790" t="inlineStr">
        <is>
          <t>GÄVLEBORGS LÄN</t>
        </is>
      </c>
      <c r="G1790" t="inlineStr">
        <is>
          <t>BOLLNÄS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31643-2026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46225</v>
      </c>
      <c r="E1791" s="1" t="n">
        <v>46292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46057</v>
      </c>
      <c r="E1792" s="1" t="n">
        <v>46292</v>
      </c>
      <c r="F1792" t="inlineStr">
        <is>
          <t>GÄVLEBORGS LÄN</t>
        </is>
      </c>
      <c r="G1792" t="inlineStr">
        <is>
          <t>BOLLNÄS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8957-2026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46069</v>
      </c>
      <c r="E1793" s="1" t="n">
        <v>46292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36574-2026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46269</v>
      </c>
      <c r="E1794" s="1" t="n">
        <v>46292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Kommuner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36487-2026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46292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28981-2022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44749</v>
      </c>
      <c r="E1796" s="1" t="n">
        <v>46292</v>
      </c>
      <c r="F1796" t="inlineStr">
        <is>
          <t>GÄVLEBORGS LÄN</t>
        </is>
      </c>
      <c r="G1796" t="inlineStr">
        <is>
          <t>BOLLNÄS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46292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36087-2023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45149</v>
      </c>
      <c r="E1798" s="1" t="n">
        <v>46292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31722-2026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46226</v>
      </c>
      <c r="E1799" s="1" t="n">
        <v>46292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36579-2026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46269</v>
      </c>
      <c r="E1800" s="1" t="n">
        <v>46292</v>
      </c>
      <c r="F1800" t="inlineStr">
        <is>
          <t>GÄVLEBORGS LÄN</t>
        </is>
      </c>
      <c r="G1800" t="inlineStr">
        <is>
          <t>BOLLNÄS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36757-2026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46272</v>
      </c>
      <c r="E1801" s="1" t="n">
        <v>46292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Kommuner</t>
        </is>
      </c>
      <c r="I1801" t="n">
        <v>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31748-2026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46227</v>
      </c>
      <c r="E1802" s="1" t="n">
        <v>46292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36702-2026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46272</v>
      </c>
      <c r="E1803" s="1" t="n">
        <v>46292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6.5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31789-2026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46227</v>
      </c>
      <c r="E1804" s="1" t="n">
        <v>46292</v>
      </c>
      <c r="F1804" t="inlineStr">
        <is>
          <t>GÄVLEBORGS LÄN</t>
        </is>
      </c>
      <c r="G1804" t="inlineStr">
        <is>
          <t>BOLLNÄS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37071-2022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44806</v>
      </c>
      <c r="E1805" s="1" t="n">
        <v>46292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36772-2026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46272</v>
      </c>
      <c r="E1806" s="1" t="n">
        <v>46292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58506-2023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45251</v>
      </c>
      <c r="E1807" s="1" t="n">
        <v>46292</v>
      </c>
      <c r="F1807" t="inlineStr">
        <is>
          <t>GÄVLEBORGS LÄN</t>
        </is>
      </c>
      <c r="G1807" t="inlineStr">
        <is>
          <t>BOLLNÄS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36528-2026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46269</v>
      </c>
      <c r="E1808" s="1" t="n">
        <v>46292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Sveaskog</t>
        </is>
      </c>
      <c r="I1808" t="n">
        <v>8.699999999999999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36529-2026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46269</v>
      </c>
      <c r="E1809" s="1" t="n">
        <v>46292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Sveaskog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36572-2026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46269</v>
      </c>
      <c r="E1810" s="1" t="n">
        <v>46292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Kommuner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58333-2022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44901</v>
      </c>
      <c r="E1811" s="1" t="n">
        <v>46292</v>
      </c>
      <c r="F1811" t="inlineStr">
        <is>
          <t>GÄVLEBORGS LÄN</t>
        </is>
      </c>
      <c r="G1811" t="inlineStr">
        <is>
          <t>BOLLNÄS</t>
        </is>
      </c>
      <c r="I1811" t="n">
        <v>1.8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36575-2026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46269</v>
      </c>
      <c r="E1812" s="1" t="n">
        <v>46292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Kommuner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36696-2026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46272</v>
      </c>
      <c r="E1813" s="1" t="n">
        <v>46292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27612-2024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45474</v>
      </c>
      <c r="E1814" s="1" t="n">
        <v>46292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36769-2026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46272</v>
      </c>
      <c r="E1815" s="1" t="n">
        <v>46292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31922-2026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46231</v>
      </c>
      <c r="E1816" s="1" t="n">
        <v>46292</v>
      </c>
      <c r="F1816" t="inlineStr">
        <is>
          <t>GÄVLEBORGS LÄN</t>
        </is>
      </c>
      <c r="G1816" t="inlineStr">
        <is>
          <t>BOLLNÄS</t>
        </is>
      </c>
      <c r="I1816" t="n">
        <v>14.7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51443-2022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44869</v>
      </c>
      <c r="E1817" s="1" t="n">
        <v>46292</v>
      </c>
      <c r="F1817" t="inlineStr">
        <is>
          <t>GÄVLEBORGS LÄN</t>
        </is>
      </c>
      <c r="G1817" t="inlineStr">
        <is>
          <t>BOLLNÄS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37046-2026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46273</v>
      </c>
      <c r="E1818" s="1" t="n">
        <v>46292</v>
      </c>
      <c r="F1818" t="inlineStr">
        <is>
          <t>GÄVLEBORGS LÄN</t>
        </is>
      </c>
      <c r="G1818" t="inlineStr">
        <is>
          <t>BOLLNÄS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36881-2026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46273</v>
      </c>
      <c r="E1819" s="1" t="n">
        <v>46292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37276-2026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46274</v>
      </c>
      <c r="E1820" s="1" t="n">
        <v>46292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46273</v>
      </c>
      <c r="E1821" s="1" t="n">
        <v>46292</v>
      </c>
      <c r="F1821" t="inlineStr">
        <is>
          <t>GÄVLEBORGS LÄN</t>
        </is>
      </c>
      <c r="G1821" t="inlineStr">
        <is>
          <t>BOLLNÄS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37093-2026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46273</v>
      </c>
      <c r="E1822" s="1" t="n">
        <v>46292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5.2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2297-2024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45310</v>
      </c>
      <c r="E1823" s="1" t="n">
        <v>46292</v>
      </c>
      <c r="F1823" t="inlineStr">
        <is>
          <t>GÄVLEBORGS LÄN</t>
        </is>
      </c>
      <c r="G1823" t="inlineStr">
        <is>
          <t>BOLLNÄS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31809-2026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46230</v>
      </c>
      <c r="E1824" s="1" t="n">
        <v>46292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0.3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37272-2026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46274</v>
      </c>
      <c r="E1825" s="1" t="n">
        <v>46292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37659-2026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46276</v>
      </c>
      <c r="E1826" s="1" t="n">
        <v>46292</v>
      </c>
      <c r="F1826" t="inlineStr">
        <is>
          <t>GÄVLEBORGS LÄN</t>
        </is>
      </c>
      <c r="G1826" t="inlineStr">
        <is>
          <t>BOLLNÄS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37368-2026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46275</v>
      </c>
      <c r="E1827" s="1" t="n">
        <v>46292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3.6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37559-2026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46276</v>
      </c>
      <c r="E1828" s="1" t="n">
        <v>46292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41962-2022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44830</v>
      </c>
      <c r="E1829" s="1" t="n">
        <v>46292</v>
      </c>
      <c r="F1829" t="inlineStr">
        <is>
          <t>GÄVLEBORGS LÄN</t>
        </is>
      </c>
      <c r="G1829" t="inlineStr">
        <is>
          <t>BOLLNÄS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14986-2025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45743</v>
      </c>
      <c r="E1830" s="1" t="n">
        <v>46292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37660-2026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46276</v>
      </c>
      <c r="E1831" s="1" t="n">
        <v>46292</v>
      </c>
      <c r="F1831" t="inlineStr">
        <is>
          <t>GÄVLEBORGS LÄN</t>
        </is>
      </c>
      <c r="G1831" t="inlineStr">
        <is>
          <t>BOLLNÄS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32062-2023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45119</v>
      </c>
      <c r="E1832" s="1" t="n">
        <v>46292</v>
      </c>
      <c r="F1832" t="inlineStr">
        <is>
          <t>GÄVLEBORGS LÄN</t>
        </is>
      </c>
      <c r="G1832" t="inlineStr">
        <is>
          <t>BOLLNÄS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37658-2026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46276</v>
      </c>
      <c r="E1833" s="1" t="n">
        <v>46292</v>
      </c>
      <c r="F1833" t="inlineStr">
        <is>
          <t>GÄVLEBORGS LÄN</t>
        </is>
      </c>
      <c r="G1833" t="inlineStr">
        <is>
          <t>BOLLNÄS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46275</v>
      </c>
      <c r="E1834" s="1" t="n">
        <v>46292</v>
      </c>
      <c r="F1834" t="inlineStr">
        <is>
          <t>GÄVLEBORGS LÄN</t>
        </is>
      </c>
      <c r="G1834" t="inlineStr">
        <is>
          <t>BOLLNÄS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37512-2026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46276</v>
      </c>
      <c r="E1835" s="1" t="n">
        <v>46292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51867-2022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44872</v>
      </c>
      <c r="E1836" s="1" t="n">
        <v>46292</v>
      </c>
      <c r="F1836" t="inlineStr">
        <is>
          <t>GÄVLEBORGS LÄN</t>
        </is>
      </c>
      <c r="G1836" t="inlineStr">
        <is>
          <t>BOLLNÄS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32019-2026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46233</v>
      </c>
      <c r="E1837" s="1" t="n">
        <v>46292</v>
      </c>
      <c r="F1837" t="inlineStr">
        <is>
          <t>GÄVLEBORGS LÄN</t>
        </is>
      </c>
      <c r="G1837" t="inlineStr">
        <is>
          <t>BOLLNÄS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31385-2023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45114</v>
      </c>
      <c r="E1838" s="1" t="n">
        <v>46292</v>
      </c>
      <c r="F1838" t="inlineStr">
        <is>
          <t>GÄVLEBORGS LÄN</t>
        </is>
      </c>
      <c r="G1838" t="inlineStr">
        <is>
          <t>BOLLNÄS</t>
        </is>
      </c>
      <c r="I1838" t="n">
        <v>6.9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37520-2026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46276</v>
      </c>
      <c r="E1839" s="1" t="n">
        <v>46292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37664-2026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46276</v>
      </c>
      <c r="E1840" s="1" t="n">
        <v>46292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17.2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38033-2026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46280</v>
      </c>
      <c r="E1841" s="1" t="n">
        <v>46292</v>
      </c>
      <c r="F1841" t="inlineStr">
        <is>
          <t>GÄVLEBORGS LÄN</t>
        </is>
      </c>
      <c r="G1841" t="inlineStr">
        <is>
          <t>BOLLNÄS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15814-2026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46107</v>
      </c>
      <c r="E1842" s="1" t="n">
        <v>46292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37732-2026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46279</v>
      </c>
      <c r="E1843" s="1" t="n">
        <v>46292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521-2024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45299</v>
      </c>
      <c r="E1844" s="1" t="n">
        <v>46292</v>
      </c>
      <c r="F1844" t="inlineStr">
        <is>
          <t>GÄVLEBORGS LÄN</t>
        </is>
      </c>
      <c r="G1844" t="inlineStr">
        <is>
          <t>BOLLNÄS</t>
        </is>
      </c>
      <c r="I1844" t="n">
        <v>4.8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16935-2026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46113</v>
      </c>
      <c r="E1845" s="1" t="n">
        <v>46292</v>
      </c>
      <c r="F1845" t="inlineStr">
        <is>
          <t>GÄVLEBORGS LÄN</t>
        </is>
      </c>
      <c r="G1845" t="inlineStr">
        <is>
          <t>BOLLNÄS</t>
        </is>
      </c>
      <c r="I1845" t="n">
        <v>10.1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20060-2026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46136</v>
      </c>
      <c r="E1846" s="1" t="n">
        <v>46292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37939-2026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46280</v>
      </c>
      <c r="E1847" s="1" t="n">
        <v>46292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18025-2026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46125</v>
      </c>
      <c r="E1848" s="1" t="n">
        <v>46292</v>
      </c>
      <c r="F1848" t="inlineStr">
        <is>
          <t>GÄVLEBORGS LÄN</t>
        </is>
      </c>
      <c r="G1848" t="inlineStr">
        <is>
          <t>BOLLNÄS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16936-2026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46113</v>
      </c>
      <c r="E1849" s="1" t="n">
        <v>46292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16937-2026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46113</v>
      </c>
      <c r="E1850" s="1" t="n">
        <v>46292</v>
      </c>
      <c r="F1850" t="inlineStr">
        <is>
          <t>GÄVLEBORGS LÄN</t>
        </is>
      </c>
      <c r="G1850" t="inlineStr">
        <is>
          <t>BOLLNÄS</t>
        </is>
      </c>
      <c r="I1850" t="n">
        <v>14.2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323-2026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46027</v>
      </c>
      <c r="E1851" s="1" t="n">
        <v>46292</v>
      </c>
      <c r="F1851" t="inlineStr">
        <is>
          <t>GÄVLEBORGS LÄN</t>
        </is>
      </c>
      <c r="G1851" t="inlineStr">
        <is>
          <t>BOLLNÄS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37980-2026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46280</v>
      </c>
      <c r="E1852" s="1" t="n">
        <v>46292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20412-2026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46140</v>
      </c>
      <c r="E1853" s="1" t="n">
        <v>46292</v>
      </c>
      <c r="F1853" t="inlineStr">
        <is>
          <t>GÄVLEBORGS LÄN</t>
        </is>
      </c>
      <c r="G1853" t="inlineStr">
        <is>
          <t>BOLLNÄS</t>
        </is>
      </c>
      <c r="I1853" t="n">
        <v>4.6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26440-2024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45469</v>
      </c>
      <c r="E1854" s="1" t="n">
        <v>46292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37691-2026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46279</v>
      </c>
      <c r="E1855" s="1" t="n">
        <v>46292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25631-2022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44732</v>
      </c>
      <c r="E1856" s="1" t="n">
        <v>46292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19486-2026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46134</v>
      </c>
      <c r="E1857" s="1" t="n">
        <v>46292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26246-2024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45468</v>
      </c>
      <c r="E1858" s="1" t="n">
        <v>46292</v>
      </c>
      <c r="F1858" t="inlineStr">
        <is>
          <t>GÄVLEBORGS LÄN</t>
        </is>
      </c>
      <c r="G1858" t="inlineStr">
        <is>
          <t>BOLLNÄS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50066-2022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44865</v>
      </c>
      <c r="E1859" s="1" t="n">
        <v>46292</v>
      </c>
      <c r="F1859" t="inlineStr">
        <is>
          <t>GÄVLEBORGS LÄN</t>
        </is>
      </c>
      <c r="G1859" t="inlineStr">
        <is>
          <t>BOLLNÄS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32386-2026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46238</v>
      </c>
      <c r="E1860" s="1" t="n">
        <v>46292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38125-2026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46281</v>
      </c>
      <c r="E1861" s="1" t="n">
        <v>46292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29881-2024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45486</v>
      </c>
      <c r="E1862" s="1" t="n">
        <v>46292</v>
      </c>
      <c r="F1862" t="inlineStr">
        <is>
          <t>GÄVLEBORGS LÄN</t>
        </is>
      </c>
      <c r="G1862" t="inlineStr">
        <is>
          <t>BOLLNÄS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38367-2026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46282</v>
      </c>
      <c r="E1863" s="1" t="n">
        <v>46292</v>
      </c>
      <c r="F1863" t="inlineStr">
        <is>
          <t>GÄVLEBORGS LÄN</t>
        </is>
      </c>
      <c r="G1863" t="inlineStr">
        <is>
          <t>BOLLNÄS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32463-2026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46239</v>
      </c>
      <c r="E1864" s="1" t="n">
        <v>46292</v>
      </c>
      <c r="F1864" t="inlineStr">
        <is>
          <t>GÄVLEBORGS LÄN</t>
        </is>
      </c>
      <c r="G1864" t="inlineStr">
        <is>
          <t>BOLLNÄS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32484-2026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46239</v>
      </c>
      <c r="E1865" s="1" t="n">
        <v>46292</v>
      </c>
      <c r="F1865" t="inlineStr">
        <is>
          <t>GÄVLEBORGS LÄN</t>
        </is>
      </c>
      <c r="G1865" t="inlineStr">
        <is>
          <t>BOLLNÄS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38402-2026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46282</v>
      </c>
      <c r="E1866" s="1" t="n">
        <v>46292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3.4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38434-2026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46282</v>
      </c>
      <c r="E1867" s="1" t="n">
        <v>46292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8.699999999999999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38403-2026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46282</v>
      </c>
      <c r="E1868" s="1" t="n">
        <v>46292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32455-2026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46239</v>
      </c>
      <c r="E1869" s="1" t="n">
        <v>46292</v>
      </c>
      <c r="F1869" t="inlineStr">
        <is>
          <t>GÄVLEBORGS LÄN</t>
        </is>
      </c>
      <c r="G1869" t="inlineStr">
        <is>
          <t>BOLLNÄS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32478-2026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46239</v>
      </c>
      <c r="E1870" s="1" t="n">
        <v>46292</v>
      </c>
      <c r="F1870" t="inlineStr">
        <is>
          <t>GÄVLEBORGS LÄN</t>
        </is>
      </c>
      <c r="G1870" t="inlineStr">
        <is>
          <t>BOLLNÄS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38717-2026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46284</v>
      </c>
      <c r="E1871" s="1" t="n">
        <v>46292</v>
      </c>
      <c r="F1871" t="inlineStr">
        <is>
          <t>GÄVLEBORGS LÄN</t>
        </is>
      </c>
      <c r="G1871" t="inlineStr">
        <is>
          <t>BOLLNÄS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32704-2026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46241</v>
      </c>
      <c r="E1872" s="1" t="n">
        <v>46292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38887-2026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46286</v>
      </c>
      <c r="E1873" s="1" t="n">
        <v>46292</v>
      </c>
      <c r="F1873" t="inlineStr">
        <is>
          <t>GÄVLEBORGS LÄN</t>
        </is>
      </c>
      <c r="G1873" t="inlineStr">
        <is>
          <t>BOLLNÄS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32605-2026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46240</v>
      </c>
      <c r="E1874" s="1" t="n">
        <v>46292</v>
      </c>
      <c r="F1874" t="inlineStr">
        <is>
          <t>GÄVLEBORGS LÄN</t>
        </is>
      </c>
      <c r="G1874" t="inlineStr">
        <is>
          <t>BOLLNÄS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38796-2026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46286</v>
      </c>
      <c r="E1875" s="1" t="n">
        <v>46292</v>
      </c>
      <c r="F1875" t="inlineStr">
        <is>
          <t>GÄVLEBORGS LÄN</t>
        </is>
      </c>
      <c r="G1875" t="inlineStr">
        <is>
          <t>BOLLNÄS</t>
        </is>
      </c>
      <c r="I1875" t="n">
        <v>6.1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36979-2026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46273</v>
      </c>
      <c r="E1876" s="1" t="n">
        <v>46292</v>
      </c>
      <c r="F1876" t="inlineStr">
        <is>
          <t>GÄVLEBORGS LÄN</t>
        </is>
      </c>
      <c r="G1876" t="inlineStr">
        <is>
          <t>BOLLNÄS</t>
        </is>
      </c>
      <c r="I1876" t="n">
        <v>5.1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46292</v>
      </c>
      <c r="F1877" t="inlineStr">
        <is>
          <t>GÄVLEBORGS LÄN</t>
        </is>
      </c>
      <c r="G1877" t="inlineStr">
        <is>
          <t>BOLLNÄS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38895-2026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46286</v>
      </c>
      <c r="E1878" s="1" t="n">
        <v>46292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38610-2026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46283</v>
      </c>
      <c r="E1879" s="1" t="n">
        <v>46292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Sveaskog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38555-2026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46283</v>
      </c>
      <c r="E1880" s="1" t="n">
        <v>46292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5.5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38559-2026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46283</v>
      </c>
      <c r="E1881" s="1" t="n">
        <v>46292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59729-2022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44908</v>
      </c>
      <c r="E1882" s="1" t="n">
        <v>46292</v>
      </c>
      <c r="F1882" t="inlineStr">
        <is>
          <t>GÄVLEBORGS LÄN</t>
        </is>
      </c>
      <c r="G1882" t="inlineStr">
        <is>
          <t>BOLLNÄS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5135-2022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44594</v>
      </c>
      <c r="E1883" s="1" t="n">
        <v>46292</v>
      </c>
      <c r="F1883" t="inlineStr">
        <is>
          <t>GÄVLEBORGS LÄN</t>
        </is>
      </c>
      <c r="G1883" t="inlineStr">
        <is>
          <t>BOLLNÄS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39091-2024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45548</v>
      </c>
      <c r="E1884" s="1" t="n">
        <v>46292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32968-2026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46244</v>
      </c>
      <c r="E1885" s="1" t="n">
        <v>46292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30561-2024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45492</v>
      </c>
      <c r="E1886" s="1" t="n">
        <v>46292</v>
      </c>
      <c r="F1886" t="inlineStr">
        <is>
          <t>GÄVLEBORGS LÄN</t>
        </is>
      </c>
      <c r="G1886" t="inlineStr">
        <is>
          <t>BOLLNÄS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38607-2026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46283</v>
      </c>
      <c r="E1887" s="1" t="n">
        <v>46292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Sveaskog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49624-2022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44862</v>
      </c>
      <c r="E1888" s="1" t="n">
        <v>46292</v>
      </c>
      <c r="F1888" t="inlineStr">
        <is>
          <t>GÄVLEBORGS LÄN</t>
        </is>
      </c>
      <c r="G1888" t="inlineStr">
        <is>
          <t>BOLLNÄS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65403-2021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44515</v>
      </c>
      <c r="E1889" s="1" t="n">
        <v>46292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53566-2022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44879</v>
      </c>
      <c r="E1890" s="1" t="n">
        <v>46292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Holmen skog AB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36913-2026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46273</v>
      </c>
      <c r="E1891" s="1" t="n">
        <v>46292</v>
      </c>
      <c r="F1891" t="inlineStr">
        <is>
          <t>GÄVLEBORGS LÄN</t>
        </is>
      </c>
      <c r="G1891" t="inlineStr">
        <is>
          <t>BOLLNÄS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36970-2026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46273</v>
      </c>
      <c r="E1892" s="1" t="n">
        <v>46292</v>
      </c>
      <c r="F1892" t="inlineStr">
        <is>
          <t>GÄVLEBORGS LÄN</t>
        </is>
      </c>
      <c r="G1892" t="inlineStr">
        <is>
          <t>BOLLNÄS</t>
        </is>
      </c>
      <c r="I1892" t="n">
        <v>5.3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46292</v>
      </c>
      <c r="F1893" t="inlineStr">
        <is>
          <t>GÄVLEBORGS LÄN</t>
        </is>
      </c>
      <c r="G1893" t="inlineStr">
        <is>
          <t>BOLLNÄS</t>
        </is>
      </c>
      <c r="I1893" t="n">
        <v>2.3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26528-2026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46183</v>
      </c>
      <c r="E1894" s="1" t="n">
        <v>46292</v>
      </c>
      <c r="F1894" t="inlineStr">
        <is>
          <t>GÄVLEBORGS LÄN</t>
        </is>
      </c>
      <c r="G1894" t="inlineStr">
        <is>
          <t>BOLLNÄS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14050-2023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45008</v>
      </c>
      <c r="E1895" s="1" t="n">
        <v>46292</v>
      </c>
      <c r="F1895" t="inlineStr">
        <is>
          <t>GÄVLEBORGS LÄN</t>
        </is>
      </c>
      <c r="G1895" t="inlineStr">
        <is>
          <t>BOLLNÄS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39308-2026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46288</v>
      </c>
      <c r="E1896" s="1" t="n">
        <v>46292</v>
      </c>
      <c r="F1896" t="inlineStr">
        <is>
          <t>GÄVLEBORGS LÄN</t>
        </is>
      </c>
      <c r="G1896" t="inlineStr">
        <is>
          <t>BOLLNÄS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28314-2023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45099</v>
      </c>
      <c r="E1897" s="1" t="n">
        <v>46292</v>
      </c>
      <c r="F1897" t="inlineStr">
        <is>
          <t>GÄVLEBORGS LÄN</t>
        </is>
      </c>
      <c r="G1897" t="inlineStr">
        <is>
          <t>BOLLNÄS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36877-2022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44805</v>
      </c>
      <c r="E1898" s="1" t="n">
        <v>46292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41740-2023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45176</v>
      </c>
      <c r="E1899" s="1" t="n">
        <v>46292</v>
      </c>
      <c r="F1899" t="inlineStr">
        <is>
          <t>GÄVLEBORGS LÄN</t>
        </is>
      </c>
      <c r="G1899" t="inlineStr">
        <is>
          <t>BOLLNÄS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32908-2026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46244</v>
      </c>
      <c r="E1900" s="1" t="n">
        <v>46292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10.5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12010-2026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46085</v>
      </c>
      <c r="E1901" s="1" t="n">
        <v>46292</v>
      </c>
      <c r="F1901" t="inlineStr">
        <is>
          <t>GÄVLEBORGS LÄN</t>
        </is>
      </c>
      <c r="G1901" t="inlineStr">
        <is>
          <t>BOLLNÄS</t>
        </is>
      </c>
      <c r="I1901" t="n">
        <v>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61592-2022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44916</v>
      </c>
      <c r="E1902" s="1" t="n">
        <v>46292</v>
      </c>
      <c r="F1902" t="inlineStr">
        <is>
          <t>GÄVLEBORGS LÄN</t>
        </is>
      </c>
      <c r="G1902" t="inlineStr">
        <is>
          <t>BOLLNÄS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64043-2025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46021</v>
      </c>
      <c r="E1903" s="1" t="n">
        <v>46292</v>
      </c>
      <c r="F1903" t="inlineStr">
        <is>
          <t>GÄVLEBORGS LÄN</t>
        </is>
      </c>
      <c r="G1903" t="inlineStr">
        <is>
          <t>BOLLNÄS</t>
        </is>
      </c>
      <c r="I1903" t="n">
        <v>17.6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6879-2023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44967</v>
      </c>
      <c r="E1904" s="1" t="n">
        <v>46292</v>
      </c>
      <c r="F1904" t="inlineStr">
        <is>
          <t>GÄVLEBORGS LÄN</t>
        </is>
      </c>
      <c r="G1904" t="inlineStr">
        <is>
          <t>BOLLNÄS</t>
        </is>
      </c>
      <c r="I1904" t="n">
        <v>6.3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1515-2026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46292</v>
      </c>
      <c r="F1905" t="inlineStr">
        <is>
          <t>GÄVLEBORGS LÄN</t>
        </is>
      </c>
      <c r="G1905" t="inlineStr">
        <is>
          <t>BOLLNÄS</t>
        </is>
      </c>
      <c r="I1905" t="n">
        <v>16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32898-2026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46244</v>
      </c>
      <c r="E1906" s="1" t="n">
        <v>46292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46958-2024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45586</v>
      </c>
      <c r="E1907" s="1" t="n">
        <v>46292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27322-2026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46292</v>
      </c>
      <c r="F1908" t="inlineStr">
        <is>
          <t>GÄVLEBORGS LÄN</t>
        </is>
      </c>
      <c r="G1908" t="inlineStr">
        <is>
          <t>BOLLNÄS</t>
        </is>
      </c>
      <c r="I1908" t="n">
        <v>6.4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33390-2026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46247</v>
      </c>
      <c r="E1909" s="1" t="n">
        <v>46292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39592-2026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46289</v>
      </c>
      <c r="E1910" s="1" t="n">
        <v>46292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Sveaskog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39851-2026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46290</v>
      </c>
      <c r="E1911" s="1" t="n">
        <v>46292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34405-2026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46254</v>
      </c>
      <c r="E1912" s="1" t="n">
        <v>46292</v>
      </c>
      <c r="F1912" t="inlineStr">
        <is>
          <t>GÄVLEBORGS LÄN</t>
        </is>
      </c>
      <c r="G1912" t="inlineStr">
        <is>
          <t>BOLLNÄS</t>
        </is>
      </c>
      <c r="I1912" t="n">
        <v>41.4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27558-2023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45097</v>
      </c>
      <c r="E1913" s="1" t="n">
        <v>46292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48301-2023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45205</v>
      </c>
      <c r="E1914" s="1" t="n">
        <v>46292</v>
      </c>
      <c r="F1914" t="inlineStr">
        <is>
          <t>GÄVLEBORGS LÄN</t>
        </is>
      </c>
      <c r="G1914" t="inlineStr">
        <is>
          <t>BOLLNÄS</t>
        </is>
      </c>
      <c r="I1914" t="n">
        <v>5.1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37194-2023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45155</v>
      </c>
      <c r="E1915" s="1" t="n">
        <v>46292</v>
      </c>
      <c r="F1915" t="inlineStr">
        <is>
          <t>GÄVLEBORGS LÄN</t>
        </is>
      </c>
      <c r="G1915" t="inlineStr">
        <is>
          <t>BOLLNÄS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71657-2021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44543</v>
      </c>
      <c r="E1916" s="1" t="n">
        <v>46292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18151-2024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45420</v>
      </c>
      <c r="E1917" s="1" t="n">
        <v>46292</v>
      </c>
      <c r="F1917" t="inlineStr">
        <is>
          <t>GÄVLEBORGS LÄN</t>
        </is>
      </c>
      <c r="G1917" t="inlineStr">
        <is>
          <t>BOLLNÄS</t>
        </is>
      </c>
      <c r="I1917" t="n">
        <v>7.2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51259-2023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45219</v>
      </c>
      <c r="E1918" s="1" t="n">
        <v>46292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11799-2025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45727</v>
      </c>
      <c r="E1919" s="1" t="n">
        <v>46292</v>
      </c>
      <c r="F1919" t="inlineStr">
        <is>
          <t>GÄVLEBORGS LÄN</t>
        </is>
      </c>
      <c r="G1919" t="inlineStr">
        <is>
          <t>BOLLNÄS</t>
        </is>
      </c>
      <c r="I1919" t="n">
        <v>9.5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28080-2024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45476</v>
      </c>
      <c r="E1920" s="1" t="n">
        <v>46292</v>
      </c>
      <c r="F1920" t="inlineStr">
        <is>
          <t>GÄVLEBORGS LÄN</t>
        </is>
      </c>
      <c r="G1920" t="inlineStr">
        <is>
          <t>BOLLNÄS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33496-2026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46248</v>
      </c>
      <c r="E1921" s="1" t="n">
        <v>46292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33588-2026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46248</v>
      </c>
      <c r="E1922" s="1" t="n">
        <v>46292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39568-2026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46289</v>
      </c>
      <c r="E1923" s="1" t="n">
        <v>46292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33589-2026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46248</v>
      </c>
      <c r="E1924" s="1" t="n">
        <v>46292</v>
      </c>
      <c r="F1924" t="inlineStr">
        <is>
          <t>GÄVLEBORGS LÄN</t>
        </is>
      </c>
      <c r="G1924" t="inlineStr">
        <is>
          <t>BOLLNÄS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51983-2024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45607</v>
      </c>
      <c r="E1925" s="1" t="n">
        <v>46292</v>
      </c>
      <c r="F1925" t="inlineStr">
        <is>
          <t>GÄVLEBORGS LÄN</t>
        </is>
      </c>
      <c r="G1925" t="inlineStr">
        <is>
          <t>BOLLNÄS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15146-2023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45016</v>
      </c>
      <c r="E1926" s="1" t="n">
        <v>46292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18334-2024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45422</v>
      </c>
      <c r="E1927" s="1" t="n">
        <v>46292</v>
      </c>
      <c r="F1927" t="inlineStr">
        <is>
          <t>GÄVLEBORGS LÄN</t>
        </is>
      </c>
      <c r="G1927" t="inlineStr">
        <is>
          <t>BOLLNÄS</t>
        </is>
      </c>
      <c r="I1927" t="n">
        <v>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53298-2023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45229</v>
      </c>
      <c r="E1928" s="1" t="n">
        <v>46292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53384-2023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45223</v>
      </c>
      <c r="E1929" s="1" t="n">
        <v>46292</v>
      </c>
      <c r="F1929" t="inlineStr">
        <is>
          <t>GÄVLEBORGS LÄN</t>
        </is>
      </c>
      <c r="G1929" t="inlineStr">
        <is>
          <t>BOLLNÄS</t>
        </is>
      </c>
      <c r="I1929" t="n">
        <v>2.8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6833-2023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44967</v>
      </c>
      <c r="E1930" s="1" t="n">
        <v>46292</v>
      </c>
      <c r="F1930" t="inlineStr">
        <is>
          <t>GÄVLEBORGS LÄN</t>
        </is>
      </c>
      <c r="G1930" t="inlineStr">
        <is>
          <t>BOLLNÄS</t>
        </is>
      </c>
      <c r="I1930" t="n">
        <v>11.1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59085-2021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44490</v>
      </c>
      <c r="E1931" s="1" t="n">
        <v>46292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27590-2023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45097</v>
      </c>
      <c r="E1932" s="1" t="n">
        <v>46292</v>
      </c>
      <c r="F1932" t="inlineStr">
        <is>
          <t>GÄVLEBORGS LÄN</t>
        </is>
      </c>
      <c r="G1932" t="inlineStr">
        <is>
          <t>BOLLNÄS</t>
        </is>
      </c>
      <c r="I1932" t="n">
        <v>3.8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49993-2024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45597</v>
      </c>
      <c r="E1933" s="1" t="n">
        <v>46292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29241-2022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44750</v>
      </c>
      <c r="E1934" s="1" t="n">
        <v>46292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Sveaskog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59237-2024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45637</v>
      </c>
      <c r="E1935" s="1" t="n">
        <v>46292</v>
      </c>
      <c r="F1935" t="inlineStr">
        <is>
          <t>GÄVLEBORGS LÄN</t>
        </is>
      </c>
      <c r="G1935" t="inlineStr">
        <is>
          <t>BOLLNÄS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15150-2023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45016</v>
      </c>
      <c r="E1936" s="1" t="n">
        <v>46292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46739-2024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45583</v>
      </c>
      <c r="E1937" s="1" t="n">
        <v>46292</v>
      </c>
      <c r="F1937" t="inlineStr">
        <is>
          <t>GÄVLEBORGS LÄN</t>
        </is>
      </c>
      <c r="G1937" t="inlineStr">
        <is>
          <t>BOLLNÄS</t>
        </is>
      </c>
      <c r="I1937" t="n">
        <v>5.1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35071-2023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45145</v>
      </c>
      <c r="E1938" s="1" t="n">
        <v>46292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51306-2023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45219</v>
      </c>
      <c r="E1939" s="1" t="n">
        <v>46292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2311-2024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45310</v>
      </c>
      <c r="E1940" s="1" t="n">
        <v>46292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Övriga statliga verk och myndigheter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50544-2023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45217</v>
      </c>
      <c r="E1941" s="1" t="n">
        <v>46292</v>
      </c>
      <c r="F1941" t="inlineStr">
        <is>
          <t>GÄVLEBORGS LÄN</t>
        </is>
      </c>
      <c r="G1941" t="inlineStr">
        <is>
          <t>BOLLNÄS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2345-2024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45310</v>
      </c>
      <c r="E1942" s="1" t="n">
        <v>46292</v>
      </c>
      <c r="F1942" t="inlineStr">
        <is>
          <t>GÄVLEBORGS LÄN</t>
        </is>
      </c>
      <c r="G1942" t="inlineStr">
        <is>
          <t>BOLLNÄS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41730-2023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45176</v>
      </c>
      <c r="E1943" s="1" t="n">
        <v>46292</v>
      </c>
      <c r="F1943" t="inlineStr">
        <is>
          <t>GÄVLEBORGS LÄN</t>
        </is>
      </c>
      <c r="G1943" t="inlineStr">
        <is>
          <t>BOLLNÄS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54974-2022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44886</v>
      </c>
      <c r="E1944" s="1" t="n">
        <v>46292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50053-2022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44865</v>
      </c>
      <c r="E1945" s="1" t="n">
        <v>46292</v>
      </c>
      <c r="F1945" t="inlineStr">
        <is>
          <t>GÄVLEBORGS LÄN</t>
        </is>
      </c>
      <c r="G1945" t="inlineStr">
        <is>
          <t>BOLLNÄS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36629-2023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45153</v>
      </c>
      <c r="E1946" s="1" t="n">
        <v>46292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36699-2023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45153</v>
      </c>
      <c r="E1947" s="1" t="n">
        <v>46292</v>
      </c>
      <c r="F1947" t="inlineStr">
        <is>
          <t>GÄVLEBORGS LÄN</t>
        </is>
      </c>
      <c r="G1947" t="inlineStr">
        <is>
          <t>BOLLNÄS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24958-2023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45085</v>
      </c>
      <c r="E1948" s="1" t="n">
        <v>46292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60495-2023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45258</v>
      </c>
      <c r="E1949" s="1" t="n">
        <v>46292</v>
      </c>
      <c r="F1949" t="inlineStr">
        <is>
          <t>GÄVLEBORGS LÄN</t>
        </is>
      </c>
      <c r="G1949" t="inlineStr">
        <is>
          <t>BOLLNÄS</t>
        </is>
      </c>
      <c r="I1949" t="n">
        <v>7.1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54511-2024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45617</v>
      </c>
      <c r="E1950" s="1" t="n">
        <v>46292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6752-2024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45342</v>
      </c>
      <c r="E1951" s="1" t="n">
        <v>46292</v>
      </c>
      <c r="F1951" t="inlineStr">
        <is>
          <t>GÄVLEBORGS LÄN</t>
        </is>
      </c>
      <c r="G1951" t="inlineStr">
        <is>
          <t>BOLLNÄS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6755-2024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45342</v>
      </c>
      <c r="E1952" s="1" t="n">
        <v>46292</v>
      </c>
      <c r="F1952" t="inlineStr">
        <is>
          <t>GÄVLEBORGS LÄN</t>
        </is>
      </c>
      <c r="G1952" t="inlineStr">
        <is>
          <t>BOLLNÄS</t>
        </is>
      </c>
      <c r="I1952" t="n">
        <v>2.4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12018-2024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45377</v>
      </c>
      <c r="E1953" s="1" t="n">
        <v>46292</v>
      </c>
      <c r="F1953" t="inlineStr">
        <is>
          <t>GÄVLEBORGS LÄN</t>
        </is>
      </c>
      <c r="G1953" t="inlineStr">
        <is>
          <t>BOLLNÄS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32859-2024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45516</v>
      </c>
      <c r="E1954" s="1" t="n">
        <v>46292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46669-2024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46292</v>
      </c>
      <c r="F1955" t="inlineStr">
        <is>
          <t>GÄVLEBORGS LÄN</t>
        </is>
      </c>
      <c r="G1955" t="inlineStr">
        <is>
          <t>BOLLNÄS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42306-2023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45180</v>
      </c>
      <c r="E1956" s="1" t="n">
        <v>46292</v>
      </c>
      <c r="F1956" t="inlineStr">
        <is>
          <t>GÄVLEBORGS LÄN</t>
        </is>
      </c>
      <c r="G1956" t="inlineStr">
        <is>
          <t>BOLLNÄS</t>
        </is>
      </c>
      <c r="I1956" t="n">
        <v>4.8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55593-2024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45622</v>
      </c>
      <c r="E1957" s="1" t="n">
        <v>46292</v>
      </c>
      <c r="F1957" t="inlineStr">
        <is>
          <t>GÄVLEBORGS LÄN</t>
        </is>
      </c>
      <c r="G1957" t="inlineStr">
        <is>
          <t>BOLLNÄS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42233-2023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45180</v>
      </c>
      <c r="E1958" s="1" t="n">
        <v>46292</v>
      </c>
      <c r="F1958" t="inlineStr">
        <is>
          <t>GÄVLEBORGS LÄN</t>
        </is>
      </c>
      <c r="G1958" t="inlineStr">
        <is>
          <t>BOLLNÄS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3271-2025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45679</v>
      </c>
      <c r="E1959" s="1" t="n">
        <v>46292</v>
      </c>
      <c r="F1959" t="inlineStr">
        <is>
          <t>GÄVLEBORGS LÄN</t>
        </is>
      </c>
      <c r="G1959" t="inlineStr">
        <is>
          <t>BOLLNÄS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61220-2022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44915</v>
      </c>
      <c r="E1960" s="1" t="n">
        <v>46292</v>
      </c>
      <c r="F1960" t="inlineStr">
        <is>
          <t>GÄVLEBORGS LÄN</t>
        </is>
      </c>
      <c r="G1960" t="inlineStr">
        <is>
          <t>BOLLNÄS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47438-2023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45202</v>
      </c>
      <c r="E1961" s="1" t="n">
        <v>46292</v>
      </c>
      <c r="F1961" t="inlineStr">
        <is>
          <t>GÄVLEBORGS LÄN</t>
        </is>
      </c>
      <c r="G1961" t="inlineStr">
        <is>
          <t>BOLLNÄS</t>
        </is>
      </c>
      <c r="I1961" t="n">
        <v>9.1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12686-2025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45733</v>
      </c>
      <c r="E1962" s="1" t="n">
        <v>46292</v>
      </c>
      <c r="F1962" t="inlineStr">
        <is>
          <t>GÄVLEBORGS LÄN</t>
        </is>
      </c>
      <c r="G1962" t="inlineStr">
        <is>
          <t>BOLLNÄS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10606-2024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45366</v>
      </c>
      <c r="E1963" s="1" t="n">
        <v>46292</v>
      </c>
      <c r="F1963" t="inlineStr">
        <is>
          <t>GÄVLEBORGS LÄN</t>
        </is>
      </c>
      <c r="G1963" t="inlineStr">
        <is>
          <t>BOLLNÄS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44576-2023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45183</v>
      </c>
      <c r="E1964" s="1" t="n">
        <v>46292</v>
      </c>
      <c r="F1964" t="inlineStr">
        <is>
          <t>GÄVLEBORGS LÄN</t>
        </is>
      </c>
      <c r="G1964" t="inlineStr">
        <is>
          <t>BOLLNÄS</t>
        </is>
      </c>
      <c r="I1964" t="n">
        <v>3.1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54236-2023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45232</v>
      </c>
      <c r="E1965" s="1" t="n">
        <v>46292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45664</v>
      </c>
      <c r="E1966" s="1" t="n">
        <v>46292</v>
      </c>
      <c r="F1966" t="inlineStr">
        <is>
          <t>GÄVLEBORGS LÄN</t>
        </is>
      </c>
      <c r="G1966" t="inlineStr">
        <is>
          <t>BOLLNÄS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58929-2023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45252</v>
      </c>
      <c r="E1967" s="1" t="n">
        <v>46292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Holmen skog AB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61769-2024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45649</v>
      </c>
      <c r="E1968" s="1" t="n">
        <v>46292</v>
      </c>
      <c r="F1968" t="inlineStr">
        <is>
          <t>GÄVLEBORGS LÄN</t>
        </is>
      </c>
      <c r="G1968" t="inlineStr">
        <is>
          <t>BOLLNÄS</t>
        </is>
      </c>
      <c r="I1968" t="n">
        <v>6.2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60425-2024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45643</v>
      </c>
      <c r="E1969" s="1" t="n">
        <v>46292</v>
      </c>
      <c r="F1969" t="inlineStr">
        <is>
          <t>GÄVLEBORGS LÄN</t>
        </is>
      </c>
      <c r="G1969" t="inlineStr">
        <is>
          <t>BOLLNÄS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48307-2023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45205</v>
      </c>
      <c r="E1970" s="1" t="n">
        <v>46292</v>
      </c>
      <c r="F1970" t="inlineStr">
        <is>
          <t>GÄVLEBORGS LÄN</t>
        </is>
      </c>
      <c r="G1970" t="inlineStr">
        <is>
          <t>BOLLNÄS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47701-2023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45203</v>
      </c>
      <c r="E1971" s="1" t="n">
        <v>46292</v>
      </c>
      <c r="F1971" t="inlineStr">
        <is>
          <t>GÄVLEBORGS LÄN</t>
        </is>
      </c>
      <c r="G1971" t="inlineStr">
        <is>
          <t>BOLLNÄS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58329-2024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45632</v>
      </c>
      <c r="E1972" s="1" t="n">
        <v>46292</v>
      </c>
      <c r="F1972" t="inlineStr">
        <is>
          <t>GÄVLEBORGS LÄN</t>
        </is>
      </c>
      <c r="G1972" t="inlineStr">
        <is>
          <t>BOLLNÄS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63865-2023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45278</v>
      </c>
      <c r="E1973" s="1" t="n">
        <v>46292</v>
      </c>
      <c r="F1973" t="inlineStr">
        <is>
          <t>GÄVLEBORGS LÄN</t>
        </is>
      </c>
      <c r="G1973" t="inlineStr">
        <is>
          <t>BOLLNÄS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63868-2023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45278</v>
      </c>
      <c r="E1974" s="1" t="n">
        <v>46292</v>
      </c>
      <c r="F1974" t="inlineStr">
        <is>
          <t>GÄVLEBORGS LÄN</t>
        </is>
      </c>
      <c r="G1974" t="inlineStr">
        <is>
          <t>BOLLNÄS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23378-2022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44720</v>
      </c>
      <c r="E1975" s="1" t="n">
        <v>46292</v>
      </c>
      <c r="F1975" t="inlineStr">
        <is>
          <t>GÄVLEBORGS LÄN</t>
        </is>
      </c>
      <c r="G1975" t="inlineStr">
        <is>
          <t>BOLLNÄS</t>
        </is>
      </c>
      <c r="I1975" t="n">
        <v>5.2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51156-2023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45212</v>
      </c>
      <c r="E1976" s="1" t="n">
        <v>46292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10486-2024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45366</v>
      </c>
      <c r="E1977" s="1" t="n">
        <v>46292</v>
      </c>
      <c r="F1977" t="inlineStr">
        <is>
          <t>GÄVLEBORGS LÄN</t>
        </is>
      </c>
      <c r="G1977" t="inlineStr">
        <is>
          <t>BOLLNÄS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23118-2024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45450</v>
      </c>
      <c r="E1978" s="1" t="n">
        <v>46292</v>
      </c>
      <c r="F1978" t="inlineStr">
        <is>
          <t>GÄVLEBORGS LÄN</t>
        </is>
      </c>
      <c r="G1978" t="inlineStr">
        <is>
          <t>BOLLNÄS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57260-2023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45239</v>
      </c>
      <c r="E1979" s="1" t="n">
        <v>46292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Kommuner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57387-2024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45629</v>
      </c>
      <c r="E1980" s="1" t="n">
        <v>46292</v>
      </c>
      <c r="F1980" t="inlineStr">
        <is>
          <t>GÄVLEBORGS LÄN</t>
        </is>
      </c>
      <c r="G1980" t="inlineStr">
        <is>
          <t>BOLLNÄS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53815-2022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44880</v>
      </c>
      <c r="E1981" s="1" t="n">
        <v>46292</v>
      </c>
      <c r="F1981" t="inlineStr">
        <is>
          <t>GÄVLEBORGS LÄN</t>
        </is>
      </c>
      <c r="G1981" t="inlineStr">
        <is>
          <t>BOLLNÄS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22877-2024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45448</v>
      </c>
      <c r="E1982" s="1" t="n">
        <v>46292</v>
      </c>
      <c r="F1982" t="inlineStr">
        <is>
          <t>GÄVLEBORGS LÄN</t>
        </is>
      </c>
      <c r="G1982" t="inlineStr">
        <is>
          <t>BOLLNÄS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12166-2024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45377</v>
      </c>
      <c r="E1983" s="1" t="n">
        <v>46292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26126-2023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45091</v>
      </c>
      <c r="E1984" s="1" t="n">
        <v>46292</v>
      </c>
      <c r="F1984" t="inlineStr">
        <is>
          <t>GÄVLEBORGS LÄN</t>
        </is>
      </c>
      <c r="G1984" t="inlineStr">
        <is>
          <t>BOLLNÄS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60743-2024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45644</v>
      </c>
      <c r="E1985" s="1" t="n">
        <v>46292</v>
      </c>
      <c r="F1985" t="inlineStr">
        <is>
          <t>GÄVLEBORGS LÄN</t>
        </is>
      </c>
      <c r="G1985" t="inlineStr">
        <is>
          <t>BOLLNÄS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45629-2023</t>
        </is>
      </c>
      <c r="B1986" t="inlineStr">
        <is>
          <t>avverkningsanmälan</t>
        </is>
      </c>
      <c r="C1986" t="inlineStr">
        <is>
          <t>Avverkning för att bevara och utveckla /försöksver</t>
        </is>
      </c>
      <c r="D1986" s="1" t="n">
        <v>45194</v>
      </c>
      <c r="E1986" s="1" t="n">
        <v>46292</v>
      </c>
      <c r="F1986" t="inlineStr">
        <is>
          <t>GÄVLEBORGS LÄN</t>
        </is>
      </c>
      <c r="G1986" t="inlineStr">
        <is>
          <t>BOLLNÄS</t>
        </is>
      </c>
      <c r="I1986" t="n">
        <v>11.5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12853-2025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45733</v>
      </c>
      <c r="E1987" s="1" t="n">
        <v>46292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59636-2024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45639</v>
      </c>
      <c r="E1988" s="1" t="n">
        <v>46292</v>
      </c>
      <c r="F1988" t="inlineStr">
        <is>
          <t>GÄVLEBORGS LÄN</t>
        </is>
      </c>
      <c r="G1988" t="inlineStr">
        <is>
          <t>BOLLNÄS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52613-2024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45609</v>
      </c>
      <c r="E1989" s="1" t="n">
        <v>46292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57378-2024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45629</v>
      </c>
      <c r="E1990" s="1" t="n">
        <v>46292</v>
      </c>
      <c r="F1990" t="inlineStr">
        <is>
          <t>GÄVLEBORGS LÄN</t>
        </is>
      </c>
      <c r="G1990" t="inlineStr">
        <is>
          <t>BOLLNÄS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60491-2023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45258</v>
      </c>
      <c r="E1991" s="1" t="n">
        <v>46292</v>
      </c>
      <c r="F1991" t="inlineStr">
        <is>
          <t>GÄVLEBORGS LÄN</t>
        </is>
      </c>
      <c r="G1991" t="inlineStr">
        <is>
          <t>BOLLNÄS</t>
        </is>
      </c>
      <c r="I1991" t="n">
        <v>3.5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2885-2023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44945</v>
      </c>
      <c r="E1992" s="1" t="n">
        <v>46292</v>
      </c>
      <c r="F1992" t="inlineStr">
        <is>
          <t>GÄVLEBORGS LÄN</t>
        </is>
      </c>
      <c r="G1992" t="inlineStr">
        <is>
          <t>BOLLNÄS</t>
        </is>
      </c>
      <c r="I1992" t="n">
        <v>2.7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59360-2024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45638</v>
      </c>
      <c r="E1993" s="1" t="n">
        <v>46292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12454-2023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44999</v>
      </c>
      <c r="E1994" s="1" t="n">
        <v>46292</v>
      </c>
      <c r="F1994" t="inlineStr">
        <is>
          <t>GÄVLEBORGS LÄN</t>
        </is>
      </c>
      <c r="G1994" t="inlineStr">
        <is>
          <t>BOLLNÄS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30067-2023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45110</v>
      </c>
      <c r="E1995" s="1" t="n">
        <v>46292</v>
      </c>
      <c r="F1995" t="inlineStr">
        <is>
          <t>GÄVLEBORGS LÄN</t>
        </is>
      </c>
      <c r="G1995" t="inlineStr">
        <is>
          <t>BOLLNÄS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20710-2025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45776</v>
      </c>
      <c r="E1996" s="1" t="n">
        <v>46292</v>
      </c>
      <c r="F1996" t="inlineStr">
        <is>
          <t>GÄVLEBORGS LÄN</t>
        </is>
      </c>
      <c r="G1996" t="inlineStr">
        <is>
          <t>BOLLNÄS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20705-2025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45776</v>
      </c>
      <c r="E1997" s="1" t="n">
        <v>46292</v>
      </c>
      <c r="F1997" t="inlineStr">
        <is>
          <t>GÄVLEBORGS LÄN</t>
        </is>
      </c>
      <c r="G1997" t="inlineStr">
        <is>
          <t>BOLLNÄS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21562-2025</t>
        </is>
      </c>
      <c r="B1998" t="inlineStr">
        <is>
          <t>avverkningsanmälan</t>
        </is>
      </c>
      <c r="C1998" t="inlineStr">
        <is>
          <t>Avverkning för annat ändamål</t>
        </is>
      </c>
      <c r="D1998" s="1" t="n">
        <v>45782</v>
      </c>
      <c r="E1998" s="1" t="n">
        <v>46292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21393-2025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45782</v>
      </c>
      <c r="E1999" s="1" t="n">
        <v>46292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19135-2024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45428</v>
      </c>
      <c r="E2000" s="1" t="n">
        <v>46292</v>
      </c>
      <c r="F2000" t="inlineStr">
        <is>
          <t>GÄVLEBORGS LÄN</t>
        </is>
      </c>
      <c r="G2000" t="inlineStr">
        <is>
          <t>BOLLNÄS</t>
        </is>
      </c>
      <c r="I2000" t="n">
        <v>4.7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46800-2024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45583</v>
      </c>
      <c r="E2001" s="1" t="n">
        <v>46292</v>
      </c>
      <c r="F2001" t="inlineStr">
        <is>
          <t>GÄVLEBORGS LÄN</t>
        </is>
      </c>
      <c r="G2001" t="inlineStr">
        <is>
          <t>BOLLNÄS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42579-2024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46292</v>
      </c>
      <c r="F2002" t="inlineStr">
        <is>
          <t>GÄVLEBORGS LÄN</t>
        </is>
      </c>
      <c r="G2002" t="inlineStr">
        <is>
          <t>BOLLNÄS</t>
        </is>
      </c>
      <c r="I2002" t="n">
        <v>7.9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42580-2024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45565</v>
      </c>
      <c r="E2003" s="1" t="n">
        <v>46292</v>
      </c>
      <c r="F2003" t="inlineStr">
        <is>
          <t>GÄVLEBORGS LÄN</t>
        </is>
      </c>
      <c r="G2003" t="inlineStr">
        <is>
          <t>BOLLNÄS</t>
        </is>
      </c>
      <c r="I2003" t="n">
        <v>7.9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21873-2025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45784</v>
      </c>
      <c r="E2004" s="1" t="n">
        <v>46292</v>
      </c>
      <c r="F2004" t="inlineStr">
        <is>
          <t>GÄVLEBORGS LÄN</t>
        </is>
      </c>
      <c r="G2004" t="inlineStr">
        <is>
          <t>BOLLNÄS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23335-2024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45453</v>
      </c>
      <c r="E2005" s="1" t="n">
        <v>46292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45782-2024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45579</v>
      </c>
      <c r="E2006" s="1" t="n">
        <v>46292</v>
      </c>
      <c r="F2006" t="inlineStr">
        <is>
          <t>GÄVLEBORGS LÄN</t>
        </is>
      </c>
      <c r="G2006" t="inlineStr">
        <is>
          <t>BOLLNÄS</t>
        </is>
      </c>
      <c r="I2006" t="n">
        <v>9.199999999999999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48270-2024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45590</v>
      </c>
      <c r="E2007" s="1" t="n">
        <v>46292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28083-2024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45476</v>
      </c>
      <c r="E2008" s="1" t="n">
        <v>46292</v>
      </c>
      <c r="F2008" t="inlineStr">
        <is>
          <t>GÄVLEBORGS LÄN</t>
        </is>
      </c>
      <c r="G2008" t="inlineStr">
        <is>
          <t>BOLLNÄS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43750-2023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45187</v>
      </c>
      <c r="E2009" s="1" t="n">
        <v>46292</v>
      </c>
      <c r="F2009" t="inlineStr">
        <is>
          <t>GÄVLEBORGS LÄN</t>
        </is>
      </c>
      <c r="G2009" t="inlineStr">
        <is>
          <t>BOLLNÄS</t>
        </is>
      </c>
      <c r="I2009" t="n">
        <v>2.8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41670-2024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45560</v>
      </c>
      <c r="E2010" s="1" t="n">
        <v>46292</v>
      </c>
      <c r="F2010" t="inlineStr">
        <is>
          <t>GÄVLEBORGS LÄN</t>
        </is>
      </c>
      <c r="G2010" t="inlineStr">
        <is>
          <t>BOLLNÄS</t>
        </is>
      </c>
      <c r="I2010" t="n">
        <v>11.5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56229-2024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45624</v>
      </c>
      <c r="E2011" s="1" t="n">
        <v>46292</v>
      </c>
      <c r="F2011" t="inlineStr">
        <is>
          <t>GÄVLEBORGS LÄN</t>
        </is>
      </c>
      <c r="G2011" t="inlineStr">
        <is>
          <t>BOLLNÄS</t>
        </is>
      </c>
      <c r="I2011" t="n">
        <v>2.3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52748-2024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45610</v>
      </c>
      <c r="E2012" s="1" t="n">
        <v>46292</v>
      </c>
      <c r="F2012" t="inlineStr">
        <is>
          <t>GÄVLEBORGS LÄN</t>
        </is>
      </c>
      <c r="G2012" t="inlineStr">
        <is>
          <t>BOLLNÄS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19144-2024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45428</v>
      </c>
      <c r="E2013" s="1" t="n">
        <v>46292</v>
      </c>
      <c r="F2013" t="inlineStr">
        <is>
          <t>GÄVLEBORGS LÄN</t>
        </is>
      </c>
      <c r="G2013" t="inlineStr">
        <is>
          <t>BOLLNÄS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44344-2024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45573</v>
      </c>
      <c r="E2014" s="1" t="n">
        <v>46292</v>
      </c>
      <c r="F2014" t="inlineStr">
        <is>
          <t>GÄVLEBORGS LÄN</t>
        </is>
      </c>
      <c r="G2014" t="inlineStr">
        <is>
          <t>BOLLNÄS</t>
        </is>
      </c>
      <c r="I2014" t="n">
        <v>3.1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22134-2025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45785</v>
      </c>
      <c r="E2015" s="1" t="n">
        <v>46292</v>
      </c>
      <c r="F2015" t="inlineStr">
        <is>
          <t>GÄVLEBORGS LÄN</t>
        </is>
      </c>
      <c r="G2015" t="inlineStr">
        <is>
          <t>BOLLNÄS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31649-2024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45506</v>
      </c>
      <c r="E2016" s="1" t="n">
        <v>46292</v>
      </c>
      <c r="F2016" t="inlineStr">
        <is>
          <t>GÄVLEBORGS LÄN</t>
        </is>
      </c>
      <c r="G2016" t="inlineStr">
        <is>
          <t>BOLLNÄS</t>
        </is>
      </c>
      <c r="I2016" t="n">
        <v>2.3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44120-2022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44839</v>
      </c>
      <c r="E2017" s="1" t="n">
        <v>46292</v>
      </c>
      <c r="F2017" t="inlineStr">
        <is>
          <t>GÄVLEBORGS LÄN</t>
        </is>
      </c>
      <c r="G2017" t="inlineStr">
        <is>
          <t>BOLLNÄS</t>
        </is>
      </c>
      <c r="I2017" t="n">
        <v>10.3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36256-2024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45534</v>
      </c>
      <c r="E2018" s="1" t="n">
        <v>46292</v>
      </c>
      <c r="F2018" t="inlineStr">
        <is>
          <t>GÄVLEBORGS LÄN</t>
        </is>
      </c>
      <c r="G2018" t="inlineStr">
        <is>
          <t>BOLLNÄS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38146-2023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45161</v>
      </c>
      <c r="E2019" s="1" t="n">
        <v>46292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22927-2025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45790</v>
      </c>
      <c r="E2020" s="1" t="n">
        <v>46292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22622-2025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45789</v>
      </c>
      <c r="E2021" s="1" t="n">
        <v>46292</v>
      </c>
      <c r="F2021" t="inlineStr">
        <is>
          <t>GÄVLEBORGS LÄN</t>
        </is>
      </c>
      <c r="G2021" t="inlineStr">
        <is>
          <t>BOLLNÄS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10485-2024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45366</v>
      </c>
      <c r="E2022" s="1" t="n">
        <v>46292</v>
      </c>
      <c r="F2022" t="inlineStr">
        <is>
          <t>GÄVLEBORGS LÄN</t>
        </is>
      </c>
      <c r="G2022" t="inlineStr">
        <is>
          <t>BOLLNÄS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48666-2022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44859</v>
      </c>
      <c r="E2023" s="1" t="n">
        <v>46292</v>
      </c>
      <c r="F2023" t="inlineStr">
        <is>
          <t>GÄVLEBORGS LÄN</t>
        </is>
      </c>
      <c r="G2023" t="inlineStr">
        <is>
          <t>BOLLNÄS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49883-2023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45213</v>
      </c>
      <c r="E2024" s="1" t="n">
        <v>46292</v>
      </c>
      <c r="F2024" t="inlineStr">
        <is>
          <t>GÄVLEBORGS LÄN</t>
        </is>
      </c>
      <c r="G2024" t="inlineStr">
        <is>
          <t>BOLLNÄS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8519-2025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45709</v>
      </c>
      <c r="E2025" s="1" t="n">
        <v>46292</v>
      </c>
      <c r="F2025" t="inlineStr">
        <is>
          <t>GÄVLEBORGS LÄN</t>
        </is>
      </c>
      <c r="G2025" t="inlineStr">
        <is>
          <t>BOLLNÄS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55941-2024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45623</v>
      </c>
      <c r="E2026" s="1" t="n">
        <v>46292</v>
      </c>
      <c r="F2026" t="inlineStr">
        <is>
          <t>GÄVLEBORGS LÄN</t>
        </is>
      </c>
      <c r="G2026" t="inlineStr">
        <is>
          <t>BOLLNÄS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10329-2021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44546</v>
      </c>
      <c r="E2027" s="1" t="n">
        <v>46292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188.9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188-2022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46292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17.9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44566</v>
      </c>
      <c r="E2029" s="1" t="n">
        <v>46292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60.4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560-2022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44589</v>
      </c>
      <c r="E2030" s="1" t="n">
        <v>46292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öst AB</t>
        </is>
      </c>
      <c r="I2030" t="n">
        <v>56.9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4000-2023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45237</v>
      </c>
      <c r="E2031" s="1" t="n">
        <v>46292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Holmen skog AB</t>
        </is>
      </c>
      <c r="I2031" t="n">
        <v>16.2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972-2023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45005</v>
      </c>
      <c r="E2032" s="1" t="n">
        <v>46292</v>
      </c>
      <c r="F2032" t="inlineStr">
        <is>
          <t>GÄVLEBORGS LÄN</t>
        </is>
      </c>
      <c r="G2032" t="inlineStr">
        <is>
          <t>BOLLNÄS</t>
        </is>
      </c>
      <c r="I2032" t="n">
        <v>0.1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392-2025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45695</v>
      </c>
      <c r="E2033" s="1" t="n">
        <v>46292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öst AB</t>
        </is>
      </c>
      <c r="I2033" t="n">
        <v>32.2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5000-2024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45631</v>
      </c>
      <c r="E2034" s="1" t="n">
        <v>46292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45699</v>
      </c>
      <c r="E2035" s="1" t="n">
        <v>46292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1092-2024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45391</v>
      </c>
      <c r="E2036" s="1" t="n">
        <v>46292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523.4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586-2024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45351</v>
      </c>
      <c r="E2037" s="1" t="n">
        <v>46292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205.2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1359-2025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45775</v>
      </c>
      <c r="E2038" s="1" t="n">
        <v>46292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1309-2025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45770</v>
      </c>
      <c r="E2039" s="1" t="n">
        <v>46292</v>
      </c>
      <c r="F2039" t="inlineStr">
        <is>
          <t>GÄVLEBORGS LÄN</t>
        </is>
      </c>
      <c r="G2039" t="inlineStr">
        <is>
          <t>BOLLNÄS</t>
        </is>
      </c>
      <c r="I2039" t="n">
        <v>31.8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1894-2025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45825</v>
      </c>
      <c r="E2040" s="1" t="n">
        <v>46292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10.7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1074-2024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45387</v>
      </c>
      <c r="E2041" s="1" t="n">
        <v>46292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245.9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424-2026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46070</v>
      </c>
      <c r="E2042" s="1" t="n">
        <v>46292</v>
      </c>
      <c r="F2042" t="inlineStr">
        <is>
          <t>GÄVLEBORGS LÄN</t>
        </is>
      </c>
      <c r="G2042" t="inlineStr">
        <is>
          <t>BOLLNÄS</t>
        </is>
      </c>
      <c r="I2042" t="n">
        <v>33.3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479-2026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46072</v>
      </c>
      <c r="E2043" s="1" t="n">
        <v>46292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2.8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672-2026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46090</v>
      </c>
      <c r="E2044" s="1" t="n">
        <v>46292</v>
      </c>
      <c r="F2044" t="inlineStr">
        <is>
          <t>GÄVLEBORGS LÄN</t>
        </is>
      </c>
      <c r="G2044" t="inlineStr">
        <is>
          <t>BOLLNÄS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1042-2026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46125</v>
      </c>
      <c r="E2045" s="1" t="n">
        <v>46292</v>
      </c>
      <c r="F2045" t="inlineStr">
        <is>
          <t>GÄVLEBORGS LÄN</t>
        </is>
      </c>
      <c r="G2045" t="inlineStr">
        <is>
          <t>BOLLNÄS</t>
        </is>
      </c>
      <c r="I2045" t="n">
        <v>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1559-2026</t>
        </is>
      </c>
      <c r="B2046" t="inlineStr">
        <is>
          <t>samrådsanmälan</t>
        </is>
      </c>
      <c r="C2046" t="inlineStr">
        <is>
          <t>Stubbskörd</t>
        </is>
      </c>
      <c r="D2046" s="1" t="n">
        <v>46168</v>
      </c>
      <c r="E2046" s="1" t="n">
        <v>46292</v>
      </c>
      <c r="F2046" t="inlineStr">
        <is>
          <t>GÄVLEBORGS LÄN</t>
        </is>
      </c>
      <c r="G2046" t="inlineStr">
        <is>
          <t>BOLLNÄS</t>
        </is>
      </c>
      <c r="I2046" t="n">
        <v>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>
      <c r="A2047" t="inlineStr">
        <is>
          <t>S 1599-2026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46174</v>
      </c>
      <c r="E2047" s="1" t="n">
        <v>46292</v>
      </c>
      <c r="F2047" t="inlineStr">
        <is>
          <t>GÄVLEBORGS LÄN</t>
        </is>
      </c>
      <c r="G2047" t="inlineStr">
        <is>
          <t>BOLLNÄS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2026-09-27T02:01:23Z</dcterms:created>
  <dcterms:modified xmlns:dcterms="http://purl.org/dc/terms/" xmlns:xsi="http://www.w3.org/2001/XMLSchema-instance" xsi:type="dcterms:W3CDTF">2026-09-27T02:01:25Z</dcterms:modified>
</cp:coreProperties>
</file>