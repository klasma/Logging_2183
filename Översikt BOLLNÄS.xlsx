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69-2026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46031</v>
      </c>
      <c r="E2" s="1" t="n">
        <v>46313</v>
      </c>
      <c r="F2" t="inlineStr">
        <is>
          <t>GÄVLEBORGS LÄN</t>
        </is>
      </c>
      <c r="G2" t="inlineStr">
        <is>
          <t>BOLLNÄS</t>
        </is>
      </c>
      <c r="I2" t="n">
        <v>1.7</v>
      </c>
      <c r="J2" t="n">
        <v>5</v>
      </c>
      <c r="K2" t="n">
        <v>5</v>
      </c>
      <c r="L2" t="n">
        <v>3</v>
      </c>
      <c r="M2" t="n">
        <v>2</v>
      </c>
      <c r="N2" t="n">
        <v>0</v>
      </c>
      <c r="O2" t="n">
        <v>0</v>
      </c>
      <c r="P2" t="n">
        <v>0</v>
      </c>
      <c r="Q2" t="n">
        <v>5</v>
      </c>
      <c r="R2" t="n">
        <v>2</v>
      </c>
      <c r="S2" t="n">
        <v>12</v>
      </c>
      <c r="T2" t="n">
        <v>22</v>
      </c>
      <c r="U2" t="n">
        <v>0</v>
      </c>
      <c r="V2" s="2" t="inlineStr">
        <is>
          <t>Bredgentiana
Stor låsbräken
Gullpudra
Myskmåra
Vårärt
Dvärghäxört
Myskmadra
Svart trolldruva
Tibast
Tvåblad
Blåsippa
Fläcknycklar</t>
        </is>
      </c>
      <c r="W2">
        <f>HYPERLINK("https://klasma.github.io/Logging_2183/artfynd/S 69-2026 artfynd.xlsx", "S 69-2026")</f>
        <v/>
      </c>
      <c r="X2">
        <f>HYPERLINK("https://klasma.github.io/Logging_2183/kartor/S 69-2026 karta.png", "S 69-2026")</f>
        <v/>
      </c>
      <c r="Y2">
        <f>HYPERLINK("https://klasma.github.io/Logging_2183/kartor_geotiff/S 69-2026 georefererad karta.tif", "S 69-2026")</f>
        <v/>
      </c>
      <c r="AA2">
        <f>HYPERLINK("https://klasma.github.io/Logging_2183/klagomål/S 69-2026 FSC-klagomål.docx", "S 69-2026")</f>
        <v/>
      </c>
      <c r="AB2">
        <f>HYPERLINK("https://klasma.github.io/Logging_2183/klagomålsmail/S 69-2026 FSC-klagomål mail.docx", "S 69-2026")</f>
        <v/>
      </c>
      <c r="AC2">
        <f>HYPERLINK("https://klasma.github.io/Logging_2183/tillsyn/S 69-2026 tillsynsbegäran.docx", "S 69-2026")</f>
        <v/>
      </c>
      <c r="AD2">
        <f>HYPERLINK("https://klasma.github.io/Logging_2183/tillsynsmail/S 69-2026 tillsynsbegäran mail.docx", "S 69-2026")</f>
        <v/>
      </c>
    </row>
    <row r="3" ht="15" customHeight="1">
      <c r="A3" t="inlineStr">
        <is>
          <t>A 25524-2026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46177</v>
      </c>
      <c r="E3" s="1" t="n">
        <v>46313</v>
      </c>
      <c r="F3" t="inlineStr">
        <is>
          <t>GÄVLEBORGS LÄN</t>
        </is>
      </c>
      <c r="G3" t="inlineStr">
        <is>
          <t>BOLLNÄS</t>
        </is>
      </c>
      <c r="I3" t="n">
        <v>5</v>
      </c>
      <c r="J3" t="n">
        <v>8</v>
      </c>
      <c r="K3" t="n">
        <v>2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8</v>
      </c>
      <c r="T3" t="n">
        <v>14</v>
      </c>
      <c r="U3" t="n">
        <v>3</v>
      </c>
      <c r="V3" s="2" t="inlineStr">
        <is>
          <t>Knärot
Lavskrika
Tretåig hackspett
Spindelblomster
Tvåblad
Mattlummer
Fläcknycklar
Nattviol</t>
        </is>
      </c>
      <c r="W3">
        <f>HYPERLINK("https://klasma.github.io/Logging_2183/artfynd/A 25524-2026 artfynd.xlsx", "A 25524-2026")</f>
        <v/>
      </c>
      <c r="X3">
        <f>HYPERLINK("https://klasma.github.io/Logging_2183/kartor/A 25524-2026 karta.png", "A 25524-2026")</f>
        <v/>
      </c>
      <c r="Y3">
        <f>HYPERLINK("https://klasma.github.io/Logging_2183/kartor_geotiff/A 25524-2026 georefererad karta.tif", "A 25524-2026")</f>
        <v/>
      </c>
      <c r="Z3">
        <f>HYPERLINK("https://klasma.github.io/Logging_2183/knärot/A 25524-2026 karta knärot.png", "A 25524-2026")</f>
        <v/>
      </c>
      <c r="AA3">
        <f>HYPERLINK("https://klasma.github.io/Logging_2183/klagomål/A 25524-2026 FSC-klagomål.docx", "A 25524-2026")</f>
        <v/>
      </c>
      <c r="AB3">
        <f>HYPERLINK("https://klasma.github.io/Logging_2183/klagomålsmail/A 25524-2026 FSC-klagomål mail.docx", "A 25524-2026")</f>
        <v/>
      </c>
      <c r="AC3">
        <f>HYPERLINK("https://klasma.github.io/Logging_2183/tillsyn/A 25524-2026 tillsynsbegäran.docx", "A 25524-2026")</f>
        <v/>
      </c>
      <c r="AD3">
        <f>HYPERLINK("https://klasma.github.io/Logging_2183/tillsynsmail/A 25524-2026 tillsynsbegäran mail.docx", "A 25524-2026")</f>
        <v/>
      </c>
      <c r="AE3">
        <f>HYPERLINK("https://klasma.github.io/Logging_2183/fåglar/A 25524-2026 prioriterade fågelarter.docx", "A 25524-2026")</f>
        <v/>
      </c>
    </row>
    <row r="4" ht="15" customHeight="1">
      <c r="A4" t="inlineStr">
        <is>
          <t>A 10036-2026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46073</v>
      </c>
      <c r="E4" s="1" t="n">
        <v>46313</v>
      </c>
      <c r="F4" t="inlineStr">
        <is>
          <t>GÄVLEBORGS LÄN</t>
        </is>
      </c>
      <c r="G4" t="inlineStr">
        <is>
          <t>BOLLNÄS</t>
        </is>
      </c>
      <c r="I4" t="n">
        <v>3.5</v>
      </c>
      <c r="J4" t="n">
        <v>6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0</v>
      </c>
      <c r="V4" s="2" t="inlineStr">
        <is>
          <t>Gräsull
Korallrot
Spindelblomster
Tvåblad
Fläcknycklar
Myggblomster
Revlummer</t>
        </is>
      </c>
      <c r="W4">
        <f>HYPERLINK("https://klasma.github.io/Logging_2183/artfynd/A 10036-2026 artfynd.xlsx", "A 10036-2026")</f>
        <v/>
      </c>
      <c r="X4">
        <f>HYPERLINK("https://klasma.github.io/Logging_2183/kartor/A 10036-2026 karta.png", "A 10036-2026")</f>
        <v/>
      </c>
      <c r="Y4">
        <f>HYPERLINK("https://klasma.github.io/Logging_2183/kartor_geotiff/A 10036-2026 georefererad karta.tif", "A 10036-2026")</f>
        <v/>
      </c>
      <c r="AA4">
        <f>HYPERLINK("https://klasma.github.io/Logging_2183/klagomål/A 10036-2026 FSC-klagomål.docx", "A 10036-2026")</f>
        <v/>
      </c>
      <c r="AB4">
        <f>HYPERLINK("https://klasma.github.io/Logging_2183/klagomålsmail/A 10036-2026 FSC-klagomål mail.docx", "A 10036-2026")</f>
        <v/>
      </c>
      <c r="AC4">
        <f>HYPERLINK("https://klasma.github.io/Logging_2183/tillsyn/A 10036-2026 tillsynsbegäran.docx", "A 10036-2026")</f>
        <v/>
      </c>
      <c r="AD4">
        <f>HYPERLINK("https://klasma.github.io/Logging_2183/tillsynsmail/A 10036-2026 tillsynsbegäran mail.docx", "A 10036-2026")</f>
        <v/>
      </c>
    </row>
    <row r="5" ht="15" customHeight="1">
      <c r="A5" t="inlineStr">
        <is>
          <t>S 965-2026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46114</v>
      </c>
      <c r="E5" s="1" t="n">
        <v>46313</v>
      </c>
      <c r="F5" t="inlineStr">
        <is>
          <t>GÄVLEBORGS LÄN</t>
        </is>
      </c>
      <c r="G5" t="inlineStr">
        <is>
          <t>BOLLNÄS</t>
        </is>
      </c>
      <c r="I5" t="n">
        <v>11.4</v>
      </c>
      <c r="J5" t="n">
        <v>0</v>
      </c>
      <c r="K5" t="n">
        <v>0</v>
      </c>
      <c r="L5" t="n">
        <v>4</v>
      </c>
      <c r="M5" t="n">
        <v>3</v>
      </c>
      <c r="N5" t="n">
        <v>0</v>
      </c>
      <c r="O5" t="n">
        <v>0</v>
      </c>
      <c r="P5" t="n">
        <v>0</v>
      </c>
      <c r="Q5" t="n">
        <v>7</v>
      </c>
      <c r="R5" t="n">
        <v>3</v>
      </c>
      <c r="S5" t="n">
        <v>7</v>
      </c>
      <c r="T5" t="n">
        <v>13</v>
      </c>
      <c r="U5" t="n">
        <v>0</v>
      </c>
      <c r="V5" s="2" t="inlineStr">
        <is>
          <t>Lammticka
Skrovlig taggsvamp
Tallgråticka
Blå taggsvamp
Orange taggsvamp
Tallfingersvamp
Tallticka</t>
        </is>
      </c>
      <c r="W5">
        <f>HYPERLINK("https://klasma.github.io/Logging_2183/artfynd/S 965-2026 artfynd.xlsx", "S 965-2026")</f>
        <v/>
      </c>
      <c r="X5">
        <f>HYPERLINK("https://klasma.github.io/Logging_2183/kartor/S 965-2026 karta.png", "S 965-2026")</f>
        <v/>
      </c>
      <c r="Y5">
        <f>HYPERLINK("https://klasma.github.io/Logging_2183/kartor_geotiff/S 965-2026 georefererad karta.tif", "S 965-2026")</f>
        <v/>
      </c>
      <c r="AA5">
        <f>HYPERLINK("https://klasma.github.io/Logging_2183/klagomål/S 965-2026 FSC-klagomål.docx", "S 965-2026")</f>
        <v/>
      </c>
      <c r="AB5">
        <f>HYPERLINK("https://klasma.github.io/Logging_2183/klagomålsmail/S 965-2026 FSC-klagomål mail.docx", "S 965-2026")</f>
        <v/>
      </c>
      <c r="AC5">
        <f>HYPERLINK("https://klasma.github.io/Logging_2183/tillsyn/S 965-2026 tillsynsbegäran.docx", "S 965-2026")</f>
        <v/>
      </c>
      <c r="AD5">
        <f>HYPERLINK("https://klasma.github.io/Logging_2183/tillsynsmail/S 965-2026 tillsynsbegäran mail.docx", "S 965-2026")</f>
        <v/>
      </c>
    </row>
    <row r="6" ht="15" customHeight="1">
      <c r="A6" t="inlineStr">
        <is>
          <t>A 38971-2024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45548</v>
      </c>
      <c r="E6" s="1" t="n">
        <v>46313</v>
      </c>
      <c r="F6" t="inlineStr">
        <is>
          <t>GÄVLEBORGS LÄN</t>
        </is>
      </c>
      <c r="G6" t="inlineStr">
        <is>
          <t>BOLLNÄS</t>
        </is>
      </c>
      <c r="H6" t="inlineStr">
        <is>
          <t>Sveaskog</t>
        </is>
      </c>
      <c r="I6" t="n">
        <v>5.7</v>
      </c>
      <c r="J6" t="n">
        <v>4</v>
      </c>
      <c r="K6" t="n">
        <v>0</v>
      </c>
      <c r="L6" t="n">
        <v>2</v>
      </c>
      <c r="M6" t="n">
        <v>1</v>
      </c>
      <c r="N6" t="n">
        <v>1</v>
      </c>
      <c r="O6" t="n">
        <v>0</v>
      </c>
      <c r="P6" t="n">
        <v>0</v>
      </c>
      <c r="Q6" t="n">
        <v>4</v>
      </c>
      <c r="R6" t="n">
        <v>2</v>
      </c>
      <c r="S6" t="n">
        <v>5</v>
      </c>
      <c r="T6" t="n">
        <v>8</v>
      </c>
      <c r="U6" t="n">
        <v>5</v>
      </c>
      <c r="V6" s="2" t="inlineStr">
        <is>
          <t>Pärluggla
Knärot
Lavskrika
Ullticka
Tofsmes</t>
        </is>
      </c>
      <c r="W6">
        <f>HYPERLINK("https://klasma.github.io/Logging_2183/artfynd/A 38971-2024 artfynd.xlsx", "A 38971-2024")</f>
        <v/>
      </c>
      <c r="X6">
        <f>HYPERLINK("https://klasma.github.io/Logging_2183/kartor/A 38971-2024 karta.png", "A 38971-2024")</f>
        <v/>
      </c>
      <c r="Y6">
        <f>HYPERLINK("https://klasma.github.io/Logging_2183/kartor_geotiff/A 38971-2024 georefererad karta.tif", "A 38971-2024")</f>
        <v/>
      </c>
      <c r="Z6">
        <f>HYPERLINK("https://klasma.github.io/Logging_2183/knärot/A 38971-2024 karta knärot.png", "A 38971-2024")</f>
        <v/>
      </c>
      <c r="AA6">
        <f>HYPERLINK("https://klasma.github.io/Logging_2183/klagomål/A 38971-2024 FSC-klagomål.docx", "A 38971-2024")</f>
        <v/>
      </c>
      <c r="AB6">
        <f>HYPERLINK("https://klasma.github.io/Logging_2183/klagomålsmail/A 38971-2024 FSC-klagomål mail.docx", "A 38971-2024")</f>
        <v/>
      </c>
      <c r="AC6">
        <f>HYPERLINK("https://klasma.github.io/Logging_2183/tillsyn/A 38971-2024 tillsynsbegäran.docx", "A 38971-2024")</f>
        <v/>
      </c>
      <c r="AD6">
        <f>HYPERLINK("https://klasma.github.io/Logging_2183/tillsynsmail/A 38971-2024 tillsynsbegäran mail.docx", "A 38971-2024")</f>
        <v/>
      </c>
      <c r="AE6">
        <f>HYPERLINK("https://klasma.github.io/Logging_2183/fåglar/A 38971-2024 prioriterade fågelarter.docx", "A 38971-2024")</f>
        <v/>
      </c>
    </row>
    <row r="7" ht="15" customHeight="1">
      <c r="A7" t="inlineStr">
        <is>
          <t>A 31312-2025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45833</v>
      </c>
      <c r="E7" s="1" t="n">
        <v>46313</v>
      </c>
      <c r="F7" t="inlineStr">
        <is>
          <t>GÄVLEBORGS LÄN</t>
        </is>
      </c>
      <c r="G7" t="inlineStr">
        <is>
          <t>BOLLNÄS</t>
        </is>
      </c>
      <c r="I7" t="n">
        <v>7.7</v>
      </c>
      <c r="J7" t="n">
        <v>5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5</v>
      </c>
      <c r="T7" t="n">
        <v>5</v>
      </c>
      <c r="U7" t="n">
        <v>0</v>
      </c>
      <c r="V7" s="2" t="inlineStr">
        <is>
          <t>Brunlångöra
Fransfladdermus
Nordfladdermus
Mustaschfladdermus
Vattenfladdermus</t>
        </is>
      </c>
      <c r="W7">
        <f>HYPERLINK("https://klasma.github.io/Logging_2183/artfynd/A 31312-2025 artfynd.xlsx", "A 31312-2025")</f>
        <v/>
      </c>
      <c r="X7">
        <f>HYPERLINK("https://klasma.github.io/Logging_2183/kartor/A 31312-2025 karta.png", "A 31312-2025")</f>
        <v/>
      </c>
      <c r="Y7">
        <f>HYPERLINK("https://klasma.github.io/Logging_2183/kartor_geotiff/A 31312-2025 georefererad karta.tif", "A 31312-2025")</f>
        <v/>
      </c>
      <c r="AA7">
        <f>HYPERLINK("https://klasma.github.io/Logging_2183/klagomål/A 31312-2025 FSC-klagomål.docx", "A 31312-2025")</f>
        <v/>
      </c>
      <c r="AB7">
        <f>HYPERLINK("https://klasma.github.io/Logging_2183/klagomålsmail/A 31312-2025 FSC-klagomål mail.docx", "A 31312-2025")</f>
        <v/>
      </c>
      <c r="AC7">
        <f>HYPERLINK("https://klasma.github.io/Logging_2183/tillsyn/A 31312-2025 tillsynsbegäran.docx", "A 31312-2025")</f>
        <v/>
      </c>
      <c r="AD7">
        <f>HYPERLINK("https://klasma.github.io/Logging_2183/tillsynsmail/A 31312-2025 tillsynsbegäran mail.docx", "A 31312-2025")</f>
        <v/>
      </c>
    </row>
    <row r="8" ht="15" customHeight="1">
      <c r="A8" t="inlineStr">
        <is>
          <t>A 35174-2023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45145</v>
      </c>
      <c r="E8" s="1" t="n">
        <v>46313</v>
      </c>
      <c r="F8" t="inlineStr">
        <is>
          <t>GÄVLEBORGS LÄN</t>
        </is>
      </c>
      <c r="G8" t="inlineStr">
        <is>
          <t>BOLLNÄS</t>
        </is>
      </c>
      <c r="H8" t="inlineStr">
        <is>
          <t>Holmen skog AB</t>
        </is>
      </c>
      <c r="I8" t="n">
        <v>1.3</v>
      </c>
      <c r="J8" t="n">
        <v>0</v>
      </c>
      <c r="K8" t="n">
        <v>3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4</v>
      </c>
      <c r="T8" t="n">
        <v>5</v>
      </c>
      <c r="U8" t="n">
        <v>0</v>
      </c>
      <c r="V8" s="2" t="inlineStr">
        <is>
          <t>Lunglav
Bårdlav
Korallblylav
Luddlav</t>
        </is>
      </c>
      <c r="W8">
        <f>HYPERLINK("https://klasma.github.io/Logging_2183/artfynd/A 35174-2023 artfynd.xlsx", "A 35174-2023")</f>
        <v/>
      </c>
      <c r="X8">
        <f>HYPERLINK("https://klasma.github.io/Logging_2183/kartor/A 35174-2023 karta.png", "A 35174-2023")</f>
        <v/>
      </c>
      <c r="Y8">
        <f>HYPERLINK("https://klasma.github.io/Logging_2183/kartor_geotiff/A 35174-2023 georefererad karta.tif", "A 35174-2023")</f>
        <v/>
      </c>
      <c r="AA8">
        <f>HYPERLINK("https://klasma.github.io/Logging_2183/klagomål/A 35174-2023 FSC-klagomål.docx", "A 35174-2023")</f>
        <v/>
      </c>
      <c r="AB8">
        <f>HYPERLINK("https://klasma.github.io/Logging_2183/klagomålsmail/A 35174-2023 FSC-klagomål mail.docx", "A 35174-2023")</f>
        <v/>
      </c>
      <c r="AC8">
        <f>HYPERLINK("https://klasma.github.io/Logging_2183/tillsyn/A 35174-2023 tillsynsbegäran.docx", "A 35174-2023")</f>
        <v/>
      </c>
      <c r="AD8">
        <f>HYPERLINK("https://klasma.github.io/Logging_2183/tillsynsmail/A 35174-2023 tillsynsbegäran mail.docx", "A 35174-2023")</f>
        <v/>
      </c>
    </row>
    <row r="9" ht="15" customHeight="1">
      <c r="A9" t="inlineStr">
        <is>
          <t>A 20244-2026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46139</v>
      </c>
      <c r="E9" s="1" t="n">
        <v>46313</v>
      </c>
      <c r="F9" t="inlineStr">
        <is>
          <t>GÄVLEBORGS LÄN</t>
        </is>
      </c>
      <c r="G9" t="inlineStr">
        <is>
          <t>BOLLNÄS</t>
        </is>
      </c>
      <c r="I9" t="n">
        <v>43.3</v>
      </c>
      <c r="J9" t="n">
        <v>3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3</v>
      </c>
      <c r="U9" t="n">
        <v>0</v>
      </c>
      <c r="V9" s="2" t="inlineStr">
        <is>
          <t>Grönkulla
Blåsippa
Nattviol</t>
        </is>
      </c>
      <c r="W9">
        <f>HYPERLINK("https://klasma.github.io/Logging_2183/artfynd/A 20244-2026 artfynd.xlsx", "A 20244-2026")</f>
        <v/>
      </c>
      <c r="X9">
        <f>HYPERLINK("https://klasma.github.io/Logging_2183/kartor/A 20244-2026 karta.png", "A 20244-2026")</f>
        <v/>
      </c>
      <c r="Y9">
        <f>HYPERLINK("https://klasma.github.io/Logging_2183/kartor_geotiff/A 20244-2026 georefererad karta.tif", "A 20244-2026")</f>
        <v/>
      </c>
      <c r="AA9">
        <f>HYPERLINK("https://klasma.github.io/Logging_2183/klagomål/A 20244-2026 FSC-klagomål.docx", "A 20244-2026")</f>
        <v/>
      </c>
      <c r="AB9">
        <f>HYPERLINK("https://klasma.github.io/Logging_2183/klagomålsmail/A 20244-2026 FSC-klagomål mail.docx", "A 20244-2026")</f>
        <v/>
      </c>
      <c r="AC9">
        <f>HYPERLINK("https://klasma.github.io/Logging_2183/tillsyn/A 20244-2026 tillsynsbegäran.docx", "A 20244-2026")</f>
        <v/>
      </c>
      <c r="AD9">
        <f>HYPERLINK("https://klasma.github.io/Logging_2183/tillsynsmail/A 20244-2026 tillsynsbegäran mail.docx", "A 20244-2026")</f>
        <v/>
      </c>
    </row>
    <row r="10" ht="15" customHeight="1">
      <c r="A10" t="inlineStr">
        <is>
          <t>A 59431-2025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45989</v>
      </c>
      <c r="E10" s="1" t="n">
        <v>46313</v>
      </c>
      <c r="F10" t="inlineStr">
        <is>
          <t>GÄVLEBORGS LÄN</t>
        </is>
      </c>
      <c r="G10" t="inlineStr">
        <is>
          <t>BOLLNÄS</t>
        </is>
      </c>
      <c r="I10" t="n">
        <v>5.4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3</v>
      </c>
      <c r="T10" t="n">
        <v>3</v>
      </c>
      <c r="U10" t="n">
        <v>3</v>
      </c>
      <c r="V10" s="2" t="inlineStr">
        <is>
          <t>Garnlav
Kolflarnlav
Bollvitmossa</t>
        </is>
      </c>
      <c r="W10">
        <f>HYPERLINK("https://klasma.github.io/Logging_2183/artfynd/A 59431-2025 artfynd.xlsx", "A 59431-2025")</f>
        <v/>
      </c>
      <c r="X10">
        <f>HYPERLINK("https://klasma.github.io/Logging_2183/kartor/A 59431-2025 karta.png", "A 59431-2025")</f>
        <v/>
      </c>
      <c r="Y10">
        <f>HYPERLINK("https://klasma.github.io/Logging_2183/kartor_geotiff/A 59431-2025 georefererad karta.tif", "A 59431-2025")</f>
        <v/>
      </c>
      <c r="AA10">
        <f>HYPERLINK("https://klasma.github.io/Logging_2183/klagomål/A 59431-2025 FSC-klagomål.docx", "A 59431-2025")</f>
        <v/>
      </c>
      <c r="AB10">
        <f>HYPERLINK("https://klasma.github.io/Logging_2183/klagomålsmail/A 59431-2025 FSC-klagomål mail.docx", "A 59431-2025")</f>
        <v/>
      </c>
      <c r="AC10">
        <f>HYPERLINK("https://klasma.github.io/Logging_2183/tillsyn/A 59431-2025 tillsynsbegäran.docx", "A 59431-2025")</f>
        <v/>
      </c>
      <c r="AD10">
        <f>HYPERLINK("https://klasma.github.io/Logging_2183/tillsynsmail/A 59431-2025 tillsynsbegäran mail.docx", "A 59431-2025")</f>
        <v/>
      </c>
    </row>
    <row r="11" ht="15" customHeight="1">
      <c r="A11" t="inlineStr">
        <is>
          <t>A 41560-2026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46301</v>
      </c>
      <c r="E11" s="1" t="n">
        <v>46313</v>
      </c>
      <c r="F11" t="inlineStr">
        <is>
          <t>GÄVLEBORGS LÄN</t>
        </is>
      </c>
      <c r="G11" t="inlineStr">
        <is>
          <t>BOLLNÄS</t>
        </is>
      </c>
      <c r="I11" t="n">
        <v>2</v>
      </c>
      <c r="J11" t="n">
        <v>1</v>
      </c>
      <c r="K11" t="n">
        <v>0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3</v>
      </c>
      <c r="T11" t="n">
        <v>3</v>
      </c>
      <c r="U11" t="n">
        <v>0</v>
      </c>
      <c r="V11" s="2" t="inlineStr">
        <is>
          <t>Knärot
Rosenticka
Ullticka</t>
        </is>
      </c>
      <c r="W11">
        <f>HYPERLINK("https://klasma.github.io/Logging_2183/artfynd/A 41560-2026 artfynd.xlsx", "A 41560-2026")</f>
        <v/>
      </c>
      <c r="X11">
        <f>HYPERLINK("https://klasma.github.io/Logging_2183/kartor/A 41560-2026 karta.png", "A 41560-2026")</f>
        <v/>
      </c>
      <c r="Y11">
        <f>HYPERLINK("https://klasma.github.io/Logging_2183/kartor_geotiff/A 41560-2026 georefererad karta.tif", "A 41560-2026")</f>
        <v/>
      </c>
      <c r="Z11">
        <f>HYPERLINK("https://klasma.github.io/Logging_2183/knärot/A 41560-2026 karta knärot.png", "A 41560-2026")</f>
        <v/>
      </c>
      <c r="AA11">
        <f>HYPERLINK("https://klasma.github.io/Logging_2183/klagomål/A 41560-2026 FSC-klagomål.docx", "A 41560-2026")</f>
        <v/>
      </c>
      <c r="AB11">
        <f>HYPERLINK("https://klasma.github.io/Logging_2183/klagomålsmail/A 41560-2026 FSC-klagomål mail.docx", "A 41560-2026")</f>
        <v/>
      </c>
      <c r="AC11">
        <f>HYPERLINK("https://klasma.github.io/Logging_2183/tillsyn/A 41560-2026 tillsynsbegäran.docx", "A 41560-2026")</f>
        <v/>
      </c>
      <c r="AD11">
        <f>HYPERLINK("https://klasma.github.io/Logging_2183/tillsynsmail/A 41560-2026 tillsynsbegäran mail.docx", "A 41560-2026")</f>
        <v/>
      </c>
    </row>
    <row r="12" ht="15" customHeight="1">
      <c r="A12" t="inlineStr">
        <is>
          <t>A 23504-2023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45076</v>
      </c>
      <c r="E12" s="1" t="n">
        <v>46313</v>
      </c>
      <c r="F12" t="inlineStr">
        <is>
          <t>GÄVLEBORGS LÄN</t>
        </is>
      </c>
      <c r="G12" t="inlineStr">
        <is>
          <t>BOLLNÄS</t>
        </is>
      </c>
      <c r="H12" t="inlineStr">
        <is>
          <t>Sveaskog</t>
        </is>
      </c>
      <c r="I12" t="n">
        <v>11.6</v>
      </c>
      <c r="J12" t="n">
        <v>2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3</v>
      </c>
      <c r="T12" t="n">
        <v>3</v>
      </c>
      <c r="U12" t="n">
        <v>3</v>
      </c>
      <c r="V12" s="2" t="inlineStr">
        <is>
          <t>Igelkott
Lavskrika
Fläcknycklar</t>
        </is>
      </c>
      <c r="W12">
        <f>HYPERLINK("https://klasma.github.io/Logging_2183/artfynd/A 23504-2023 artfynd.xlsx", "A 23504-2023")</f>
        <v/>
      </c>
      <c r="X12">
        <f>HYPERLINK("https://klasma.github.io/Logging_2183/kartor/A 23504-2023 karta.png", "A 23504-2023")</f>
        <v/>
      </c>
      <c r="Y12">
        <f>HYPERLINK("https://klasma.github.io/Logging_2183/kartor_geotiff/A 23504-2023 georefererad karta.tif", "A 23504-2023")</f>
        <v/>
      </c>
      <c r="AA12">
        <f>HYPERLINK("https://klasma.github.io/Logging_2183/klagomål/A 23504-2023 FSC-klagomål.docx", "A 23504-2023")</f>
        <v/>
      </c>
      <c r="AB12">
        <f>HYPERLINK("https://klasma.github.io/Logging_2183/klagomålsmail/A 23504-2023 FSC-klagomål mail.docx", "A 23504-2023")</f>
        <v/>
      </c>
      <c r="AC12">
        <f>HYPERLINK("https://klasma.github.io/Logging_2183/tillsyn/A 23504-2023 tillsynsbegäran.docx", "A 23504-2023")</f>
        <v/>
      </c>
      <c r="AD12">
        <f>HYPERLINK("https://klasma.github.io/Logging_2183/tillsynsmail/A 23504-2023 tillsynsbegäran mail.docx", "A 23504-2023")</f>
        <v/>
      </c>
      <c r="AE12">
        <f>HYPERLINK("https://klasma.github.io/Logging_2183/fåglar/A 23504-2023 prioriterade fågelarter.docx", "A 23504-2023")</f>
        <v/>
      </c>
    </row>
    <row r="13" ht="15" customHeight="1">
      <c r="A13" t="inlineStr">
        <is>
          <t>A 27011-2024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45471</v>
      </c>
      <c r="E13" s="1" t="n">
        <v>46313</v>
      </c>
      <c r="F13" t="inlineStr">
        <is>
          <t>GÄVLEBORGS LÄN</t>
        </is>
      </c>
      <c r="G13" t="inlineStr">
        <is>
          <t>BOLLNÄS</t>
        </is>
      </c>
      <c r="H13" t="inlineStr">
        <is>
          <t>Sveaskog</t>
        </is>
      </c>
      <c r="I13" t="n">
        <v>4.1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2</v>
      </c>
      <c r="U13" t="n">
        <v>0</v>
      </c>
      <c r="V13" s="2" t="inlineStr">
        <is>
          <t>Knärot
Korallrot</t>
        </is>
      </c>
      <c r="W13">
        <f>HYPERLINK("https://klasma.github.io/Logging_2183/artfynd/A 27011-2024 artfynd.xlsx", "A 27011-2024")</f>
        <v/>
      </c>
      <c r="X13">
        <f>HYPERLINK("https://klasma.github.io/Logging_2183/kartor/A 27011-2024 karta.png", "A 27011-2024")</f>
        <v/>
      </c>
      <c r="Y13">
        <f>HYPERLINK("https://klasma.github.io/Logging_2183/kartor_geotiff/A 27011-2024 georefererad karta.tif", "A 27011-2024")</f>
        <v/>
      </c>
      <c r="Z13">
        <f>HYPERLINK("https://klasma.github.io/Logging_2183/knärot/A 27011-2024 karta knärot.png", "A 27011-2024")</f>
        <v/>
      </c>
      <c r="AA13">
        <f>HYPERLINK("https://klasma.github.io/Logging_2183/klagomål/A 27011-2024 FSC-klagomål.docx", "A 27011-2024")</f>
        <v/>
      </c>
      <c r="AB13">
        <f>HYPERLINK("https://klasma.github.io/Logging_2183/klagomålsmail/A 27011-2024 FSC-klagomål mail.docx", "A 27011-2024")</f>
        <v/>
      </c>
      <c r="AC13">
        <f>HYPERLINK("https://klasma.github.io/Logging_2183/tillsyn/A 27011-2024 tillsynsbegäran.docx", "A 27011-2024")</f>
        <v/>
      </c>
      <c r="AD13">
        <f>HYPERLINK("https://klasma.github.io/Logging_2183/tillsynsmail/A 27011-2024 tillsynsbegäran mail.docx", "A 27011-2024")</f>
        <v/>
      </c>
    </row>
    <row r="14" ht="15" customHeight="1">
      <c r="A14" t="inlineStr">
        <is>
          <t>A 737-2026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46029</v>
      </c>
      <c r="E14" s="1" t="n">
        <v>46313</v>
      </c>
      <c r="F14" t="inlineStr">
        <is>
          <t>GÄVLEBORGS LÄN</t>
        </is>
      </c>
      <c r="G14" t="inlineStr">
        <is>
          <t>BOLLNÄS</t>
        </is>
      </c>
      <c r="I14" t="n">
        <v>13.3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Gräsull
Fläcknycklar</t>
        </is>
      </c>
      <c r="W14">
        <f>HYPERLINK("https://klasma.github.io/Logging_2183/artfynd/A 737-2026 artfynd.xlsx", "A 737-2026")</f>
        <v/>
      </c>
      <c r="X14">
        <f>HYPERLINK("https://klasma.github.io/Logging_2183/kartor/A 737-2026 karta.png", "A 737-2026")</f>
        <v/>
      </c>
      <c r="Y14">
        <f>HYPERLINK("https://klasma.github.io/Logging_2183/kartor_geotiff/A 737-2026 georefererad karta.tif", "A 737-2026")</f>
        <v/>
      </c>
      <c r="AA14">
        <f>HYPERLINK("https://klasma.github.io/Logging_2183/klagomål/A 737-2026 FSC-klagomål.docx", "A 737-2026")</f>
        <v/>
      </c>
      <c r="AB14">
        <f>HYPERLINK("https://klasma.github.io/Logging_2183/klagomålsmail/A 737-2026 FSC-klagomål mail.docx", "A 737-2026")</f>
        <v/>
      </c>
      <c r="AC14">
        <f>HYPERLINK("https://klasma.github.io/Logging_2183/tillsyn/A 737-2026 tillsynsbegäran.docx", "A 737-2026")</f>
        <v/>
      </c>
      <c r="AD14">
        <f>HYPERLINK("https://klasma.github.io/Logging_2183/tillsynsmail/A 737-2026 tillsynsbegäran mail.docx", "A 737-2026")</f>
        <v/>
      </c>
    </row>
    <row r="15" ht="15" customHeight="1">
      <c r="A15" t="inlineStr">
        <is>
          <t>A 5776-2026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46051</v>
      </c>
      <c r="E15" s="1" t="n">
        <v>46313</v>
      </c>
      <c r="F15" t="inlineStr">
        <is>
          <t>GÄVLEBORGS LÄN</t>
        </is>
      </c>
      <c r="G15" t="inlineStr">
        <is>
          <t>BOLLNÄS</t>
        </is>
      </c>
      <c r="I15" t="n">
        <v>15.9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Vedskivlav
Vedticka</t>
        </is>
      </c>
      <c r="W15">
        <f>HYPERLINK("https://klasma.github.io/Logging_2183/artfynd/A 5776-2026 artfynd.xlsx", "A 5776-2026")</f>
        <v/>
      </c>
      <c r="X15">
        <f>HYPERLINK("https://klasma.github.io/Logging_2183/kartor/A 5776-2026 karta.png", "A 5776-2026")</f>
        <v/>
      </c>
      <c r="Y15">
        <f>HYPERLINK("https://klasma.github.io/Logging_2183/kartor_geotiff/A 5776-2026 georefererad karta.tif", "A 5776-2026")</f>
        <v/>
      </c>
      <c r="AA15">
        <f>HYPERLINK("https://klasma.github.io/Logging_2183/klagomål/A 5776-2026 FSC-klagomål.docx", "A 5776-2026")</f>
        <v/>
      </c>
      <c r="AB15">
        <f>HYPERLINK("https://klasma.github.io/Logging_2183/klagomålsmail/A 5776-2026 FSC-klagomål mail.docx", "A 5776-2026")</f>
        <v/>
      </c>
      <c r="AC15">
        <f>HYPERLINK("https://klasma.github.io/Logging_2183/tillsyn/A 5776-2026 tillsynsbegäran.docx", "A 5776-2026")</f>
        <v/>
      </c>
      <c r="AD15">
        <f>HYPERLINK("https://klasma.github.io/Logging_2183/tillsynsmail/A 5776-2026 tillsynsbegäran mail.docx", "A 5776-2026")</f>
        <v/>
      </c>
    </row>
    <row r="16" ht="15" customHeight="1">
      <c r="A16" t="inlineStr">
        <is>
          <t>A 53203-2025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45958</v>
      </c>
      <c r="E16" s="1" t="n">
        <v>46313</v>
      </c>
      <c r="F16" t="inlineStr">
        <is>
          <t>GÄVLEBORGS LÄN</t>
        </is>
      </c>
      <c r="G16" t="inlineStr">
        <is>
          <t>BOLLNÄS</t>
        </is>
      </c>
      <c r="I16" t="n">
        <v>4.3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2</v>
      </c>
      <c r="V16" s="2" t="inlineStr">
        <is>
          <t>Rosenfink
Mindre flugsnappare</t>
        </is>
      </c>
      <c r="W16">
        <f>HYPERLINK("https://klasma.github.io/Logging_2183/artfynd/A 53203-2025 artfynd.xlsx", "A 53203-2025")</f>
        <v/>
      </c>
      <c r="X16">
        <f>HYPERLINK("https://klasma.github.io/Logging_2183/kartor/A 53203-2025 karta.png", "A 53203-2025")</f>
        <v/>
      </c>
      <c r="Y16">
        <f>HYPERLINK("https://klasma.github.io/Logging_2183/kartor_geotiff/A 53203-2025 georefererad karta.tif", "A 53203-2025")</f>
        <v/>
      </c>
      <c r="AA16">
        <f>HYPERLINK("https://klasma.github.io/Logging_2183/klagomål/A 53203-2025 FSC-klagomål.docx", "A 53203-2025")</f>
        <v/>
      </c>
      <c r="AB16">
        <f>HYPERLINK("https://klasma.github.io/Logging_2183/klagomålsmail/A 53203-2025 FSC-klagomål mail.docx", "A 53203-2025")</f>
        <v/>
      </c>
      <c r="AC16">
        <f>HYPERLINK("https://klasma.github.io/Logging_2183/tillsyn/A 53203-2025 tillsynsbegäran.docx", "A 53203-2025")</f>
        <v/>
      </c>
      <c r="AD16">
        <f>HYPERLINK("https://klasma.github.io/Logging_2183/tillsynsmail/A 53203-2025 tillsynsbegäran mail.docx", "A 53203-2025")</f>
        <v/>
      </c>
      <c r="AE16">
        <f>HYPERLINK("https://klasma.github.io/Logging_2183/fåglar/A 53203-2025 prioriterade fågelarter.docx", "A 53203-2025")</f>
        <v/>
      </c>
    </row>
    <row r="17" ht="15" customHeight="1">
      <c r="A17" t="inlineStr">
        <is>
          <t>A 20710-2023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45058</v>
      </c>
      <c r="E17" s="1" t="n">
        <v>46313</v>
      </c>
      <c r="F17" t="inlineStr">
        <is>
          <t>GÄVLEBORGS LÄN</t>
        </is>
      </c>
      <c r="G17" t="inlineStr">
        <is>
          <t>BOLLNÄS</t>
        </is>
      </c>
      <c r="I17" t="n">
        <v>8.800000000000001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2</v>
      </c>
      <c r="T17" t="n">
        <v>2</v>
      </c>
      <c r="U17" t="n">
        <v>2</v>
      </c>
      <c r="V17" s="2" t="inlineStr">
        <is>
          <t>Knärot
Lavskrika</t>
        </is>
      </c>
      <c r="W17">
        <f>HYPERLINK("https://klasma.github.io/Logging_2183/artfynd/A 20710-2023 artfynd.xlsx", "A 20710-2023")</f>
        <v/>
      </c>
      <c r="X17">
        <f>HYPERLINK("https://klasma.github.io/Logging_2183/kartor/A 20710-2023 karta.png", "A 20710-2023")</f>
        <v/>
      </c>
      <c r="Y17">
        <f>HYPERLINK("https://klasma.github.io/Logging_2183/kartor_geotiff/A 20710-2023 georefererad karta.tif", "A 20710-2023")</f>
        <v/>
      </c>
      <c r="Z17">
        <f>HYPERLINK("https://klasma.github.io/Logging_2183/knärot/A 20710-2023 karta knärot.png", "A 20710-2023")</f>
        <v/>
      </c>
      <c r="AA17">
        <f>HYPERLINK("https://klasma.github.io/Logging_2183/klagomål/A 20710-2023 FSC-klagomål.docx", "A 20710-2023")</f>
        <v/>
      </c>
      <c r="AB17">
        <f>HYPERLINK("https://klasma.github.io/Logging_2183/klagomålsmail/A 20710-2023 FSC-klagomål mail.docx", "A 20710-2023")</f>
        <v/>
      </c>
      <c r="AC17">
        <f>HYPERLINK("https://klasma.github.io/Logging_2183/tillsyn/A 20710-2023 tillsynsbegäran.docx", "A 20710-2023")</f>
        <v/>
      </c>
      <c r="AD17">
        <f>HYPERLINK("https://klasma.github.io/Logging_2183/tillsynsmail/A 20710-2023 tillsynsbegäran mail.docx", "A 20710-2023")</f>
        <v/>
      </c>
      <c r="AE17">
        <f>HYPERLINK("https://klasma.github.io/Logging_2183/fåglar/A 20710-2023 prioriterade fågelarter.docx", "A 20710-2023")</f>
        <v/>
      </c>
    </row>
    <row r="18" ht="15" customHeight="1">
      <c r="A18" t="inlineStr">
        <is>
          <t>A 11946-2026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46085</v>
      </c>
      <c r="E18" s="1" t="n">
        <v>46313</v>
      </c>
      <c r="F18" t="inlineStr">
        <is>
          <t>GÄVLEBORGS LÄN</t>
        </is>
      </c>
      <c r="G18" t="inlineStr">
        <is>
          <t>BOLLNÄS</t>
        </is>
      </c>
      <c r="I18" t="n">
        <v>8.5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Månlåsbräken
Sandviol</t>
        </is>
      </c>
      <c r="W18">
        <f>HYPERLINK("https://klasma.github.io/Logging_2183/artfynd/A 11946-2026 artfynd.xlsx", "A 11946-2026")</f>
        <v/>
      </c>
      <c r="X18">
        <f>HYPERLINK("https://klasma.github.io/Logging_2183/kartor/A 11946-2026 karta.png", "A 11946-2026")</f>
        <v/>
      </c>
      <c r="Y18">
        <f>HYPERLINK("https://klasma.github.io/Logging_2183/kartor_geotiff/A 11946-2026 georefererad karta.tif", "A 11946-2026")</f>
        <v/>
      </c>
      <c r="AA18">
        <f>HYPERLINK("https://klasma.github.io/Logging_2183/klagomål/A 11946-2026 FSC-klagomål.docx", "A 11946-2026")</f>
        <v/>
      </c>
      <c r="AB18">
        <f>HYPERLINK("https://klasma.github.io/Logging_2183/klagomålsmail/A 11946-2026 FSC-klagomål mail.docx", "A 11946-2026")</f>
        <v/>
      </c>
      <c r="AC18">
        <f>HYPERLINK("https://klasma.github.io/Logging_2183/tillsyn/A 11946-2026 tillsynsbegäran.docx", "A 11946-2026")</f>
        <v/>
      </c>
      <c r="AD18">
        <f>HYPERLINK("https://klasma.github.io/Logging_2183/tillsynsmail/A 11946-2026 tillsynsbegäran mail.docx", "A 11946-2026")</f>
        <v/>
      </c>
    </row>
    <row r="19" ht="15" customHeight="1">
      <c r="A19" t="inlineStr">
        <is>
          <t>A 18182-2026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46125</v>
      </c>
      <c r="E19" s="1" t="n">
        <v>46313</v>
      </c>
      <c r="F19" t="inlineStr">
        <is>
          <t>GÄVLEBORGS LÄN</t>
        </is>
      </c>
      <c r="G19" t="inlineStr">
        <is>
          <t>BOLLNÄS</t>
        </is>
      </c>
      <c r="H19" t="inlineStr">
        <is>
          <t>Bergvik skog väst AB</t>
        </is>
      </c>
      <c r="I19" t="n">
        <v>10.1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Korallblylav
Stuplav</t>
        </is>
      </c>
      <c r="W19">
        <f>HYPERLINK("https://klasma.github.io/Logging_2183/artfynd/A 18182-2026 artfynd.xlsx", "A 18182-2026")</f>
        <v/>
      </c>
      <c r="X19">
        <f>HYPERLINK("https://klasma.github.io/Logging_2183/kartor/A 18182-2026 karta.png", "A 18182-2026")</f>
        <v/>
      </c>
      <c r="Y19">
        <f>HYPERLINK("https://klasma.github.io/Logging_2183/kartor_geotiff/A 18182-2026 georefererad karta.tif", "A 18182-2026")</f>
        <v/>
      </c>
      <c r="AA19">
        <f>HYPERLINK("https://klasma.github.io/Logging_2183/klagomål/A 18182-2026 FSC-klagomål.docx", "A 18182-2026")</f>
        <v/>
      </c>
      <c r="AB19">
        <f>HYPERLINK("https://klasma.github.io/Logging_2183/klagomålsmail/A 18182-2026 FSC-klagomål mail.docx", "A 18182-2026")</f>
        <v/>
      </c>
      <c r="AC19">
        <f>HYPERLINK("https://klasma.github.io/Logging_2183/tillsyn/A 18182-2026 tillsynsbegäran.docx", "A 18182-2026")</f>
        <v/>
      </c>
      <c r="AD19">
        <f>HYPERLINK("https://klasma.github.io/Logging_2183/tillsynsmail/A 18182-2026 tillsynsbegäran mail.docx", "A 18182-2026")</f>
        <v/>
      </c>
    </row>
    <row r="20" ht="15" customHeight="1">
      <c r="A20" t="inlineStr">
        <is>
          <t>A 18369-2026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46126</v>
      </c>
      <c r="E20" s="1" t="n">
        <v>46313</v>
      </c>
      <c r="F20" t="inlineStr">
        <is>
          <t>GÄVLEBORGS LÄN</t>
        </is>
      </c>
      <c r="G20" t="inlineStr">
        <is>
          <t>BOLLNÄS</t>
        </is>
      </c>
      <c r="I20" t="n">
        <v>8.300000000000001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2</v>
      </c>
      <c r="T20" t="n">
        <v>2</v>
      </c>
      <c r="U20" t="n">
        <v>0</v>
      </c>
      <c r="V20" s="2" t="inlineStr">
        <is>
          <t>Lakritsmusseron
Skrovlig taggsvamp</t>
        </is>
      </c>
      <c r="W20">
        <f>HYPERLINK("https://klasma.github.io/Logging_2183/artfynd/A 18369-2026 artfynd.xlsx", "A 18369-2026")</f>
        <v/>
      </c>
      <c r="X20">
        <f>HYPERLINK("https://klasma.github.io/Logging_2183/kartor/A 18369-2026 karta.png", "A 18369-2026")</f>
        <v/>
      </c>
      <c r="Y20">
        <f>HYPERLINK("https://klasma.github.io/Logging_2183/kartor_geotiff/A 18369-2026 georefererad karta.tif", "A 18369-2026")</f>
        <v/>
      </c>
      <c r="AA20">
        <f>HYPERLINK("https://klasma.github.io/Logging_2183/klagomål/A 18369-2026 FSC-klagomål.docx", "A 18369-2026")</f>
        <v/>
      </c>
      <c r="AB20">
        <f>HYPERLINK("https://klasma.github.io/Logging_2183/klagomålsmail/A 18369-2026 FSC-klagomål mail.docx", "A 18369-2026")</f>
        <v/>
      </c>
      <c r="AC20">
        <f>HYPERLINK("https://klasma.github.io/Logging_2183/tillsyn/A 18369-2026 tillsynsbegäran.docx", "A 18369-2026")</f>
        <v/>
      </c>
      <c r="AD20">
        <f>HYPERLINK("https://klasma.github.io/Logging_2183/tillsynsmail/A 18369-2026 tillsynsbegäran mail.docx", "A 18369-2026")</f>
        <v/>
      </c>
    </row>
    <row r="21" ht="15" customHeight="1">
      <c r="A21" t="inlineStr">
        <is>
          <t>A 61604-2025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46002</v>
      </c>
      <c r="E21" s="1" t="n">
        <v>46313</v>
      </c>
      <c r="F21" t="inlineStr">
        <is>
          <t>GÄVLEBORGS LÄN</t>
        </is>
      </c>
      <c r="G21" t="inlineStr">
        <is>
          <t>BOLLNÄS</t>
        </is>
      </c>
      <c r="I21" t="n">
        <v>1.4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Stenfalk
Trana</t>
        </is>
      </c>
      <c r="W21">
        <f>HYPERLINK("https://klasma.github.io/Logging_2183/artfynd/A 61604-2025 artfynd.xlsx", "A 61604-2025")</f>
        <v/>
      </c>
      <c r="X21">
        <f>HYPERLINK("https://klasma.github.io/Logging_2183/kartor/A 61604-2025 karta.png", "A 61604-2025")</f>
        <v/>
      </c>
      <c r="Y21">
        <f>HYPERLINK("https://klasma.github.io/Logging_2183/kartor_geotiff/A 61604-2025 georefererad karta.tif", "A 61604-2025")</f>
        <v/>
      </c>
      <c r="AA21">
        <f>HYPERLINK("https://klasma.github.io/Logging_2183/klagomål/A 61604-2025 FSC-klagomål.docx", "A 61604-2025")</f>
        <v/>
      </c>
      <c r="AB21">
        <f>HYPERLINK("https://klasma.github.io/Logging_2183/klagomålsmail/A 61604-2025 FSC-klagomål mail.docx", "A 61604-2025")</f>
        <v/>
      </c>
      <c r="AC21">
        <f>HYPERLINK("https://klasma.github.io/Logging_2183/tillsyn/A 61604-2025 tillsynsbegäran.docx", "A 61604-2025")</f>
        <v/>
      </c>
      <c r="AD21">
        <f>HYPERLINK("https://klasma.github.io/Logging_2183/tillsynsmail/A 61604-2025 tillsynsbegäran mail.docx", "A 61604-2025")</f>
        <v/>
      </c>
      <c r="AE21">
        <f>HYPERLINK("https://klasma.github.io/Logging_2183/fåglar/A 61604-2025 prioriterade fågelarter.docx", "A 61604-2025")</f>
        <v/>
      </c>
    </row>
    <row r="22" ht="15" customHeight="1">
      <c r="A22" t="inlineStr">
        <is>
          <t>S 840-2026</t>
        </is>
      </c>
      <c r="B22" t="inlineStr">
        <is>
          <t>samrådsanmälan</t>
        </is>
      </c>
      <c r="C22" t="inlineStr">
        <is>
          <t>Annan skogsbruksåtgärd</t>
        </is>
      </c>
      <c r="D22" s="1" t="n">
        <v>46105</v>
      </c>
      <c r="E22" s="1" t="n">
        <v>46313</v>
      </c>
      <c r="F22" t="inlineStr">
        <is>
          <t>GÄVLEBORGS LÄN</t>
        </is>
      </c>
      <c r="G22" t="inlineStr">
        <is>
          <t>BOLLNÄS</t>
        </is>
      </c>
      <c r="I22" t="n">
        <v>14.7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2</v>
      </c>
      <c r="T22" t="n">
        <v>3</v>
      </c>
      <c r="U22" t="n">
        <v>0</v>
      </c>
      <c r="V22" s="2" t="inlineStr">
        <is>
          <t>Knärot
Lavskrika</t>
        </is>
      </c>
      <c r="W22">
        <f>HYPERLINK("https://klasma.github.io/Logging_2183/artfynd/S 840-2026 artfynd.xlsx", "S 840-2026")</f>
        <v/>
      </c>
      <c r="X22">
        <f>HYPERLINK("https://klasma.github.io/Logging_2183/kartor/S 840-2026 karta.png", "S 840-2026")</f>
        <v/>
      </c>
      <c r="Y22">
        <f>HYPERLINK("https://klasma.github.io/Logging_2183/kartor_geotiff/S 840-2026 georefererad karta.tif", "S 840-2026")</f>
        <v/>
      </c>
      <c r="Z22">
        <f>HYPERLINK("https://klasma.github.io/Logging_2183/knärot/S 840-2026 karta knärot.png", "S 840-2026")</f>
        <v/>
      </c>
      <c r="AA22">
        <f>HYPERLINK("https://klasma.github.io/Logging_2183/klagomål/S 840-2026 FSC-klagomål.docx", "S 840-2026")</f>
        <v/>
      </c>
      <c r="AB22">
        <f>HYPERLINK("https://klasma.github.io/Logging_2183/klagomålsmail/S 840-2026 FSC-klagomål mail.docx", "S 840-2026")</f>
        <v/>
      </c>
      <c r="AC22">
        <f>HYPERLINK("https://klasma.github.io/Logging_2183/tillsyn/S 840-2026 tillsynsbegäran.docx", "S 840-2026")</f>
        <v/>
      </c>
      <c r="AD22">
        <f>HYPERLINK("https://klasma.github.io/Logging_2183/tillsynsmail/S 840-2026 tillsynsbegäran mail.docx", "S 840-2026")</f>
        <v/>
      </c>
      <c r="AE22">
        <f>HYPERLINK("https://klasma.github.io/Logging_2183/fåglar/S 840-2026 prioriterade fågelarter.docx", "S 840-2026")</f>
        <v/>
      </c>
    </row>
    <row r="23" ht="15" customHeight="1">
      <c r="A23" t="inlineStr">
        <is>
          <t>A 48664-2022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44859</v>
      </c>
      <c r="E23" s="1" t="n">
        <v>46313</v>
      </c>
      <c r="F23" t="inlineStr">
        <is>
          <t>GÄVLEBORGS LÄN</t>
        </is>
      </c>
      <c r="G23" t="inlineStr">
        <is>
          <t>BOLLNÄS</t>
        </is>
      </c>
      <c r="I23" t="n">
        <v>1.3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Lakritsmusseron</t>
        </is>
      </c>
      <c r="W23">
        <f>HYPERLINK("https://klasma.github.io/Logging_2183/artfynd/A 48664-2022 artfynd.xlsx", "A 48664-2022")</f>
        <v/>
      </c>
      <c r="X23">
        <f>HYPERLINK("https://klasma.github.io/Logging_2183/kartor/A 48664-2022 karta.png", "A 48664-2022")</f>
        <v/>
      </c>
      <c r="Y23">
        <f>HYPERLINK("https://klasma.github.io/Logging_2183/kartor_geotiff/A 48664-2022 georefererad karta.tif", "A 48664-2022")</f>
        <v/>
      </c>
      <c r="AA23">
        <f>HYPERLINK("https://klasma.github.io/Logging_2183/klagomål/A 48664-2022 FSC-klagomål.docx", "A 48664-2022")</f>
        <v/>
      </c>
      <c r="AB23">
        <f>HYPERLINK("https://klasma.github.io/Logging_2183/klagomålsmail/A 48664-2022 FSC-klagomål mail.docx", "A 48664-2022")</f>
        <v/>
      </c>
      <c r="AC23">
        <f>HYPERLINK("https://klasma.github.io/Logging_2183/tillsyn/A 48664-2022 tillsynsbegäran.docx", "A 48664-2022")</f>
        <v/>
      </c>
      <c r="AD23">
        <f>HYPERLINK("https://klasma.github.io/Logging_2183/tillsynsmail/A 48664-2022 tillsynsbegäran mail.docx", "A 48664-2022")</f>
        <v/>
      </c>
    </row>
    <row r="24" ht="15" customHeight="1">
      <c r="A24" t="inlineStr">
        <is>
          <t>A 54083-2022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44881</v>
      </c>
      <c r="E24" s="1" t="n">
        <v>46313</v>
      </c>
      <c r="F24" t="inlineStr">
        <is>
          <t>GÄVLEBORGS LÄN</t>
        </is>
      </c>
      <c r="G24" t="inlineStr">
        <is>
          <t>BOLLNÄS</t>
        </is>
      </c>
      <c r="H24" t="inlineStr">
        <is>
          <t>Sveaskog</t>
        </is>
      </c>
      <c r="I24" t="n">
        <v>2.7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Fläcknycklar</t>
        </is>
      </c>
      <c r="W24">
        <f>HYPERLINK("https://klasma.github.io/Logging_2183/artfynd/A 54083-2022 artfynd.xlsx", "A 54083-2022")</f>
        <v/>
      </c>
      <c r="X24">
        <f>HYPERLINK("https://klasma.github.io/Logging_2183/kartor/A 54083-2022 karta.png", "A 54083-2022")</f>
        <v/>
      </c>
      <c r="Y24">
        <f>HYPERLINK("https://klasma.github.io/Logging_2183/kartor_geotiff/A 54083-2022 georefererad karta.tif", "A 54083-2022")</f>
        <v/>
      </c>
      <c r="AA24">
        <f>HYPERLINK("https://klasma.github.io/Logging_2183/klagomål/A 54083-2022 FSC-klagomål.docx", "A 54083-2022")</f>
        <v/>
      </c>
      <c r="AB24">
        <f>HYPERLINK("https://klasma.github.io/Logging_2183/klagomålsmail/A 54083-2022 FSC-klagomål mail.docx", "A 54083-2022")</f>
        <v/>
      </c>
      <c r="AC24">
        <f>HYPERLINK("https://klasma.github.io/Logging_2183/tillsyn/A 54083-2022 tillsynsbegäran.docx", "A 54083-2022")</f>
        <v/>
      </c>
      <c r="AD24">
        <f>HYPERLINK("https://klasma.github.io/Logging_2183/tillsynsmail/A 54083-2022 tillsynsbegäran mail.docx", "A 54083-2022")</f>
        <v/>
      </c>
    </row>
    <row r="25" ht="15" customHeight="1">
      <c r="A25" t="inlineStr">
        <is>
          <t>A 29712-2023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45107</v>
      </c>
      <c r="E25" s="1" t="n">
        <v>46313</v>
      </c>
      <c r="F25" t="inlineStr">
        <is>
          <t>GÄVLEBORGS LÄN</t>
        </is>
      </c>
      <c r="G25" t="inlineStr">
        <is>
          <t>BOLLNÄS</t>
        </is>
      </c>
      <c r="H25" t="inlineStr">
        <is>
          <t>Sveaskog</t>
        </is>
      </c>
      <c r="I25" t="n">
        <v>1.9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Nordfladdermus</t>
        </is>
      </c>
      <c r="W25">
        <f>HYPERLINK("https://klasma.github.io/Logging_2183/artfynd/A 29712-2023 artfynd.xlsx", "A 29712-2023")</f>
        <v/>
      </c>
      <c r="X25">
        <f>HYPERLINK("https://klasma.github.io/Logging_2183/kartor/A 29712-2023 karta.png", "A 29712-2023")</f>
        <v/>
      </c>
      <c r="Y25">
        <f>HYPERLINK("https://klasma.github.io/Logging_2183/kartor_geotiff/A 29712-2023 georefererad karta.tif", "A 29712-2023")</f>
        <v/>
      </c>
      <c r="AA25">
        <f>HYPERLINK("https://klasma.github.io/Logging_2183/klagomål/A 29712-2023 FSC-klagomål.docx", "A 29712-2023")</f>
        <v/>
      </c>
      <c r="AB25">
        <f>HYPERLINK("https://klasma.github.io/Logging_2183/klagomålsmail/A 29712-2023 FSC-klagomål mail.docx", "A 29712-2023")</f>
        <v/>
      </c>
      <c r="AC25">
        <f>HYPERLINK("https://klasma.github.io/Logging_2183/tillsyn/A 29712-2023 tillsynsbegäran.docx", "A 29712-2023")</f>
        <v/>
      </c>
      <c r="AD25">
        <f>HYPERLINK("https://klasma.github.io/Logging_2183/tillsynsmail/A 29712-2023 tillsynsbegäran mail.docx", "A 29712-2023")</f>
        <v/>
      </c>
    </row>
    <row r="26" ht="15" customHeight="1">
      <c r="A26" t="inlineStr">
        <is>
          <t>A 5370-2025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45692</v>
      </c>
      <c r="E26" s="1" t="n">
        <v>46313</v>
      </c>
      <c r="F26" t="inlineStr">
        <is>
          <t>GÄVLEBORGS LÄN</t>
        </is>
      </c>
      <c r="G26" t="inlineStr">
        <is>
          <t>BOLLNÄS</t>
        </is>
      </c>
      <c r="I26" t="n">
        <v>2.5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Ullticka</t>
        </is>
      </c>
      <c r="W26">
        <f>HYPERLINK("https://klasma.github.io/Logging_2183/artfynd/A 5370-2025 artfynd.xlsx", "A 5370-2025")</f>
        <v/>
      </c>
      <c r="X26">
        <f>HYPERLINK("https://klasma.github.io/Logging_2183/kartor/A 5370-2025 karta.png", "A 5370-2025")</f>
        <v/>
      </c>
      <c r="Y26">
        <f>HYPERLINK("https://klasma.github.io/Logging_2183/kartor_geotiff/A 5370-2025 georefererad karta.tif", "A 5370-2025")</f>
        <v/>
      </c>
      <c r="AA26">
        <f>HYPERLINK("https://klasma.github.io/Logging_2183/klagomål/A 5370-2025 FSC-klagomål.docx", "A 5370-2025")</f>
        <v/>
      </c>
      <c r="AB26">
        <f>HYPERLINK("https://klasma.github.io/Logging_2183/klagomålsmail/A 5370-2025 FSC-klagomål mail.docx", "A 5370-2025")</f>
        <v/>
      </c>
      <c r="AC26">
        <f>HYPERLINK("https://klasma.github.io/Logging_2183/tillsyn/A 5370-2025 tillsynsbegäran.docx", "A 5370-2025")</f>
        <v/>
      </c>
      <c r="AD26">
        <f>HYPERLINK("https://klasma.github.io/Logging_2183/tillsynsmail/A 5370-2025 tillsynsbegäran mail.docx", "A 5370-2025")</f>
        <v/>
      </c>
    </row>
    <row r="27" ht="15" customHeight="1">
      <c r="A27" t="inlineStr">
        <is>
          <t>A 55048-2022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44886</v>
      </c>
      <c r="E27" s="1" t="n">
        <v>46313</v>
      </c>
      <c r="F27" t="inlineStr">
        <is>
          <t>GÄVLEBORGS LÄN</t>
        </is>
      </c>
      <c r="G27" t="inlineStr">
        <is>
          <t>BOLLNÄS</t>
        </is>
      </c>
      <c r="H27" t="inlineStr">
        <is>
          <t>Sveaskog</t>
        </is>
      </c>
      <c r="I27" t="n">
        <v>0.5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Fläcknycklar</t>
        </is>
      </c>
      <c r="W27">
        <f>HYPERLINK("https://klasma.github.io/Logging_2183/artfynd/A 55048-2022 artfynd.xlsx", "A 55048-2022")</f>
        <v/>
      </c>
      <c r="X27">
        <f>HYPERLINK("https://klasma.github.io/Logging_2183/kartor/A 55048-2022 karta.png", "A 55048-2022")</f>
        <v/>
      </c>
      <c r="Y27">
        <f>HYPERLINK("https://klasma.github.io/Logging_2183/kartor_geotiff/A 55048-2022 georefererad karta.tif", "A 55048-2022")</f>
        <v/>
      </c>
      <c r="AA27">
        <f>HYPERLINK("https://klasma.github.io/Logging_2183/klagomål/A 55048-2022 FSC-klagomål.docx", "A 55048-2022")</f>
        <v/>
      </c>
      <c r="AB27">
        <f>HYPERLINK("https://klasma.github.io/Logging_2183/klagomålsmail/A 55048-2022 FSC-klagomål mail.docx", "A 55048-2022")</f>
        <v/>
      </c>
      <c r="AC27">
        <f>HYPERLINK("https://klasma.github.io/Logging_2183/tillsyn/A 55048-2022 tillsynsbegäran.docx", "A 55048-2022")</f>
        <v/>
      </c>
      <c r="AD27">
        <f>HYPERLINK("https://klasma.github.io/Logging_2183/tillsynsmail/A 55048-2022 tillsynsbegäran mail.docx", "A 55048-2022")</f>
        <v/>
      </c>
    </row>
    <row r="28" ht="15" customHeight="1">
      <c r="A28" t="inlineStr">
        <is>
          <t>A 14979-2026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46104</v>
      </c>
      <c r="E28" s="1" t="n">
        <v>46313</v>
      </c>
      <c r="F28" t="inlineStr">
        <is>
          <t>GÄVLEBORGS LÄN</t>
        </is>
      </c>
      <c r="G28" t="inlineStr">
        <is>
          <t>BOLLNÄS</t>
        </is>
      </c>
      <c r="I28" t="n">
        <v>25.1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Fläcknycklar</t>
        </is>
      </c>
      <c r="W28">
        <f>HYPERLINK("https://klasma.github.io/Logging_2183/artfynd/A 14979-2026 artfynd.xlsx", "A 14979-2026")</f>
        <v/>
      </c>
      <c r="X28">
        <f>HYPERLINK("https://klasma.github.io/Logging_2183/kartor/A 14979-2026 karta.png", "A 14979-2026")</f>
        <v/>
      </c>
      <c r="Y28">
        <f>HYPERLINK("https://klasma.github.io/Logging_2183/kartor_geotiff/A 14979-2026 georefererad karta.tif", "A 14979-2026")</f>
        <v/>
      </c>
      <c r="AA28">
        <f>HYPERLINK("https://klasma.github.io/Logging_2183/klagomål/A 14979-2026 FSC-klagomål.docx", "A 14979-2026")</f>
        <v/>
      </c>
      <c r="AB28">
        <f>HYPERLINK("https://klasma.github.io/Logging_2183/klagomålsmail/A 14979-2026 FSC-klagomål mail.docx", "A 14979-2026")</f>
        <v/>
      </c>
      <c r="AC28">
        <f>HYPERLINK("https://klasma.github.io/Logging_2183/tillsyn/A 14979-2026 tillsynsbegäran.docx", "A 14979-2026")</f>
        <v/>
      </c>
      <c r="AD28">
        <f>HYPERLINK("https://klasma.github.io/Logging_2183/tillsynsmail/A 14979-2026 tillsynsbegäran mail.docx", "A 14979-2026")</f>
        <v/>
      </c>
    </row>
    <row r="29" ht="15" customHeight="1">
      <c r="A29" t="inlineStr">
        <is>
          <t>A 13034-2026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46093</v>
      </c>
      <c r="E29" s="1" t="n">
        <v>46313</v>
      </c>
      <c r="F29" t="inlineStr">
        <is>
          <t>GÄVLEBORGS LÄN</t>
        </is>
      </c>
      <c r="G29" t="inlineStr">
        <is>
          <t>BOLLNÄS</t>
        </is>
      </c>
      <c r="I29" t="n">
        <v>0.8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Skogsfru</t>
        </is>
      </c>
      <c r="W29">
        <f>HYPERLINK("https://klasma.github.io/Logging_2183/artfynd/A 13034-2026 artfynd.xlsx", "A 13034-2026")</f>
        <v/>
      </c>
      <c r="X29">
        <f>HYPERLINK("https://klasma.github.io/Logging_2183/kartor/A 13034-2026 karta.png", "A 13034-2026")</f>
        <v/>
      </c>
      <c r="Y29">
        <f>HYPERLINK("https://klasma.github.io/Logging_2183/kartor_geotiff/A 13034-2026 georefererad karta.tif", "A 13034-2026")</f>
        <v/>
      </c>
      <c r="AA29">
        <f>HYPERLINK("https://klasma.github.io/Logging_2183/klagomål/A 13034-2026 FSC-klagomål.docx", "A 13034-2026")</f>
        <v/>
      </c>
      <c r="AB29">
        <f>HYPERLINK("https://klasma.github.io/Logging_2183/klagomålsmail/A 13034-2026 FSC-klagomål mail.docx", "A 13034-2026")</f>
        <v/>
      </c>
      <c r="AC29">
        <f>HYPERLINK("https://klasma.github.io/Logging_2183/tillsyn/A 13034-2026 tillsynsbegäran.docx", "A 13034-2026")</f>
        <v/>
      </c>
      <c r="AD29">
        <f>HYPERLINK("https://klasma.github.io/Logging_2183/tillsynsmail/A 13034-2026 tillsynsbegäran mail.docx", "A 13034-2026")</f>
        <v/>
      </c>
    </row>
    <row r="30" ht="15" customHeight="1">
      <c r="A30" t="inlineStr">
        <is>
          <t>A 41663-2025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45902</v>
      </c>
      <c r="E30" s="1" t="n">
        <v>46313</v>
      </c>
      <c r="F30" t="inlineStr">
        <is>
          <t>GÄVLEBORGS LÄN</t>
        </is>
      </c>
      <c r="G30" t="inlineStr">
        <is>
          <t>BOLLNÄS</t>
        </is>
      </c>
      <c r="I30" t="n">
        <v>5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Lunglav</t>
        </is>
      </c>
      <c r="W30">
        <f>HYPERLINK("https://klasma.github.io/Logging_2183/artfynd/A 41663-2025 artfynd.xlsx", "A 41663-2025")</f>
        <v/>
      </c>
      <c r="X30">
        <f>HYPERLINK("https://klasma.github.io/Logging_2183/kartor/A 41663-2025 karta.png", "A 41663-2025")</f>
        <v/>
      </c>
      <c r="Y30">
        <f>HYPERLINK("https://klasma.github.io/Logging_2183/kartor_geotiff/A 41663-2025 georefererad karta.tif", "A 41663-2025")</f>
        <v/>
      </c>
      <c r="AA30">
        <f>HYPERLINK("https://klasma.github.io/Logging_2183/klagomål/A 41663-2025 FSC-klagomål.docx", "A 41663-2025")</f>
        <v/>
      </c>
      <c r="AB30">
        <f>HYPERLINK("https://klasma.github.io/Logging_2183/klagomålsmail/A 41663-2025 FSC-klagomål mail.docx", "A 41663-2025")</f>
        <v/>
      </c>
      <c r="AC30">
        <f>HYPERLINK("https://klasma.github.io/Logging_2183/tillsyn/A 41663-2025 tillsynsbegäran.docx", "A 41663-2025")</f>
        <v/>
      </c>
      <c r="AD30">
        <f>HYPERLINK("https://klasma.github.io/Logging_2183/tillsynsmail/A 41663-2025 tillsynsbegäran mail.docx", "A 41663-2025")</f>
        <v/>
      </c>
    </row>
    <row r="31" ht="15" customHeight="1">
      <c r="A31" t="inlineStr">
        <is>
          <t>A 54772-2022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44883</v>
      </c>
      <c r="E31" s="1" t="n">
        <v>46313</v>
      </c>
      <c r="F31" t="inlineStr">
        <is>
          <t>GÄVLEBORGS LÄN</t>
        </is>
      </c>
      <c r="G31" t="inlineStr">
        <is>
          <t>BOLLNÄS</t>
        </is>
      </c>
      <c r="I31" t="n">
        <v>12.5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Lavskrika</t>
        </is>
      </c>
      <c r="W31">
        <f>HYPERLINK("https://klasma.github.io/Logging_2183/artfynd/A 54772-2022 artfynd.xlsx", "A 54772-2022")</f>
        <v/>
      </c>
      <c r="X31">
        <f>HYPERLINK("https://klasma.github.io/Logging_2183/kartor/A 54772-2022 karta.png", "A 54772-2022")</f>
        <v/>
      </c>
      <c r="Y31">
        <f>HYPERLINK("https://klasma.github.io/Logging_2183/kartor_geotiff/A 54772-2022 georefererad karta.tif", "A 54772-2022")</f>
        <v/>
      </c>
      <c r="AA31">
        <f>HYPERLINK("https://klasma.github.io/Logging_2183/klagomål/A 54772-2022 FSC-klagomål.docx", "A 54772-2022")</f>
        <v/>
      </c>
      <c r="AB31">
        <f>HYPERLINK("https://klasma.github.io/Logging_2183/klagomålsmail/A 54772-2022 FSC-klagomål mail.docx", "A 54772-2022")</f>
        <v/>
      </c>
      <c r="AC31">
        <f>HYPERLINK("https://klasma.github.io/Logging_2183/tillsyn/A 54772-2022 tillsynsbegäran.docx", "A 54772-2022")</f>
        <v/>
      </c>
      <c r="AD31">
        <f>HYPERLINK("https://klasma.github.io/Logging_2183/tillsynsmail/A 54772-2022 tillsynsbegäran mail.docx", "A 54772-2022")</f>
        <v/>
      </c>
      <c r="AE31">
        <f>HYPERLINK("https://klasma.github.io/Logging_2183/fåglar/A 54772-2022 prioriterade fågelarter.docx", "A 54772-2022")</f>
        <v/>
      </c>
    </row>
    <row r="32" ht="15" customHeight="1">
      <c r="A32" t="inlineStr">
        <is>
          <t>A 46997-2025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45929</v>
      </c>
      <c r="E32" s="1" t="n">
        <v>46313</v>
      </c>
      <c r="F32" t="inlineStr">
        <is>
          <t>GÄVLEBORGS LÄN</t>
        </is>
      </c>
      <c r="G32" t="inlineStr">
        <is>
          <t>BOLLNÄS</t>
        </is>
      </c>
      <c r="I32" t="n">
        <v>2.1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Ryl</t>
        </is>
      </c>
      <c r="W32">
        <f>HYPERLINK("https://klasma.github.io/Logging_2183/artfynd/A 46997-2025 artfynd.xlsx", "A 46997-2025")</f>
        <v/>
      </c>
      <c r="X32">
        <f>HYPERLINK("https://klasma.github.io/Logging_2183/kartor/A 46997-2025 karta.png", "A 46997-2025")</f>
        <v/>
      </c>
      <c r="Y32">
        <f>HYPERLINK("https://klasma.github.io/Logging_2183/kartor_geotiff/A 46997-2025 georefererad karta.tif", "A 46997-2025")</f>
        <v/>
      </c>
      <c r="AA32">
        <f>HYPERLINK("https://klasma.github.io/Logging_2183/klagomål/A 46997-2025 FSC-klagomål.docx", "A 46997-2025")</f>
        <v/>
      </c>
      <c r="AB32">
        <f>HYPERLINK("https://klasma.github.io/Logging_2183/klagomålsmail/A 46997-2025 FSC-klagomål mail.docx", "A 46997-2025")</f>
        <v/>
      </c>
      <c r="AC32">
        <f>HYPERLINK("https://klasma.github.io/Logging_2183/tillsyn/A 46997-2025 tillsynsbegäran.docx", "A 46997-2025")</f>
        <v/>
      </c>
      <c r="AD32">
        <f>HYPERLINK("https://klasma.github.io/Logging_2183/tillsynsmail/A 46997-2025 tillsynsbegäran mail.docx", "A 46997-2025")</f>
        <v/>
      </c>
    </row>
    <row r="33" ht="15" customHeight="1">
      <c r="A33" t="inlineStr">
        <is>
          <t>A 47000-2025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45929</v>
      </c>
      <c r="E33" s="1" t="n">
        <v>46313</v>
      </c>
      <c r="F33" t="inlineStr">
        <is>
          <t>GÄVLEBORGS LÄN</t>
        </is>
      </c>
      <c r="G33" t="inlineStr">
        <is>
          <t>BOLLNÄS</t>
        </is>
      </c>
      <c r="I33" t="n">
        <v>1.8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Fläcknycklar</t>
        </is>
      </c>
      <c r="W33">
        <f>HYPERLINK("https://klasma.github.io/Logging_2183/artfynd/A 47000-2025 artfynd.xlsx", "A 47000-2025")</f>
        <v/>
      </c>
      <c r="X33">
        <f>HYPERLINK("https://klasma.github.io/Logging_2183/kartor/A 47000-2025 karta.png", "A 47000-2025")</f>
        <v/>
      </c>
      <c r="Y33">
        <f>HYPERLINK("https://klasma.github.io/Logging_2183/kartor_geotiff/A 47000-2025 georefererad karta.tif", "A 47000-2025")</f>
        <v/>
      </c>
      <c r="AA33">
        <f>HYPERLINK("https://klasma.github.io/Logging_2183/klagomål/A 47000-2025 FSC-klagomål.docx", "A 47000-2025")</f>
        <v/>
      </c>
      <c r="AB33">
        <f>HYPERLINK("https://klasma.github.io/Logging_2183/klagomålsmail/A 47000-2025 FSC-klagomål mail.docx", "A 47000-2025")</f>
        <v/>
      </c>
      <c r="AC33">
        <f>HYPERLINK("https://klasma.github.io/Logging_2183/tillsyn/A 47000-2025 tillsynsbegäran.docx", "A 47000-2025")</f>
        <v/>
      </c>
      <c r="AD33">
        <f>HYPERLINK("https://klasma.github.io/Logging_2183/tillsynsmail/A 47000-2025 tillsynsbegäran mail.docx", "A 47000-2025")</f>
        <v/>
      </c>
    </row>
    <row r="34" ht="15" customHeight="1">
      <c r="A34" t="inlineStr">
        <is>
          <t>A 52035-2025</t>
        </is>
      </c>
      <c r="B34" t="inlineStr">
        <is>
          <t>avverkningsanmälan</t>
        </is>
      </c>
      <c r="C34" t="inlineStr">
        <is>
          <t>Avverkning för att bevara och utveckla /försöksver</t>
        </is>
      </c>
      <c r="D34" s="1" t="n">
        <v>45952</v>
      </c>
      <c r="E34" s="1" t="n">
        <v>46313</v>
      </c>
      <c r="F34" t="inlineStr">
        <is>
          <t>GÄVLEBORGS LÄN</t>
        </is>
      </c>
      <c r="G34" t="inlineStr">
        <is>
          <t>BOLLNÄS</t>
        </is>
      </c>
      <c r="H34" t="inlineStr">
        <is>
          <t>Sveaskog</t>
        </is>
      </c>
      <c r="I34" t="n">
        <v>1.3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Ullticka</t>
        </is>
      </c>
      <c r="W34">
        <f>HYPERLINK("https://klasma.github.io/Logging_2183/artfynd/A 52035-2025 artfynd.xlsx", "A 52035-2025")</f>
        <v/>
      </c>
      <c r="X34">
        <f>HYPERLINK("https://klasma.github.io/Logging_2183/kartor/A 52035-2025 karta.png", "A 52035-2025")</f>
        <v/>
      </c>
      <c r="Y34">
        <f>HYPERLINK("https://klasma.github.io/Logging_2183/kartor_geotiff/A 52035-2025 georefererad karta.tif", "A 52035-2025")</f>
        <v/>
      </c>
      <c r="AA34">
        <f>HYPERLINK("https://klasma.github.io/Logging_2183/klagomål/A 52035-2025 FSC-klagomål.docx", "A 52035-2025")</f>
        <v/>
      </c>
      <c r="AB34">
        <f>HYPERLINK("https://klasma.github.io/Logging_2183/klagomålsmail/A 52035-2025 FSC-klagomål mail.docx", "A 52035-2025")</f>
        <v/>
      </c>
      <c r="AC34">
        <f>HYPERLINK("https://klasma.github.io/Logging_2183/tillsyn/A 52035-2025 tillsynsbegäran.docx", "A 52035-2025")</f>
        <v/>
      </c>
      <c r="AD34">
        <f>HYPERLINK("https://klasma.github.io/Logging_2183/tillsynsmail/A 52035-2025 tillsynsbegäran mail.docx", "A 52035-2025")</f>
        <v/>
      </c>
    </row>
    <row r="35" ht="15" customHeight="1">
      <c r="A35" t="inlineStr">
        <is>
          <t>A 24035-2026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46167</v>
      </c>
      <c r="E35" s="1" t="n">
        <v>46313</v>
      </c>
      <c r="F35" t="inlineStr">
        <is>
          <t>GÄVLEBORGS LÄN</t>
        </is>
      </c>
      <c r="G35" t="inlineStr">
        <is>
          <t>BOLLNÄS</t>
        </is>
      </c>
      <c r="H35" t="inlineStr">
        <is>
          <t>Bergvik skog väst AB</t>
        </is>
      </c>
      <c r="I35" t="n">
        <v>14.6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s="2" t="inlineStr">
        <is>
          <t>Nattviol</t>
        </is>
      </c>
      <c r="W35">
        <f>HYPERLINK("https://klasma.github.io/Logging_2183/artfynd/A 24035-2026 artfynd.xlsx", "A 24035-2026")</f>
        <v/>
      </c>
      <c r="X35">
        <f>HYPERLINK("https://klasma.github.io/Logging_2183/kartor/A 24035-2026 karta.png", "A 24035-2026")</f>
        <v/>
      </c>
      <c r="Y35">
        <f>HYPERLINK("https://klasma.github.io/Logging_2183/kartor_geotiff/A 24035-2026 georefererad karta.tif", "A 24035-2026")</f>
        <v/>
      </c>
      <c r="AA35">
        <f>HYPERLINK("https://klasma.github.io/Logging_2183/klagomål/A 24035-2026 FSC-klagomål.docx", "A 24035-2026")</f>
        <v/>
      </c>
      <c r="AB35">
        <f>HYPERLINK("https://klasma.github.io/Logging_2183/klagomålsmail/A 24035-2026 FSC-klagomål mail.docx", "A 24035-2026")</f>
        <v/>
      </c>
      <c r="AC35">
        <f>HYPERLINK("https://klasma.github.io/Logging_2183/tillsyn/A 24035-2026 tillsynsbegäran.docx", "A 24035-2026")</f>
        <v/>
      </c>
      <c r="AD35">
        <f>HYPERLINK("https://klasma.github.io/Logging_2183/tillsynsmail/A 24035-2026 tillsynsbegäran mail.docx", "A 24035-2026")</f>
        <v/>
      </c>
    </row>
    <row r="36" ht="15" customHeight="1">
      <c r="A36" t="inlineStr">
        <is>
          <t>A 16124-2026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46108</v>
      </c>
      <c r="E36" s="1" t="n">
        <v>46313</v>
      </c>
      <c r="F36" t="inlineStr">
        <is>
          <t>GÄVLEBORGS LÄN</t>
        </is>
      </c>
      <c r="G36" t="inlineStr">
        <is>
          <t>BOLLNÄS</t>
        </is>
      </c>
      <c r="I36" t="n">
        <v>6.6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2</v>
      </c>
      <c r="U36" t="n">
        <v>0</v>
      </c>
      <c r="V36" s="2" t="inlineStr">
        <is>
          <t>Tallgråticka</t>
        </is>
      </c>
      <c r="W36">
        <f>HYPERLINK("https://klasma.github.io/Logging_2183/artfynd/A 16124-2026 artfynd.xlsx", "A 16124-2026")</f>
        <v/>
      </c>
      <c r="X36">
        <f>HYPERLINK("https://klasma.github.io/Logging_2183/kartor/A 16124-2026 karta.png", "A 16124-2026")</f>
        <v/>
      </c>
      <c r="Y36">
        <f>HYPERLINK("https://klasma.github.io/Logging_2183/kartor_geotiff/A 16124-2026 georefererad karta.tif", "A 16124-2026")</f>
        <v/>
      </c>
      <c r="AA36">
        <f>HYPERLINK("https://klasma.github.io/Logging_2183/klagomål/A 16124-2026 FSC-klagomål.docx", "A 16124-2026")</f>
        <v/>
      </c>
      <c r="AB36">
        <f>HYPERLINK("https://klasma.github.io/Logging_2183/klagomålsmail/A 16124-2026 FSC-klagomål mail.docx", "A 16124-2026")</f>
        <v/>
      </c>
      <c r="AC36">
        <f>HYPERLINK("https://klasma.github.io/Logging_2183/tillsyn/A 16124-2026 tillsynsbegäran.docx", "A 16124-2026")</f>
        <v/>
      </c>
      <c r="AD36">
        <f>HYPERLINK("https://klasma.github.io/Logging_2183/tillsynsmail/A 16124-2026 tillsynsbegäran mail.docx", "A 16124-2026")</f>
        <v/>
      </c>
    </row>
    <row r="37" ht="15" customHeight="1">
      <c r="A37" t="inlineStr">
        <is>
          <t>A 3140-2026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46041</v>
      </c>
      <c r="E37" s="1" t="n">
        <v>46313</v>
      </c>
      <c r="F37" t="inlineStr">
        <is>
          <t>GÄVLEBORGS LÄN</t>
        </is>
      </c>
      <c r="G37" t="inlineStr">
        <is>
          <t>BOLLNÄS</t>
        </is>
      </c>
      <c r="I37" t="n">
        <v>4.5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s="2" t="inlineStr">
        <is>
          <t>Flodkräfta</t>
        </is>
      </c>
      <c r="W37">
        <f>HYPERLINK("https://klasma.github.io/Logging_2183/artfynd/A 3140-2026 artfynd.xlsx", "A 3140-2026")</f>
        <v/>
      </c>
      <c r="X37">
        <f>HYPERLINK("https://klasma.github.io/Logging_2183/kartor/A 3140-2026 karta.png", "A 3140-2026")</f>
        <v/>
      </c>
      <c r="Y37">
        <f>HYPERLINK("https://klasma.github.io/Logging_2183/kartor_geotiff/A 3140-2026 georefererad karta.tif", "A 3140-2026")</f>
        <v/>
      </c>
      <c r="AA37">
        <f>HYPERLINK("https://klasma.github.io/Logging_2183/klagomål/A 3140-2026 FSC-klagomål.docx", "A 3140-2026")</f>
        <v/>
      </c>
      <c r="AB37">
        <f>HYPERLINK("https://klasma.github.io/Logging_2183/klagomålsmail/A 3140-2026 FSC-klagomål mail.docx", "A 3140-2026")</f>
        <v/>
      </c>
      <c r="AC37">
        <f>HYPERLINK("https://klasma.github.io/Logging_2183/tillsyn/A 3140-2026 tillsynsbegäran.docx", "A 3140-2026")</f>
        <v/>
      </c>
      <c r="AD37">
        <f>HYPERLINK("https://klasma.github.io/Logging_2183/tillsynsmail/A 3140-2026 tillsynsbegäran mail.docx", "A 3140-2026")</f>
        <v/>
      </c>
    </row>
    <row r="38" ht="15" customHeight="1">
      <c r="A38" t="inlineStr">
        <is>
          <t>A 5130-2026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46049</v>
      </c>
      <c r="E38" s="1" t="n">
        <v>46313</v>
      </c>
      <c r="F38" t="inlineStr">
        <is>
          <t>GÄVLEBORGS LÄN</t>
        </is>
      </c>
      <c r="G38" t="inlineStr">
        <is>
          <t>BOLLNÄS</t>
        </is>
      </c>
      <c r="I38" t="n">
        <v>8.4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2</v>
      </c>
      <c r="U38" t="n">
        <v>0</v>
      </c>
      <c r="V38" s="2" t="inlineStr">
        <is>
          <t>Nordfladdermus</t>
        </is>
      </c>
      <c r="W38">
        <f>HYPERLINK("https://klasma.github.io/Logging_2183/artfynd/A 5130-2026 artfynd.xlsx", "A 5130-2026")</f>
        <v/>
      </c>
      <c r="X38">
        <f>HYPERLINK("https://klasma.github.io/Logging_2183/kartor/A 5130-2026 karta.png", "A 5130-2026")</f>
        <v/>
      </c>
      <c r="Y38">
        <f>HYPERLINK("https://klasma.github.io/Logging_2183/kartor_geotiff/A 5130-2026 georefererad karta.tif", "A 5130-2026")</f>
        <v/>
      </c>
      <c r="AA38">
        <f>HYPERLINK("https://klasma.github.io/Logging_2183/klagomål/A 5130-2026 FSC-klagomål.docx", "A 5130-2026")</f>
        <v/>
      </c>
      <c r="AB38">
        <f>HYPERLINK("https://klasma.github.io/Logging_2183/klagomålsmail/A 5130-2026 FSC-klagomål mail.docx", "A 5130-2026")</f>
        <v/>
      </c>
      <c r="AC38">
        <f>HYPERLINK("https://klasma.github.io/Logging_2183/tillsyn/A 5130-2026 tillsynsbegäran.docx", "A 5130-2026")</f>
        <v/>
      </c>
      <c r="AD38">
        <f>HYPERLINK("https://klasma.github.io/Logging_2183/tillsynsmail/A 5130-2026 tillsynsbegäran mail.docx", "A 5130-2026")</f>
        <v/>
      </c>
    </row>
    <row r="39" ht="15" customHeight="1">
      <c r="A39" t="inlineStr">
        <is>
          <t>A 8200-2026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46064</v>
      </c>
      <c r="E39" s="1" t="n">
        <v>46313</v>
      </c>
      <c r="F39" t="inlineStr">
        <is>
          <t>GÄVLEBORGS LÄN</t>
        </is>
      </c>
      <c r="G39" t="inlineStr">
        <is>
          <t>BOLLNÄS</t>
        </is>
      </c>
      <c r="I39" t="n">
        <v>28.4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Nordfladdermus</t>
        </is>
      </c>
      <c r="W39">
        <f>HYPERLINK("https://klasma.github.io/Logging_2183/artfynd/A 8200-2026 artfynd.xlsx", "A 8200-2026")</f>
        <v/>
      </c>
      <c r="X39">
        <f>HYPERLINK("https://klasma.github.io/Logging_2183/kartor/A 8200-2026 karta.png", "A 8200-2026")</f>
        <v/>
      </c>
      <c r="Y39">
        <f>HYPERLINK("https://klasma.github.io/Logging_2183/kartor_geotiff/A 8200-2026 georefererad karta.tif", "A 8200-2026")</f>
        <v/>
      </c>
      <c r="AA39">
        <f>HYPERLINK("https://klasma.github.io/Logging_2183/klagomål/A 8200-2026 FSC-klagomål.docx", "A 8200-2026")</f>
        <v/>
      </c>
      <c r="AB39">
        <f>HYPERLINK("https://klasma.github.io/Logging_2183/klagomålsmail/A 8200-2026 FSC-klagomål mail.docx", "A 8200-2026")</f>
        <v/>
      </c>
      <c r="AC39">
        <f>HYPERLINK("https://klasma.github.io/Logging_2183/tillsyn/A 8200-2026 tillsynsbegäran.docx", "A 8200-2026")</f>
        <v/>
      </c>
      <c r="AD39">
        <f>HYPERLINK("https://klasma.github.io/Logging_2183/tillsynsmail/A 8200-2026 tillsynsbegäran mail.docx", "A 8200-2026")</f>
        <v/>
      </c>
    </row>
    <row r="40" ht="15" customHeight="1">
      <c r="A40" t="inlineStr">
        <is>
          <t>A 12962-2026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46092</v>
      </c>
      <c r="E40" s="1" t="n">
        <v>46313</v>
      </c>
      <c r="F40" t="inlineStr">
        <is>
          <t>GÄVLEBORGS LÄN</t>
        </is>
      </c>
      <c r="G40" t="inlineStr">
        <is>
          <t>BOLLNÄS</t>
        </is>
      </c>
      <c r="I40" t="n">
        <v>0.6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s="2" t="inlineStr">
        <is>
          <t>Ryl</t>
        </is>
      </c>
      <c r="W40">
        <f>HYPERLINK("https://klasma.github.io/Logging_2183/artfynd/A 12962-2026 artfynd.xlsx", "A 12962-2026")</f>
        <v/>
      </c>
      <c r="X40">
        <f>HYPERLINK("https://klasma.github.io/Logging_2183/kartor/A 12962-2026 karta.png", "A 12962-2026")</f>
        <v/>
      </c>
      <c r="Y40">
        <f>HYPERLINK("https://klasma.github.io/Logging_2183/kartor_geotiff/A 12962-2026 georefererad karta.tif", "A 12962-2026")</f>
        <v/>
      </c>
      <c r="AA40">
        <f>HYPERLINK("https://klasma.github.io/Logging_2183/klagomål/A 12962-2026 FSC-klagomål.docx", "A 12962-2026")</f>
        <v/>
      </c>
      <c r="AB40">
        <f>HYPERLINK("https://klasma.github.io/Logging_2183/klagomålsmail/A 12962-2026 FSC-klagomål mail.docx", "A 12962-2026")</f>
        <v/>
      </c>
      <c r="AC40">
        <f>HYPERLINK("https://klasma.github.io/Logging_2183/tillsyn/A 12962-2026 tillsynsbegäran.docx", "A 12962-2026")</f>
        <v/>
      </c>
      <c r="AD40">
        <f>HYPERLINK("https://klasma.github.io/Logging_2183/tillsynsmail/A 12962-2026 tillsynsbegäran mail.docx", "A 12962-2026")</f>
        <v/>
      </c>
    </row>
    <row r="41" ht="15" customHeight="1">
      <c r="A41" t="inlineStr">
        <is>
          <t>A 14438-2026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46100</v>
      </c>
      <c r="E41" s="1" t="n">
        <v>46313</v>
      </c>
      <c r="F41" t="inlineStr">
        <is>
          <t>GÄVLEBORGS LÄN</t>
        </is>
      </c>
      <c r="G41" t="inlineStr">
        <is>
          <t>BOLLNÄS</t>
        </is>
      </c>
      <c r="I41" t="n">
        <v>26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2</v>
      </c>
      <c r="U41" t="n">
        <v>0</v>
      </c>
      <c r="V41" s="2" t="inlineStr">
        <is>
          <t>Dofttaggsvamp</t>
        </is>
      </c>
      <c r="W41">
        <f>HYPERLINK("https://klasma.github.io/Logging_2183/artfynd/A 14438-2026 artfynd.xlsx", "A 14438-2026")</f>
        <v/>
      </c>
      <c r="X41">
        <f>HYPERLINK("https://klasma.github.io/Logging_2183/kartor/A 14438-2026 karta.png", "A 14438-2026")</f>
        <v/>
      </c>
      <c r="Y41">
        <f>HYPERLINK("https://klasma.github.io/Logging_2183/kartor_geotiff/A 14438-2026 georefererad karta.tif", "A 14438-2026")</f>
        <v/>
      </c>
      <c r="AA41">
        <f>HYPERLINK("https://klasma.github.io/Logging_2183/klagomål/A 14438-2026 FSC-klagomål.docx", "A 14438-2026")</f>
        <v/>
      </c>
      <c r="AB41">
        <f>HYPERLINK("https://klasma.github.io/Logging_2183/klagomålsmail/A 14438-2026 FSC-klagomål mail.docx", "A 14438-2026")</f>
        <v/>
      </c>
      <c r="AC41">
        <f>HYPERLINK("https://klasma.github.io/Logging_2183/tillsyn/A 14438-2026 tillsynsbegäran.docx", "A 14438-2026")</f>
        <v/>
      </c>
      <c r="AD41">
        <f>HYPERLINK("https://klasma.github.io/Logging_2183/tillsynsmail/A 14438-2026 tillsynsbegäran mail.docx", "A 14438-2026")</f>
        <v/>
      </c>
    </row>
    <row r="42" ht="15" customHeight="1">
      <c r="A42" t="inlineStr">
        <is>
          <t>A 12815-2025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45733</v>
      </c>
      <c r="E42" s="1" t="n">
        <v>46313</v>
      </c>
      <c r="F42" t="inlineStr">
        <is>
          <t>GÄVLEBORGS LÄN</t>
        </is>
      </c>
      <c r="G42" t="inlineStr">
        <is>
          <t>BOLLNÄS</t>
        </is>
      </c>
      <c r="I42" t="n">
        <v>2.9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s="2" t="inlineStr">
        <is>
          <t>Plattlummer</t>
        </is>
      </c>
      <c r="W42">
        <f>HYPERLINK("https://klasma.github.io/Logging_2183/artfynd/A 12815-2025 artfynd.xlsx", "A 12815-2025")</f>
        <v/>
      </c>
      <c r="X42">
        <f>HYPERLINK("https://klasma.github.io/Logging_2183/kartor/A 12815-2025 karta.png", "A 12815-2025")</f>
        <v/>
      </c>
      <c r="Y42">
        <f>HYPERLINK("https://klasma.github.io/Logging_2183/kartor_geotiff/A 12815-2025 georefererad karta.tif", "A 12815-2025")</f>
        <v/>
      </c>
      <c r="AA42">
        <f>HYPERLINK("https://klasma.github.io/Logging_2183/klagomål/A 12815-2025 FSC-klagomål.docx", "A 12815-2025")</f>
        <v/>
      </c>
      <c r="AB42">
        <f>HYPERLINK("https://klasma.github.io/Logging_2183/klagomålsmail/A 12815-2025 FSC-klagomål mail.docx", "A 12815-2025")</f>
        <v/>
      </c>
      <c r="AC42">
        <f>HYPERLINK("https://klasma.github.io/Logging_2183/tillsyn/A 12815-2025 tillsynsbegäran.docx", "A 12815-2025")</f>
        <v/>
      </c>
      <c r="AD42">
        <f>HYPERLINK("https://klasma.github.io/Logging_2183/tillsynsmail/A 12815-2025 tillsynsbegäran mail.docx", "A 12815-2025")</f>
        <v/>
      </c>
    </row>
    <row r="43" ht="15" customHeight="1">
      <c r="A43" t="inlineStr">
        <is>
          <t>A 12817-2025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45733</v>
      </c>
      <c r="E43" s="1" t="n">
        <v>46313</v>
      </c>
      <c r="F43" t="inlineStr">
        <is>
          <t>GÄVLEBORGS LÄN</t>
        </is>
      </c>
      <c r="G43" t="inlineStr">
        <is>
          <t>BOLLNÄS</t>
        </is>
      </c>
      <c r="I43" t="n">
        <v>1.8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Dropptaggsvamp</t>
        </is>
      </c>
      <c r="W43">
        <f>HYPERLINK("https://klasma.github.io/Logging_2183/artfynd/A 12817-2025 artfynd.xlsx", "A 12817-2025")</f>
        <v/>
      </c>
      <c r="X43">
        <f>HYPERLINK("https://klasma.github.io/Logging_2183/kartor/A 12817-2025 karta.png", "A 12817-2025")</f>
        <v/>
      </c>
      <c r="Y43">
        <f>HYPERLINK("https://klasma.github.io/Logging_2183/kartor_geotiff/A 12817-2025 georefererad karta.tif", "A 12817-2025")</f>
        <v/>
      </c>
      <c r="AA43">
        <f>HYPERLINK("https://klasma.github.io/Logging_2183/klagomål/A 12817-2025 FSC-klagomål.docx", "A 12817-2025")</f>
        <v/>
      </c>
      <c r="AB43">
        <f>HYPERLINK("https://klasma.github.io/Logging_2183/klagomålsmail/A 12817-2025 FSC-klagomål mail.docx", "A 12817-2025")</f>
        <v/>
      </c>
      <c r="AC43">
        <f>HYPERLINK("https://klasma.github.io/Logging_2183/tillsyn/A 12817-2025 tillsynsbegäran.docx", "A 12817-2025")</f>
        <v/>
      </c>
      <c r="AD43">
        <f>HYPERLINK("https://klasma.github.io/Logging_2183/tillsynsmail/A 12817-2025 tillsynsbegäran mail.docx", "A 12817-2025")</f>
        <v/>
      </c>
    </row>
    <row r="44" ht="15" customHeight="1">
      <c r="A44" t="inlineStr">
        <is>
          <t>A 19648-2026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46134</v>
      </c>
      <c r="E44" s="1" t="n">
        <v>46313</v>
      </c>
      <c r="F44" t="inlineStr">
        <is>
          <t>GÄVLEBORGS LÄN</t>
        </is>
      </c>
      <c r="G44" t="inlineStr">
        <is>
          <t>BOLLNÄS</t>
        </is>
      </c>
      <c r="I44" t="n">
        <v>3.4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s="2" t="inlineStr">
        <is>
          <t>Lappuggla</t>
        </is>
      </c>
      <c r="W44">
        <f>HYPERLINK("https://klasma.github.io/Logging_2183/artfynd/A 19648-2026 artfynd.xlsx", "A 19648-2026")</f>
        <v/>
      </c>
      <c r="X44">
        <f>HYPERLINK("https://klasma.github.io/Logging_2183/kartor/A 19648-2026 karta.png", "A 19648-2026")</f>
        <v/>
      </c>
      <c r="Y44">
        <f>HYPERLINK("https://klasma.github.io/Logging_2183/kartor_geotiff/A 19648-2026 georefererad karta.tif", "A 19648-2026")</f>
        <v/>
      </c>
      <c r="AA44">
        <f>HYPERLINK("https://klasma.github.io/Logging_2183/klagomål/A 19648-2026 FSC-klagomål.docx", "A 19648-2026")</f>
        <v/>
      </c>
      <c r="AB44">
        <f>HYPERLINK("https://klasma.github.io/Logging_2183/klagomålsmail/A 19648-2026 FSC-klagomål mail.docx", "A 19648-2026")</f>
        <v/>
      </c>
      <c r="AC44">
        <f>HYPERLINK("https://klasma.github.io/Logging_2183/tillsyn/A 19648-2026 tillsynsbegäran.docx", "A 19648-2026")</f>
        <v/>
      </c>
      <c r="AD44">
        <f>HYPERLINK("https://klasma.github.io/Logging_2183/tillsynsmail/A 19648-2026 tillsynsbegäran mail.docx", "A 19648-2026")</f>
        <v/>
      </c>
      <c r="AE44">
        <f>HYPERLINK("https://klasma.github.io/Logging_2183/fåglar/A 19648-2026 prioriterade fågelarter.docx", "A 19648-2026")</f>
        <v/>
      </c>
    </row>
    <row r="45" ht="15" customHeight="1">
      <c r="A45" t="inlineStr">
        <is>
          <t>A 3090-2026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46040</v>
      </c>
      <c r="E45" s="1" t="n">
        <v>46313</v>
      </c>
      <c r="F45" t="inlineStr">
        <is>
          <t>GÄVLEBORGS LÄN</t>
        </is>
      </c>
      <c r="G45" t="inlineStr">
        <is>
          <t>BOLLNÄS</t>
        </is>
      </c>
      <c r="I45" t="n">
        <v>11.8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Spillkråka</t>
        </is>
      </c>
      <c r="W45">
        <f>HYPERLINK("https://klasma.github.io/Logging_2183/artfynd/A 3090-2026 artfynd.xlsx", "A 3090-2026")</f>
        <v/>
      </c>
      <c r="X45">
        <f>HYPERLINK("https://klasma.github.io/Logging_2183/kartor/A 3090-2026 karta.png", "A 3090-2026")</f>
        <v/>
      </c>
      <c r="Y45">
        <f>HYPERLINK("https://klasma.github.io/Logging_2183/kartor_geotiff/A 3090-2026 georefererad karta.tif", "A 3090-2026")</f>
        <v/>
      </c>
      <c r="AA45">
        <f>HYPERLINK("https://klasma.github.io/Logging_2183/klagomål/A 3090-2026 FSC-klagomål.docx", "A 3090-2026")</f>
        <v/>
      </c>
      <c r="AB45">
        <f>HYPERLINK("https://klasma.github.io/Logging_2183/klagomålsmail/A 3090-2026 FSC-klagomål mail.docx", "A 3090-2026")</f>
        <v/>
      </c>
      <c r="AC45">
        <f>HYPERLINK("https://klasma.github.io/Logging_2183/tillsyn/A 3090-2026 tillsynsbegäran.docx", "A 3090-2026")</f>
        <v/>
      </c>
      <c r="AD45">
        <f>HYPERLINK("https://klasma.github.io/Logging_2183/tillsynsmail/A 3090-2026 tillsynsbegäran mail.docx", "A 3090-2026")</f>
        <v/>
      </c>
      <c r="AE45">
        <f>HYPERLINK("https://klasma.github.io/Logging_2183/fåglar/A 3090-2026 prioriterade fågelarter.docx", "A 3090-2026")</f>
        <v/>
      </c>
    </row>
    <row r="46" ht="15" customHeight="1">
      <c r="A46" t="inlineStr">
        <is>
          <t>A 38529-2022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44813</v>
      </c>
      <c r="E46" s="1" t="n">
        <v>46313</v>
      </c>
      <c r="F46" t="inlineStr">
        <is>
          <t>GÄVLEBORGS LÄN</t>
        </is>
      </c>
      <c r="G46" t="inlineStr">
        <is>
          <t>BOLLNÄS</t>
        </is>
      </c>
      <c r="I46" t="n">
        <v>0.9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2</v>
      </c>
      <c r="U46" t="n">
        <v>0</v>
      </c>
      <c r="V46" s="2" t="inlineStr">
        <is>
          <t>Skrovlig taggsvamp</t>
        </is>
      </c>
      <c r="W46">
        <f>HYPERLINK("https://klasma.github.io/Logging_2183/artfynd/A 38529-2022 artfynd.xlsx", "A 38529-2022")</f>
        <v/>
      </c>
      <c r="X46">
        <f>HYPERLINK("https://klasma.github.io/Logging_2183/kartor/A 38529-2022 karta.png", "A 38529-2022")</f>
        <v/>
      </c>
      <c r="Y46">
        <f>HYPERLINK("https://klasma.github.io/Logging_2183/kartor_geotiff/A 38529-2022 georefererad karta.tif", "A 38529-2022")</f>
        <v/>
      </c>
      <c r="AA46">
        <f>HYPERLINK("https://klasma.github.io/Logging_2183/klagomål/A 38529-2022 FSC-klagomål.docx", "A 38529-2022")</f>
        <v/>
      </c>
      <c r="AB46">
        <f>HYPERLINK("https://klasma.github.io/Logging_2183/klagomålsmail/A 38529-2022 FSC-klagomål mail.docx", "A 38529-2022")</f>
        <v/>
      </c>
      <c r="AC46">
        <f>HYPERLINK("https://klasma.github.io/Logging_2183/tillsyn/A 38529-2022 tillsynsbegäran.docx", "A 38529-2022")</f>
        <v/>
      </c>
      <c r="AD46">
        <f>HYPERLINK("https://klasma.github.io/Logging_2183/tillsynsmail/A 38529-2022 tillsynsbegäran mail.docx", "A 38529-2022")</f>
        <v/>
      </c>
    </row>
    <row r="47" ht="15" customHeight="1">
      <c r="A47" t="inlineStr">
        <is>
          <t>A 33032-2026</t>
        </is>
      </c>
      <c r="B47" t="inlineStr">
        <is>
          <t>avverkningsanmälan</t>
        </is>
      </c>
      <c r="C47" t="inlineStr">
        <is>
          <t>Avverkning för att bevara och utveckla /försöksver</t>
        </is>
      </c>
      <c r="D47" s="1" t="n">
        <v>46244</v>
      </c>
      <c r="E47" s="1" t="n">
        <v>46313</v>
      </c>
      <c r="F47" t="inlineStr">
        <is>
          <t>GÄVLEBORGS LÄN</t>
        </is>
      </c>
      <c r="G47" t="inlineStr">
        <is>
          <t>BOLLNÄS</t>
        </is>
      </c>
      <c r="H47" t="inlineStr">
        <is>
          <t>Sveaskog</t>
        </is>
      </c>
      <c r="I47" t="n">
        <v>1.6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4</v>
      </c>
      <c r="U47" t="n">
        <v>3</v>
      </c>
      <c r="V47" s="2" t="inlineStr">
        <is>
          <t>Lunglav</t>
        </is>
      </c>
      <c r="W47">
        <f>HYPERLINK("https://klasma.github.io/Logging_2183/artfynd/A 33032-2026 artfynd.xlsx", "A 33032-2026")</f>
        <v/>
      </c>
      <c r="X47">
        <f>HYPERLINK("https://klasma.github.io/Logging_2183/kartor/A 33032-2026 karta.png", "A 33032-2026")</f>
        <v/>
      </c>
      <c r="Y47">
        <f>HYPERLINK("https://klasma.github.io/Logging_2183/kartor_geotiff/A 33032-2026 georefererad karta.tif", "A 33032-2026")</f>
        <v/>
      </c>
      <c r="AA47">
        <f>HYPERLINK("https://klasma.github.io/Logging_2183/klagomål/A 33032-2026 FSC-klagomål.docx", "A 33032-2026")</f>
        <v/>
      </c>
      <c r="AB47">
        <f>HYPERLINK("https://klasma.github.io/Logging_2183/klagomålsmail/A 33032-2026 FSC-klagomål mail.docx", "A 33032-2026")</f>
        <v/>
      </c>
      <c r="AC47">
        <f>HYPERLINK("https://klasma.github.io/Logging_2183/tillsyn/A 33032-2026 tillsynsbegäran.docx", "A 33032-2026")</f>
        <v/>
      </c>
      <c r="AD47">
        <f>HYPERLINK("https://klasma.github.io/Logging_2183/tillsynsmail/A 33032-2026 tillsynsbegäran mail.docx", "A 33032-2026")</f>
        <v/>
      </c>
    </row>
    <row r="48" ht="15" customHeight="1">
      <c r="A48" t="inlineStr">
        <is>
          <t>A 39550-2026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46289</v>
      </c>
      <c r="E48" s="1" t="n">
        <v>46313</v>
      </c>
      <c r="F48" t="inlineStr">
        <is>
          <t>GÄVLEBORGS LÄN</t>
        </is>
      </c>
      <c r="G48" t="inlineStr">
        <is>
          <t>BOLLNÄS</t>
        </is>
      </c>
      <c r="H48" t="inlineStr">
        <is>
          <t>Sveaskog</t>
        </is>
      </c>
      <c r="I48" t="n">
        <v>6.1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Lunglav</t>
        </is>
      </c>
      <c r="W48">
        <f>HYPERLINK("https://klasma.github.io/Logging_2183/artfynd/A 39550-2026 artfynd.xlsx", "A 39550-2026")</f>
        <v/>
      </c>
      <c r="X48">
        <f>HYPERLINK("https://klasma.github.io/Logging_2183/kartor/A 39550-2026 karta.png", "A 39550-2026")</f>
        <v/>
      </c>
      <c r="Y48">
        <f>HYPERLINK("https://klasma.github.io/Logging_2183/kartor_geotiff/A 39550-2026 georefererad karta.tif", "A 39550-2026")</f>
        <v/>
      </c>
      <c r="AA48">
        <f>HYPERLINK("https://klasma.github.io/Logging_2183/klagomål/A 39550-2026 FSC-klagomål.docx", "A 39550-2026")</f>
        <v/>
      </c>
      <c r="AB48">
        <f>HYPERLINK("https://klasma.github.io/Logging_2183/klagomålsmail/A 39550-2026 FSC-klagomål mail.docx", "A 39550-2026")</f>
        <v/>
      </c>
      <c r="AC48">
        <f>HYPERLINK("https://klasma.github.io/Logging_2183/tillsyn/A 39550-2026 tillsynsbegäran.docx", "A 39550-2026")</f>
        <v/>
      </c>
      <c r="AD48">
        <f>HYPERLINK("https://klasma.github.io/Logging_2183/tillsynsmail/A 39550-2026 tillsynsbegäran mail.docx", "A 39550-2026")</f>
        <v/>
      </c>
    </row>
    <row r="49" ht="15" customHeight="1">
      <c r="A49" t="inlineStr">
        <is>
          <t>A 39551-2026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46289</v>
      </c>
      <c r="E49" s="1" t="n">
        <v>46313</v>
      </c>
      <c r="F49" t="inlineStr">
        <is>
          <t>GÄVLEBORGS LÄN</t>
        </is>
      </c>
      <c r="G49" t="inlineStr">
        <is>
          <t>BOLLNÄS</t>
        </is>
      </c>
      <c r="H49" t="inlineStr">
        <is>
          <t>Sveaskog</t>
        </is>
      </c>
      <c r="I49" t="n">
        <v>4.5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Fläcknycklar</t>
        </is>
      </c>
      <c r="W49">
        <f>HYPERLINK("https://klasma.github.io/Logging_2183/artfynd/A 39551-2026 artfynd.xlsx", "A 39551-2026")</f>
        <v/>
      </c>
      <c r="X49">
        <f>HYPERLINK("https://klasma.github.io/Logging_2183/kartor/A 39551-2026 karta.png", "A 39551-2026")</f>
        <v/>
      </c>
      <c r="Y49">
        <f>HYPERLINK("https://klasma.github.io/Logging_2183/kartor_geotiff/A 39551-2026 georefererad karta.tif", "A 39551-2026")</f>
        <v/>
      </c>
      <c r="AA49">
        <f>HYPERLINK("https://klasma.github.io/Logging_2183/klagomål/A 39551-2026 FSC-klagomål.docx", "A 39551-2026")</f>
        <v/>
      </c>
      <c r="AB49">
        <f>HYPERLINK("https://klasma.github.io/Logging_2183/klagomålsmail/A 39551-2026 FSC-klagomål mail.docx", "A 39551-2026")</f>
        <v/>
      </c>
      <c r="AC49">
        <f>HYPERLINK("https://klasma.github.io/Logging_2183/tillsyn/A 39551-2026 tillsynsbegäran.docx", "A 39551-2026")</f>
        <v/>
      </c>
      <c r="AD49">
        <f>HYPERLINK("https://klasma.github.io/Logging_2183/tillsynsmail/A 39551-2026 tillsynsbegäran mail.docx", "A 39551-2026")</f>
        <v/>
      </c>
    </row>
    <row r="50" ht="15" customHeight="1">
      <c r="A50" t="inlineStr">
        <is>
          <t>A 39582-2026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46289</v>
      </c>
      <c r="E50" s="1" t="n">
        <v>46313</v>
      </c>
      <c r="F50" t="inlineStr">
        <is>
          <t>GÄVLEBORGS LÄN</t>
        </is>
      </c>
      <c r="G50" t="inlineStr">
        <is>
          <t>BOLLNÄS</t>
        </is>
      </c>
      <c r="H50" t="inlineStr">
        <is>
          <t>Sveaskog</t>
        </is>
      </c>
      <c r="I50" t="n">
        <v>16.7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Revlummer</t>
        </is>
      </c>
      <c r="W50">
        <f>HYPERLINK("https://klasma.github.io/Logging_2183/artfynd/A 39582-2026 artfynd.xlsx", "A 39582-2026")</f>
        <v/>
      </c>
      <c r="X50">
        <f>HYPERLINK("https://klasma.github.io/Logging_2183/kartor/A 39582-2026 karta.png", "A 39582-2026")</f>
        <v/>
      </c>
      <c r="Y50">
        <f>HYPERLINK("https://klasma.github.io/Logging_2183/kartor_geotiff/A 39582-2026 georefererad karta.tif", "A 39582-2026")</f>
        <v/>
      </c>
      <c r="AA50">
        <f>HYPERLINK("https://klasma.github.io/Logging_2183/klagomål/A 39582-2026 FSC-klagomål.docx", "A 39582-2026")</f>
        <v/>
      </c>
      <c r="AB50">
        <f>HYPERLINK("https://klasma.github.io/Logging_2183/klagomålsmail/A 39582-2026 FSC-klagomål mail.docx", "A 39582-2026")</f>
        <v/>
      </c>
      <c r="AC50">
        <f>HYPERLINK("https://klasma.github.io/Logging_2183/tillsyn/A 39582-2026 tillsynsbegäran.docx", "A 39582-2026")</f>
        <v/>
      </c>
      <c r="AD50">
        <f>HYPERLINK("https://klasma.github.io/Logging_2183/tillsynsmail/A 39582-2026 tillsynsbegäran mail.docx", "A 39582-2026")</f>
        <v/>
      </c>
    </row>
    <row r="51" ht="15" customHeight="1">
      <c r="A51" t="inlineStr">
        <is>
          <t>A 40127-2026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46293</v>
      </c>
      <c r="E51" s="1" t="n">
        <v>46313</v>
      </c>
      <c r="F51" t="inlineStr">
        <is>
          <t>GÄVLEBORGS LÄN</t>
        </is>
      </c>
      <c r="G51" t="inlineStr">
        <is>
          <t>BOLLNÄS</t>
        </is>
      </c>
      <c r="H51" t="inlineStr">
        <is>
          <t>Bergvik skog väst AB</t>
        </is>
      </c>
      <c r="I51" t="n">
        <v>15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Järpe</t>
        </is>
      </c>
      <c r="W51">
        <f>HYPERLINK("https://klasma.github.io/Logging_2183/artfynd/A 40127-2026 artfynd.xlsx", "A 40127-2026")</f>
        <v/>
      </c>
      <c r="X51">
        <f>HYPERLINK("https://klasma.github.io/Logging_2183/kartor/A 40127-2026 karta.png", "A 40127-2026")</f>
        <v/>
      </c>
      <c r="Y51">
        <f>HYPERLINK("https://klasma.github.io/Logging_2183/kartor_geotiff/A 40127-2026 georefererad karta.tif", "A 40127-2026")</f>
        <v/>
      </c>
      <c r="AA51">
        <f>HYPERLINK("https://klasma.github.io/Logging_2183/klagomål/A 40127-2026 FSC-klagomål.docx", "A 40127-2026")</f>
        <v/>
      </c>
      <c r="AB51">
        <f>HYPERLINK("https://klasma.github.io/Logging_2183/klagomålsmail/A 40127-2026 FSC-klagomål mail.docx", "A 40127-2026")</f>
        <v/>
      </c>
      <c r="AC51">
        <f>HYPERLINK("https://klasma.github.io/Logging_2183/tillsyn/A 40127-2026 tillsynsbegäran.docx", "A 40127-2026")</f>
        <v/>
      </c>
      <c r="AD51">
        <f>HYPERLINK("https://klasma.github.io/Logging_2183/tillsynsmail/A 40127-2026 tillsynsbegäran mail.docx", "A 40127-2026")</f>
        <v/>
      </c>
      <c r="AE51">
        <f>HYPERLINK("https://klasma.github.io/Logging_2183/fåglar/A 40127-2026 prioriterade fågelarter.docx", "A 40127-2026")</f>
        <v/>
      </c>
    </row>
    <row r="52" ht="15" customHeight="1">
      <c r="A52" t="inlineStr">
        <is>
          <t>A 32754-2023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45123</v>
      </c>
      <c r="E52" s="1" t="n">
        <v>46313</v>
      </c>
      <c r="F52" t="inlineStr">
        <is>
          <t>GÄVLEBORGS LÄN</t>
        </is>
      </c>
      <c r="G52" t="inlineStr">
        <is>
          <t>BOLLNÄS</t>
        </is>
      </c>
      <c r="I52" t="n">
        <v>0.5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Fläcknycklar</t>
        </is>
      </c>
      <c r="W52">
        <f>HYPERLINK("https://klasma.github.io/Logging_2183/artfynd/A 32754-2023 artfynd.xlsx", "A 32754-2023")</f>
        <v/>
      </c>
      <c r="X52">
        <f>HYPERLINK("https://klasma.github.io/Logging_2183/kartor/A 32754-2023 karta.png", "A 32754-2023")</f>
        <v/>
      </c>
      <c r="Y52">
        <f>HYPERLINK("https://klasma.github.io/Logging_2183/kartor_geotiff/A 32754-2023 georefererad karta.tif", "A 32754-2023")</f>
        <v/>
      </c>
      <c r="AA52">
        <f>HYPERLINK("https://klasma.github.io/Logging_2183/klagomål/A 32754-2023 FSC-klagomål.docx", "A 32754-2023")</f>
        <v/>
      </c>
      <c r="AB52">
        <f>HYPERLINK("https://klasma.github.io/Logging_2183/klagomålsmail/A 32754-2023 FSC-klagomål mail.docx", "A 32754-2023")</f>
        <v/>
      </c>
      <c r="AC52">
        <f>HYPERLINK("https://klasma.github.io/Logging_2183/tillsyn/A 32754-2023 tillsynsbegäran.docx", "A 32754-2023")</f>
        <v/>
      </c>
      <c r="AD52">
        <f>HYPERLINK("https://klasma.github.io/Logging_2183/tillsynsmail/A 32754-2023 tillsynsbegäran mail.docx", "A 32754-2023")</f>
        <v/>
      </c>
    </row>
    <row r="53" ht="15" customHeight="1">
      <c r="A53" t="inlineStr">
        <is>
          <t>A 22731-2022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44714</v>
      </c>
      <c r="E53" s="1" t="n">
        <v>46313</v>
      </c>
      <c r="F53" t="inlineStr">
        <is>
          <t>GÄVLEBORGS LÄN</t>
        </is>
      </c>
      <c r="G53" t="inlineStr">
        <is>
          <t>BOLLNÄS</t>
        </is>
      </c>
      <c r="I53" t="n">
        <v>3.1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2</v>
      </c>
      <c r="U53" t="n">
        <v>2</v>
      </c>
      <c r="V53" s="2" t="inlineStr">
        <is>
          <t>Brunklöver</t>
        </is>
      </c>
      <c r="W53">
        <f>HYPERLINK("https://klasma.github.io/Logging_2183/artfynd/A 22731-2022 artfynd.xlsx", "A 22731-2022")</f>
        <v/>
      </c>
      <c r="X53">
        <f>HYPERLINK("https://klasma.github.io/Logging_2183/kartor/A 22731-2022 karta.png", "A 22731-2022")</f>
        <v/>
      </c>
      <c r="Y53">
        <f>HYPERLINK("https://klasma.github.io/Logging_2183/kartor_geotiff/A 22731-2022 georefererad karta.tif", "A 22731-2022")</f>
        <v/>
      </c>
      <c r="AA53">
        <f>HYPERLINK("https://klasma.github.io/Logging_2183/klagomål/A 22731-2022 FSC-klagomål.docx", "A 22731-2022")</f>
        <v/>
      </c>
      <c r="AB53">
        <f>HYPERLINK("https://klasma.github.io/Logging_2183/klagomålsmail/A 22731-2022 FSC-klagomål mail.docx", "A 22731-2022")</f>
        <v/>
      </c>
      <c r="AC53">
        <f>HYPERLINK("https://klasma.github.io/Logging_2183/tillsyn/A 22731-2022 tillsynsbegäran.docx", "A 22731-2022")</f>
        <v/>
      </c>
      <c r="AD53">
        <f>HYPERLINK("https://klasma.github.io/Logging_2183/tillsynsmail/A 22731-2022 tillsynsbegäran mail.docx", "A 22731-2022")</f>
        <v/>
      </c>
    </row>
    <row r="54" ht="15" customHeight="1">
      <c r="A54" t="inlineStr">
        <is>
          <t>A 35088-2026</t>
        </is>
      </c>
      <c r="B54" t="inlineStr">
        <is>
          <t>avverkningsanmälan</t>
        </is>
      </c>
      <c r="C54" t="inlineStr">
        <is>
          <t>Avverkning för annat ändamål</t>
        </is>
      </c>
      <c r="D54" s="1" t="n">
        <v>46260</v>
      </c>
      <c r="E54" s="1" t="n">
        <v>46313</v>
      </c>
      <c r="F54" t="inlineStr">
        <is>
          <t>GÄVLEBORGS LÄN</t>
        </is>
      </c>
      <c r="G54" t="inlineStr">
        <is>
          <t>BOLLNÄS</t>
        </is>
      </c>
      <c r="I54" t="n">
        <v>2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</v>
      </c>
      <c r="U54" t="n">
        <v>0</v>
      </c>
      <c r="V54" s="2" t="inlineStr">
        <is>
          <t>Skogsfru</t>
        </is>
      </c>
      <c r="W54">
        <f>HYPERLINK("https://klasma.github.io/Logging_2183/artfynd/A 35088-2026 artfynd.xlsx", "A 35088-2026")</f>
        <v/>
      </c>
      <c r="X54">
        <f>HYPERLINK("https://klasma.github.io/Logging_2183/kartor/A 35088-2026 karta.png", "A 35088-2026")</f>
        <v/>
      </c>
      <c r="Y54">
        <f>HYPERLINK("https://klasma.github.io/Logging_2183/kartor_geotiff/A 35088-2026 georefererad karta.tif", "A 35088-2026")</f>
        <v/>
      </c>
      <c r="AA54">
        <f>HYPERLINK("https://klasma.github.io/Logging_2183/klagomål/A 35088-2026 FSC-klagomål.docx", "A 35088-2026")</f>
        <v/>
      </c>
      <c r="AB54">
        <f>HYPERLINK("https://klasma.github.io/Logging_2183/klagomålsmail/A 35088-2026 FSC-klagomål mail.docx", "A 35088-2026")</f>
        <v/>
      </c>
      <c r="AC54">
        <f>HYPERLINK("https://klasma.github.io/Logging_2183/tillsyn/A 35088-2026 tillsynsbegäran.docx", "A 35088-2026")</f>
        <v/>
      </c>
      <c r="AD54">
        <f>HYPERLINK("https://klasma.github.io/Logging_2183/tillsynsmail/A 35088-2026 tillsynsbegäran mail.docx", "A 35088-2026")</f>
        <v/>
      </c>
    </row>
    <row r="55" ht="15" customHeight="1">
      <c r="A55" t="inlineStr">
        <is>
          <t>A 510-2026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46029</v>
      </c>
      <c r="E55" s="1" t="n">
        <v>46313</v>
      </c>
      <c r="F55" t="inlineStr">
        <is>
          <t>GÄVLEBORGS LÄN</t>
        </is>
      </c>
      <c r="G55" t="inlineStr">
        <is>
          <t>BOLLNÄS</t>
        </is>
      </c>
      <c r="I55" t="n">
        <v>2.1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Slaguggla</t>
        </is>
      </c>
      <c r="W55">
        <f>HYPERLINK("https://klasma.github.io/Logging_2183/artfynd/A 510-2026 artfynd.xlsx", "A 510-2026")</f>
        <v/>
      </c>
      <c r="X55">
        <f>HYPERLINK("https://klasma.github.io/Logging_2183/kartor/A 510-2026 karta.png", "A 510-2026")</f>
        <v/>
      </c>
      <c r="Y55">
        <f>HYPERLINK("https://klasma.github.io/Logging_2183/kartor_geotiff/A 510-2026 georefererad karta.tif", "A 510-2026")</f>
        <v/>
      </c>
      <c r="AA55">
        <f>HYPERLINK("https://klasma.github.io/Logging_2183/klagomål/A 510-2026 FSC-klagomål.docx", "A 510-2026")</f>
        <v/>
      </c>
      <c r="AB55">
        <f>HYPERLINK("https://klasma.github.io/Logging_2183/klagomålsmail/A 510-2026 FSC-klagomål mail.docx", "A 510-2026")</f>
        <v/>
      </c>
      <c r="AC55">
        <f>HYPERLINK("https://klasma.github.io/Logging_2183/tillsyn/A 510-2026 tillsynsbegäran.docx", "A 510-2026")</f>
        <v/>
      </c>
      <c r="AD55">
        <f>HYPERLINK("https://klasma.github.io/Logging_2183/tillsynsmail/A 510-2026 tillsynsbegäran mail.docx", "A 510-2026")</f>
        <v/>
      </c>
      <c r="AE55">
        <f>HYPERLINK("https://klasma.github.io/Logging_2183/fåglar/A 510-2026 prioriterade fågelarter.docx", "A 510-2026")</f>
        <v/>
      </c>
    </row>
    <row r="56" ht="15" customHeight="1">
      <c r="A56" t="inlineStr">
        <is>
          <t>A 32411-2025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45838</v>
      </c>
      <c r="E56" s="1" t="n">
        <v>46313</v>
      </c>
      <c r="F56" t="inlineStr">
        <is>
          <t>GÄVLEBORGS LÄN</t>
        </is>
      </c>
      <c r="G56" t="inlineStr">
        <is>
          <t>BOLLNÄS</t>
        </is>
      </c>
      <c r="H56" t="inlineStr">
        <is>
          <t>Bergvik skog väst AB</t>
        </is>
      </c>
      <c r="I56" t="n">
        <v>2.9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Älg</t>
        </is>
      </c>
      <c r="W56">
        <f>HYPERLINK("https://klasma.github.io/Logging_2183/artfynd/A 32411-2025 artfynd.xlsx", "A 32411-2025")</f>
        <v/>
      </c>
      <c r="X56">
        <f>HYPERLINK("https://klasma.github.io/Logging_2183/kartor/A 32411-2025 karta.png", "A 32411-2025")</f>
        <v/>
      </c>
      <c r="Y56">
        <f>HYPERLINK("https://klasma.github.io/Logging_2183/kartor_geotiff/A 32411-2025 georefererad karta.tif", "A 32411-2025")</f>
        <v/>
      </c>
      <c r="AA56">
        <f>HYPERLINK("https://klasma.github.io/Logging_2183/klagomål/A 32411-2025 FSC-klagomål.docx", "A 32411-2025")</f>
        <v/>
      </c>
      <c r="AB56">
        <f>HYPERLINK("https://klasma.github.io/Logging_2183/klagomålsmail/A 32411-2025 FSC-klagomål mail.docx", "A 32411-2025")</f>
        <v/>
      </c>
      <c r="AC56">
        <f>HYPERLINK("https://klasma.github.io/Logging_2183/tillsyn/A 32411-2025 tillsynsbegäran.docx", "A 32411-2025")</f>
        <v/>
      </c>
      <c r="AD56">
        <f>HYPERLINK("https://klasma.github.io/Logging_2183/tillsynsmail/A 32411-2025 tillsynsbegäran mail.docx", "A 32411-2025")</f>
        <v/>
      </c>
    </row>
    <row r="57" ht="15" customHeight="1">
      <c r="A57" t="inlineStr">
        <is>
          <t>S 4448-2023</t>
        </is>
      </c>
      <c r="B57" t="inlineStr">
        <is>
          <t>samrådsanmälan</t>
        </is>
      </c>
      <c r="C57" t="inlineStr">
        <is>
          <t>Annan skogsbruksåtgärd</t>
        </is>
      </c>
      <c r="D57" s="1" t="n">
        <v>45268</v>
      </c>
      <c r="E57" s="1" t="n">
        <v>46313</v>
      </c>
      <c r="F57" t="inlineStr">
        <is>
          <t>GÄVLEBORGS LÄN</t>
        </is>
      </c>
      <c r="G57" t="inlineStr">
        <is>
          <t>BOLLNÄS</t>
        </is>
      </c>
      <c r="H57" t="inlineStr">
        <is>
          <t>Bergvik skog väst AB</t>
        </is>
      </c>
      <c r="I57" t="n">
        <v>0.3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Orre</t>
        </is>
      </c>
      <c r="W57">
        <f>HYPERLINK("https://klasma.github.io/Logging_2183/artfynd/S 4448-2023 artfynd.xlsx", "S 4448-2023")</f>
        <v/>
      </c>
      <c r="X57">
        <f>HYPERLINK("https://klasma.github.io/Logging_2183/kartor/S 4448-2023 karta.png", "S 4448-2023")</f>
        <v/>
      </c>
      <c r="Y57">
        <f>HYPERLINK("https://klasma.github.io/Logging_2183/kartor_geotiff/S 4448-2023 georefererad karta.tif", "S 4448-2023")</f>
        <v/>
      </c>
      <c r="AA57">
        <f>HYPERLINK("https://klasma.github.io/Logging_2183/klagomål/S 4448-2023 FSC-klagomål.docx", "S 4448-2023")</f>
        <v/>
      </c>
      <c r="AB57">
        <f>HYPERLINK("https://klasma.github.io/Logging_2183/klagomålsmail/S 4448-2023 FSC-klagomål mail.docx", "S 4448-2023")</f>
        <v/>
      </c>
      <c r="AC57">
        <f>HYPERLINK("https://klasma.github.io/Logging_2183/tillsyn/S 4448-2023 tillsynsbegäran.docx", "S 4448-2023")</f>
        <v/>
      </c>
      <c r="AD57">
        <f>HYPERLINK("https://klasma.github.io/Logging_2183/tillsynsmail/S 4448-2023 tillsynsbegäran mail.docx", "S 4448-2023")</f>
        <v/>
      </c>
      <c r="AE57">
        <f>HYPERLINK("https://klasma.github.io/Logging_2183/fåglar/S 4448-2023 prioriterade fågelarter.docx", "S 4448-2023")</f>
        <v/>
      </c>
    </row>
    <row r="58" ht="15" customHeight="1">
      <c r="A58" t="inlineStr">
        <is>
          <t>S 1077-2022</t>
        </is>
      </c>
      <c r="B58" t="inlineStr">
        <is>
          <t>samrådsanmälan</t>
        </is>
      </c>
      <c r="C58" t="inlineStr">
        <is>
          <t>Skogsgödsling</t>
        </is>
      </c>
      <c r="D58" s="1" t="n">
        <v>44614</v>
      </c>
      <c r="E58" s="1" t="n">
        <v>46313</v>
      </c>
      <c r="F58" t="inlineStr">
        <is>
          <t>GÄVLEBORGS LÄN</t>
        </is>
      </c>
      <c r="G58" t="inlineStr">
        <is>
          <t>BOLLNÄS</t>
        </is>
      </c>
      <c r="H58" t="inlineStr">
        <is>
          <t>Bergvik skog väst AB</t>
        </is>
      </c>
      <c r="I58" t="n">
        <v>34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Sparvuggla</t>
        </is>
      </c>
      <c r="W58">
        <f>HYPERLINK("https://klasma.github.io/Logging_2183/artfynd/S 1077-2022 artfynd.xlsx", "S 1077-2022")</f>
        <v/>
      </c>
      <c r="X58">
        <f>HYPERLINK("https://klasma.github.io/Logging_2183/kartor/S 1077-2022 karta.png", "S 1077-2022")</f>
        <v/>
      </c>
      <c r="Y58">
        <f>HYPERLINK("https://klasma.github.io/Logging_2183/kartor_geotiff/S 1077-2022 georefererad karta.tif", "S 1077-2022")</f>
        <v/>
      </c>
      <c r="AA58">
        <f>HYPERLINK("https://klasma.github.io/Logging_2183/klagomål/S 1077-2022 FSC-klagomål.docx", "S 1077-2022")</f>
        <v/>
      </c>
      <c r="AB58">
        <f>HYPERLINK("https://klasma.github.io/Logging_2183/klagomålsmail/S 1077-2022 FSC-klagomål mail.docx", "S 1077-2022")</f>
        <v/>
      </c>
      <c r="AC58">
        <f>HYPERLINK("https://klasma.github.io/Logging_2183/tillsyn/S 1077-2022 tillsynsbegäran.docx", "S 1077-2022")</f>
        <v/>
      </c>
      <c r="AD58">
        <f>HYPERLINK("https://klasma.github.io/Logging_2183/tillsynsmail/S 1077-2022 tillsynsbegäran mail.docx", "S 1077-2022")</f>
        <v/>
      </c>
      <c r="AE58">
        <f>HYPERLINK("https://klasma.github.io/Logging_2183/fåglar/S 1077-2022 prioriterade fågelarter.docx", "S 1077-2022")</f>
        <v/>
      </c>
    </row>
    <row r="59" ht="15" customHeight="1">
      <c r="A59" t="inlineStr">
        <is>
          <t>S 1535-2023</t>
        </is>
      </c>
      <c r="B59" t="inlineStr">
        <is>
          <t>samrådsanmälan</t>
        </is>
      </c>
      <c r="C59" t="inlineStr">
        <is>
          <t>Skogsgödsling</t>
        </is>
      </c>
      <c r="D59" s="1" t="n">
        <v>45054</v>
      </c>
      <c r="E59" s="1" t="n">
        <v>46313</v>
      </c>
      <c r="F59" t="inlineStr">
        <is>
          <t>GÄVLEBORGS LÄN</t>
        </is>
      </c>
      <c r="G59" t="inlineStr">
        <is>
          <t>BOLLNÄS</t>
        </is>
      </c>
      <c r="H59" t="inlineStr">
        <is>
          <t>Bergvik skog väst AB</t>
        </is>
      </c>
      <c r="I59" t="n">
        <v>13.8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Björktrast</t>
        </is>
      </c>
      <c r="W59">
        <f>HYPERLINK("https://klasma.github.io/Logging_2183/artfynd/S 1535-2023 artfynd.xlsx", "S 1535-2023")</f>
        <v/>
      </c>
      <c r="X59">
        <f>HYPERLINK("https://klasma.github.io/Logging_2183/kartor/S 1535-2023 karta.png", "S 1535-2023")</f>
        <v/>
      </c>
      <c r="Y59">
        <f>HYPERLINK("https://klasma.github.io/Logging_2183/kartor_geotiff/S 1535-2023 georefererad karta.tif", "S 1535-2023")</f>
        <v/>
      </c>
      <c r="AA59">
        <f>HYPERLINK("https://klasma.github.io/Logging_2183/klagomål/S 1535-2023 FSC-klagomål.docx", "S 1535-2023")</f>
        <v/>
      </c>
      <c r="AB59">
        <f>HYPERLINK("https://klasma.github.io/Logging_2183/klagomålsmail/S 1535-2023 FSC-klagomål mail.docx", "S 1535-2023")</f>
        <v/>
      </c>
      <c r="AC59">
        <f>HYPERLINK("https://klasma.github.io/Logging_2183/tillsyn/S 1535-2023 tillsynsbegäran.docx", "S 1535-2023")</f>
        <v/>
      </c>
      <c r="AD59">
        <f>HYPERLINK("https://klasma.github.io/Logging_2183/tillsynsmail/S 1535-2023 tillsynsbegäran mail.docx", "S 1535-2023")</f>
        <v/>
      </c>
      <c r="AE59">
        <f>HYPERLINK("https://klasma.github.io/Logging_2183/fåglar/S 1535-2023 prioriterade fågelarter.docx", "S 1535-2023")</f>
        <v/>
      </c>
    </row>
    <row r="60" ht="15" customHeight="1">
      <c r="A60" t="inlineStr">
        <is>
          <t>S 2952-2025</t>
        </is>
      </c>
      <c r="B60" t="inlineStr">
        <is>
          <t>samrådsanmälan</t>
        </is>
      </c>
      <c r="C60" t="inlineStr">
        <is>
          <t>Annan skogsbruksåtgärd</t>
        </is>
      </c>
      <c r="D60" s="1" t="n">
        <v>45952</v>
      </c>
      <c r="E60" s="1" t="n">
        <v>46313</v>
      </c>
      <c r="F60" t="inlineStr">
        <is>
          <t>GÄVLEBORGS LÄN</t>
        </is>
      </c>
      <c r="G60" t="inlineStr">
        <is>
          <t>BOLLNÄS</t>
        </is>
      </c>
      <c r="H60" t="inlineStr">
        <is>
          <t>Sveaskog</t>
        </is>
      </c>
      <c r="I60" t="n">
        <v>1.3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Ullticka</t>
        </is>
      </c>
      <c r="W60">
        <f>HYPERLINK("https://klasma.github.io/Logging_2183/artfynd/S 2952-2025 artfynd.xlsx", "S 2952-2025")</f>
        <v/>
      </c>
      <c r="X60">
        <f>HYPERLINK("https://klasma.github.io/Logging_2183/kartor/S 2952-2025 karta.png", "S 2952-2025")</f>
        <v/>
      </c>
      <c r="Y60">
        <f>HYPERLINK("https://klasma.github.io/Logging_2183/kartor_geotiff/S 2952-2025 georefererad karta.tif", "S 2952-2025")</f>
        <v/>
      </c>
      <c r="AA60">
        <f>HYPERLINK("https://klasma.github.io/Logging_2183/klagomål/S 2952-2025 FSC-klagomål.docx", "S 2952-2025")</f>
        <v/>
      </c>
      <c r="AB60">
        <f>HYPERLINK("https://klasma.github.io/Logging_2183/klagomålsmail/S 2952-2025 FSC-klagomål mail.docx", "S 2952-2025")</f>
        <v/>
      </c>
      <c r="AC60">
        <f>HYPERLINK("https://klasma.github.io/Logging_2183/tillsyn/S 2952-2025 tillsynsbegäran.docx", "S 2952-2025")</f>
        <v/>
      </c>
      <c r="AD60">
        <f>HYPERLINK("https://klasma.github.io/Logging_2183/tillsynsmail/S 2952-2025 tillsynsbegäran mail.docx", "S 2952-2025")</f>
        <v/>
      </c>
    </row>
    <row r="61" ht="15" customHeight="1">
      <c r="A61" t="inlineStr">
        <is>
          <t>A 53069-2022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44876</v>
      </c>
      <c r="E61" s="1" t="n">
        <v>46313</v>
      </c>
      <c r="F61" t="inlineStr">
        <is>
          <t>GÄVLEBORGS LÄN</t>
        </is>
      </c>
      <c r="G61" t="inlineStr">
        <is>
          <t>BOLLNÄS</t>
        </is>
      </c>
      <c r="H61" t="inlineStr">
        <is>
          <t>Bergvik skog väst AB</t>
        </is>
      </c>
      <c r="I61" t="n">
        <v>0.7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541-2022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44566</v>
      </c>
      <c r="E62" s="1" t="n">
        <v>46313</v>
      </c>
      <c r="F62" t="inlineStr">
        <is>
          <t>GÄVLEBORGS LÄN</t>
        </is>
      </c>
      <c r="G62" t="inlineStr">
        <is>
          <t>BOLLNÄS</t>
        </is>
      </c>
      <c r="I62" t="n">
        <v>1.3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522-2022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44566</v>
      </c>
      <c r="E63" s="1" t="n">
        <v>46313</v>
      </c>
      <c r="F63" t="inlineStr">
        <is>
          <t>GÄVLEBORGS LÄN</t>
        </is>
      </c>
      <c r="G63" t="inlineStr">
        <is>
          <t>BOLLNÄS</t>
        </is>
      </c>
      <c r="I63" t="n">
        <v>1.8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41960-2022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44830</v>
      </c>
      <c r="E64" s="1" t="n">
        <v>46313</v>
      </c>
      <c r="F64" t="inlineStr">
        <is>
          <t>GÄVLEBORGS LÄN</t>
        </is>
      </c>
      <c r="G64" t="inlineStr">
        <is>
          <t>BOLLNÄS</t>
        </is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33049-2022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44785</v>
      </c>
      <c r="E65" s="1" t="n">
        <v>46313</v>
      </c>
      <c r="F65" t="inlineStr">
        <is>
          <t>GÄVLEBORGS LÄN</t>
        </is>
      </c>
      <c r="G65" t="inlineStr">
        <is>
          <t>BOLLNÄS</t>
        </is>
      </c>
      <c r="H65" t="inlineStr">
        <is>
          <t>Kyrkan</t>
        </is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58523-2021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44488</v>
      </c>
      <c r="E66" s="1" t="n">
        <v>46313</v>
      </c>
      <c r="F66" t="inlineStr">
        <is>
          <t>GÄVLEBORGS LÄN</t>
        </is>
      </c>
      <c r="G66" t="inlineStr">
        <is>
          <t>BOLLNÄS</t>
        </is>
      </c>
      <c r="I66" t="n">
        <v>2.4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66121-2021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44517</v>
      </c>
      <c r="E67" s="1" t="n">
        <v>46313</v>
      </c>
      <c r="F67" t="inlineStr">
        <is>
          <t>GÄVLEBORGS LÄN</t>
        </is>
      </c>
      <c r="G67" t="inlineStr">
        <is>
          <t>BOLLNÄS</t>
        </is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66125-2021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44517</v>
      </c>
      <c r="E68" s="1" t="n">
        <v>46313</v>
      </c>
      <c r="F68" t="inlineStr">
        <is>
          <t>GÄVLEBORGS LÄN</t>
        </is>
      </c>
      <c r="G68" t="inlineStr">
        <is>
          <t>BOLLNÄS</t>
        </is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23358-2022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44720</v>
      </c>
      <c r="E69" s="1" t="n">
        <v>46313</v>
      </c>
      <c r="F69" t="inlineStr">
        <is>
          <t>GÄVLEBORGS LÄN</t>
        </is>
      </c>
      <c r="G69" t="inlineStr">
        <is>
          <t>BOLLNÄS</t>
        </is>
      </c>
      <c r="I69" t="n">
        <v>0.7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6549-2022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44601</v>
      </c>
      <c r="E70" s="1" t="n">
        <v>46313</v>
      </c>
      <c r="F70" t="inlineStr">
        <is>
          <t>GÄVLEBORGS LÄN</t>
        </is>
      </c>
      <c r="G70" t="inlineStr">
        <is>
          <t>BOLLNÄS</t>
        </is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9367-2022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44616</v>
      </c>
      <c r="E71" s="1" t="n">
        <v>46313</v>
      </c>
      <c r="F71" t="inlineStr">
        <is>
          <t>GÄVLEBORGS LÄN</t>
        </is>
      </c>
      <c r="G71" t="inlineStr">
        <is>
          <t>BOLLNÄS</t>
        </is>
      </c>
      <c r="I71" t="n">
        <v>12.8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5810-2022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44596</v>
      </c>
      <c r="E72" s="1" t="n">
        <v>46313</v>
      </c>
      <c r="F72" t="inlineStr">
        <is>
          <t>GÄVLEBORGS LÄN</t>
        </is>
      </c>
      <c r="G72" t="inlineStr">
        <is>
          <t>BOLLNÄS</t>
        </is>
      </c>
      <c r="I72" t="n">
        <v>1.1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58528-2021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44488</v>
      </c>
      <c r="E73" s="1" t="n">
        <v>46313</v>
      </c>
      <c r="F73" t="inlineStr">
        <is>
          <t>GÄVLEBORGS LÄN</t>
        </is>
      </c>
      <c r="G73" t="inlineStr">
        <is>
          <t>BOLLNÄS</t>
        </is>
      </c>
      <c r="I73" t="n">
        <v>3.1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69836-2021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44532</v>
      </c>
      <c r="E74" s="1" t="n">
        <v>46313</v>
      </c>
      <c r="F74" t="inlineStr">
        <is>
          <t>GÄVLEBORGS LÄN</t>
        </is>
      </c>
      <c r="G74" t="inlineStr">
        <is>
          <t>BOLLNÄS</t>
        </is>
      </c>
      <c r="H74" t="inlineStr">
        <is>
          <t>Sveaskog</t>
        </is>
      </c>
      <c r="I74" t="n">
        <v>2.3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25238-2022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44729</v>
      </c>
      <c r="E75" s="1" t="n">
        <v>46313</v>
      </c>
      <c r="F75" t="inlineStr">
        <is>
          <t>GÄVLEBORGS LÄN</t>
        </is>
      </c>
      <c r="G75" t="inlineStr">
        <is>
          <t>BOLLNÄS</t>
        </is>
      </c>
      <c r="H75" t="inlineStr">
        <is>
          <t>Bergvik skog väst AB</t>
        </is>
      </c>
      <c r="I75" t="n">
        <v>2.2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1306-2022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44572</v>
      </c>
      <c r="E76" s="1" t="n">
        <v>46313</v>
      </c>
      <c r="F76" t="inlineStr">
        <is>
          <t>GÄVLEBORGS LÄN</t>
        </is>
      </c>
      <c r="G76" t="inlineStr">
        <is>
          <t>BOLLNÄS</t>
        </is>
      </c>
      <c r="I76" t="n">
        <v>1.6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19856-2022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44697</v>
      </c>
      <c r="E77" s="1" t="n">
        <v>46313</v>
      </c>
      <c r="F77" t="inlineStr">
        <is>
          <t>GÄVLEBORGS LÄN</t>
        </is>
      </c>
      <c r="G77" t="inlineStr">
        <is>
          <t>BOLLNÄS</t>
        </is>
      </c>
      <c r="I77" t="n">
        <v>2.3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34939-2022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44796</v>
      </c>
      <c r="E78" s="1" t="n">
        <v>46313</v>
      </c>
      <c r="F78" t="inlineStr">
        <is>
          <t>GÄVLEBORGS LÄN</t>
        </is>
      </c>
      <c r="G78" t="inlineStr">
        <is>
          <t>BOLLNÄS</t>
        </is>
      </c>
      <c r="I78" t="n">
        <v>0.9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70914-2021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44538</v>
      </c>
      <c r="E79" s="1" t="n">
        <v>46313</v>
      </c>
      <c r="F79" t="inlineStr">
        <is>
          <t>GÄVLEBORGS LÄN</t>
        </is>
      </c>
      <c r="G79" t="inlineStr">
        <is>
          <t>BOLLNÄS</t>
        </is>
      </c>
      <c r="I79" t="n">
        <v>1.7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7102-2022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44603</v>
      </c>
      <c r="E80" s="1" t="n">
        <v>46313</v>
      </c>
      <c r="F80" t="inlineStr">
        <is>
          <t>GÄVLEBORGS LÄN</t>
        </is>
      </c>
      <c r="G80" t="inlineStr">
        <is>
          <t>BOLLNÄS</t>
        </is>
      </c>
      <c r="I80" t="n">
        <v>1.9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16646-2022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44672</v>
      </c>
      <c r="E81" s="1" t="n">
        <v>46313</v>
      </c>
      <c r="F81" t="inlineStr">
        <is>
          <t>GÄVLEBORGS LÄN</t>
        </is>
      </c>
      <c r="G81" t="inlineStr">
        <is>
          <t>BOLLNÄS</t>
        </is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15269-2022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44659</v>
      </c>
      <c r="E82" s="1" t="n">
        <v>46313</v>
      </c>
      <c r="F82" t="inlineStr">
        <is>
          <t>GÄVLEBORGS LÄN</t>
        </is>
      </c>
      <c r="G82" t="inlineStr">
        <is>
          <t>BOLLNÄS</t>
        </is>
      </c>
      <c r="I82" t="n">
        <v>0.7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54897-2022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44886</v>
      </c>
      <c r="E83" s="1" t="n">
        <v>46313</v>
      </c>
      <c r="F83" t="inlineStr">
        <is>
          <t>GÄVLEBORGS LÄN</t>
        </is>
      </c>
      <c r="G83" t="inlineStr">
        <is>
          <t>BOLLNÄS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46961-2022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44851</v>
      </c>
      <c r="E84" s="1" t="n">
        <v>46313</v>
      </c>
      <c r="F84" t="inlineStr">
        <is>
          <t>GÄVLEBORGS LÄN</t>
        </is>
      </c>
      <c r="G84" t="inlineStr">
        <is>
          <t>BOLLNÄS</t>
        </is>
      </c>
      <c r="H84" t="inlineStr">
        <is>
          <t>Bergvik skog väst AB</t>
        </is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534-2022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44566</v>
      </c>
      <c r="E85" s="1" t="n">
        <v>46313</v>
      </c>
      <c r="F85" t="inlineStr">
        <is>
          <t>GÄVLEBORGS LÄN</t>
        </is>
      </c>
      <c r="G85" t="inlineStr">
        <is>
          <t>BOLLNÄS</t>
        </is>
      </c>
      <c r="I85" t="n">
        <v>2.5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54398-2022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44882</v>
      </c>
      <c r="E86" s="1" t="n">
        <v>46313</v>
      </c>
      <c r="F86" t="inlineStr">
        <is>
          <t>GÄVLEBORGS LÄN</t>
        </is>
      </c>
      <c r="G86" t="inlineStr">
        <is>
          <t>BOLLNÄS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54546-2022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44882</v>
      </c>
      <c r="E87" s="1" t="n">
        <v>46313</v>
      </c>
      <c r="F87" t="inlineStr">
        <is>
          <t>GÄVLEBORGS LÄN</t>
        </is>
      </c>
      <c r="G87" t="inlineStr">
        <is>
          <t>BOLLNÄS</t>
        </is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13401-2022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44645</v>
      </c>
      <c r="E88" s="1" t="n">
        <v>46313</v>
      </c>
      <c r="F88" t="inlineStr">
        <is>
          <t>GÄVLEBORGS LÄN</t>
        </is>
      </c>
      <c r="G88" t="inlineStr">
        <is>
          <t>BOLLNÄS</t>
        </is>
      </c>
      <c r="I88" t="n">
        <v>1.1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19143-2022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44691</v>
      </c>
      <c r="E89" s="1" t="n">
        <v>46313</v>
      </c>
      <c r="F89" t="inlineStr">
        <is>
          <t>GÄVLEBORGS LÄN</t>
        </is>
      </c>
      <c r="G89" t="inlineStr">
        <is>
          <t>BOLLNÄS</t>
        </is>
      </c>
      <c r="I89" t="n">
        <v>0.5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16923-2022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44676</v>
      </c>
      <c r="E90" s="1" t="n">
        <v>46313</v>
      </c>
      <c r="F90" t="inlineStr">
        <is>
          <t>GÄVLEBORGS LÄN</t>
        </is>
      </c>
      <c r="G90" t="inlineStr">
        <is>
          <t>BOLLNÄS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30615-2022</t>
        </is>
      </c>
      <c r="B91" t="inlineStr">
        <is>
          <t>avverkningsanmälan</t>
        </is>
      </c>
      <c r="C91" t="inlineStr">
        <is>
          <t>Avverkning för annat ändamål</t>
        </is>
      </c>
      <c r="D91" s="1" t="n">
        <v>44763</v>
      </c>
      <c r="E91" s="1" t="n">
        <v>46313</v>
      </c>
      <c r="F91" t="inlineStr">
        <is>
          <t>GÄVLEBORGS LÄN</t>
        </is>
      </c>
      <c r="G91" t="inlineStr">
        <is>
          <t>BOLLNÄS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42325-2022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44831</v>
      </c>
      <c r="E92" s="1" t="n">
        <v>46313</v>
      </c>
      <c r="F92" t="inlineStr">
        <is>
          <t>GÄVLEBORGS LÄN</t>
        </is>
      </c>
      <c r="G92" t="inlineStr">
        <is>
          <t>BOLLNÄS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47723-2022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44854</v>
      </c>
      <c r="E93" s="1" t="n">
        <v>46313</v>
      </c>
      <c r="F93" t="inlineStr">
        <is>
          <t>GÄVLEBORGS LÄN</t>
        </is>
      </c>
      <c r="G93" t="inlineStr">
        <is>
          <t>BOLLNÄS</t>
        </is>
      </c>
      <c r="I93" t="n">
        <v>0.6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66120-2021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44517</v>
      </c>
      <c r="E94" s="1" t="n">
        <v>46313</v>
      </c>
      <c r="F94" t="inlineStr">
        <is>
          <t>GÄVLEBORGS LÄN</t>
        </is>
      </c>
      <c r="G94" t="inlineStr">
        <is>
          <t>BOLLNÄS</t>
        </is>
      </c>
      <c r="I94" t="n">
        <v>0.6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66128-2021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44517</v>
      </c>
      <c r="E95" s="1" t="n">
        <v>46313</v>
      </c>
      <c r="F95" t="inlineStr">
        <is>
          <t>GÄVLEBORGS LÄN</t>
        </is>
      </c>
      <c r="G95" t="inlineStr">
        <is>
          <t>BOLLNÄS</t>
        </is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66129-2021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44517</v>
      </c>
      <c r="E96" s="1" t="n">
        <v>46313</v>
      </c>
      <c r="F96" t="inlineStr">
        <is>
          <t>GÄVLEBORGS LÄN</t>
        </is>
      </c>
      <c r="G96" t="inlineStr">
        <is>
          <t>BOLLNÄS</t>
        </is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13407-2022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44645</v>
      </c>
      <c r="E97" s="1" t="n">
        <v>46313</v>
      </c>
      <c r="F97" t="inlineStr">
        <is>
          <t>GÄVLEBORGS LÄN</t>
        </is>
      </c>
      <c r="G97" t="inlineStr">
        <is>
          <t>BOLLNÄS</t>
        </is>
      </c>
      <c r="I97" t="n">
        <v>2.1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64633-2021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44511</v>
      </c>
      <c r="E98" s="1" t="n">
        <v>46313</v>
      </c>
      <c r="F98" t="inlineStr">
        <is>
          <t>GÄVLEBORGS LÄN</t>
        </is>
      </c>
      <c r="G98" t="inlineStr">
        <is>
          <t>BOLLNÄS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31237-2022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44771</v>
      </c>
      <c r="E99" s="1" t="n">
        <v>46313</v>
      </c>
      <c r="F99" t="inlineStr">
        <is>
          <t>GÄVLEBORGS LÄN</t>
        </is>
      </c>
      <c r="G99" t="inlineStr">
        <is>
          <t>BOLLNÄS</t>
        </is>
      </c>
      <c r="I99" t="n">
        <v>13.5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65030-2021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44515</v>
      </c>
      <c r="E100" s="1" t="n">
        <v>46313</v>
      </c>
      <c r="F100" t="inlineStr">
        <is>
          <t>GÄVLEBORGS LÄN</t>
        </is>
      </c>
      <c r="G100" t="inlineStr">
        <is>
          <t>BOLLNÄS</t>
        </is>
      </c>
      <c r="H100" t="inlineStr">
        <is>
          <t>Bergvik skog väst AB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70473-2021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44536</v>
      </c>
      <c r="E101" s="1" t="n">
        <v>46313</v>
      </c>
      <c r="F101" t="inlineStr">
        <is>
          <t>GÄVLEBORGS LÄN</t>
        </is>
      </c>
      <c r="G101" t="inlineStr">
        <is>
          <t>BOLLNÄS</t>
        </is>
      </c>
      <c r="I101" t="n">
        <v>0.7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26301-2022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44735</v>
      </c>
      <c r="E102" s="1" t="n">
        <v>46313</v>
      </c>
      <c r="F102" t="inlineStr">
        <is>
          <t>GÄVLEBORGS LÄN</t>
        </is>
      </c>
      <c r="G102" t="inlineStr">
        <is>
          <t>BOLLNÄS</t>
        </is>
      </c>
      <c r="I102" t="n">
        <v>0.7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7079-2022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44603</v>
      </c>
      <c r="E103" s="1" t="n">
        <v>46313</v>
      </c>
      <c r="F103" t="inlineStr">
        <is>
          <t>GÄVLEBORGS LÄN</t>
        </is>
      </c>
      <c r="G103" t="inlineStr">
        <is>
          <t>BOLLNÄS</t>
        </is>
      </c>
      <c r="I103" t="n">
        <v>1.4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24763-2022</t>
        </is>
      </c>
      <c r="B104" t="inlineStr">
        <is>
          <t>avverkningsanmälan</t>
        </is>
      </c>
      <c r="C104" t="inlineStr">
        <is>
          <t>Avverkning för annat ändamål</t>
        </is>
      </c>
      <c r="D104" s="1" t="n">
        <v>44728</v>
      </c>
      <c r="E104" s="1" t="n">
        <v>46313</v>
      </c>
      <c r="F104" t="inlineStr">
        <is>
          <t>GÄVLEBORGS LÄN</t>
        </is>
      </c>
      <c r="G104" t="inlineStr">
        <is>
          <t>BOLLNÄS</t>
        </is>
      </c>
      <c r="I104" t="n">
        <v>1.1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63882-2021</t>
        </is>
      </c>
      <c r="B105" t="inlineStr">
        <is>
          <t>avverkningsanmälan</t>
        </is>
      </c>
      <c r="C105" t="inlineStr">
        <is>
          <t>Avverkning för annat ändamål</t>
        </is>
      </c>
      <c r="D105" s="1" t="n">
        <v>44509</v>
      </c>
      <c r="E105" s="1" t="n">
        <v>46313</v>
      </c>
      <c r="F105" t="inlineStr">
        <is>
          <t>GÄVLEBORGS LÄN</t>
        </is>
      </c>
      <c r="G105" t="inlineStr">
        <is>
          <t>BOLLNÄS</t>
        </is>
      </c>
      <c r="I105" t="n">
        <v>0.9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63128-2021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44505</v>
      </c>
      <c r="E106" s="1" t="n">
        <v>46313</v>
      </c>
      <c r="F106" t="inlineStr">
        <is>
          <t>GÄVLEBORGS LÄN</t>
        </is>
      </c>
      <c r="G106" t="inlineStr">
        <is>
          <t>BOLLNÄS</t>
        </is>
      </c>
      <c r="I106" t="n">
        <v>4.4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25088-2022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44729</v>
      </c>
      <c r="E107" s="1" t="n">
        <v>46313</v>
      </c>
      <c r="F107" t="inlineStr">
        <is>
          <t>GÄVLEBORGS LÄN</t>
        </is>
      </c>
      <c r="G107" t="inlineStr">
        <is>
          <t>BOLLNÄS</t>
        </is>
      </c>
      <c r="H107" t="inlineStr">
        <is>
          <t>Bergvik skog väst AB</t>
        </is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42519-2022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44831</v>
      </c>
      <c r="E108" s="1" t="n">
        <v>46313</v>
      </c>
      <c r="F108" t="inlineStr">
        <is>
          <t>GÄVLEBORGS LÄN</t>
        </is>
      </c>
      <c r="G108" t="inlineStr">
        <is>
          <t>BOLLNÄS</t>
        </is>
      </c>
      <c r="I108" t="n">
        <v>0.7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14012-2022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44650</v>
      </c>
      <c r="E109" s="1" t="n">
        <v>46313</v>
      </c>
      <c r="F109" t="inlineStr">
        <is>
          <t>GÄVLEBORGS LÄN</t>
        </is>
      </c>
      <c r="G109" t="inlineStr">
        <is>
          <t>BOLLNÄS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58434-2021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44488</v>
      </c>
      <c r="E110" s="1" t="n">
        <v>46313</v>
      </c>
      <c r="F110" t="inlineStr">
        <is>
          <t>GÄVLEBORGS LÄN</t>
        </is>
      </c>
      <c r="G110" t="inlineStr">
        <is>
          <t>BOLLNÄS</t>
        </is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34893-2022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44796</v>
      </c>
      <c r="E111" s="1" t="n">
        <v>46313</v>
      </c>
      <c r="F111" t="inlineStr">
        <is>
          <t>GÄVLEBORGS LÄN</t>
        </is>
      </c>
      <c r="G111" t="inlineStr">
        <is>
          <t>BOLLNÄS</t>
        </is>
      </c>
      <c r="I111" t="n">
        <v>1.6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23925-2022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44722</v>
      </c>
      <c r="E112" s="1" t="n">
        <v>46313</v>
      </c>
      <c r="F112" t="inlineStr">
        <is>
          <t>GÄVLEBORGS LÄN</t>
        </is>
      </c>
      <c r="G112" t="inlineStr">
        <is>
          <t>BOLLNÄS</t>
        </is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60481-2021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44496</v>
      </c>
      <c r="E113" s="1" t="n">
        <v>46313</v>
      </c>
      <c r="F113" t="inlineStr">
        <is>
          <t>GÄVLEBORGS LÄN</t>
        </is>
      </c>
      <c r="G113" t="inlineStr">
        <is>
          <t>BOLLNÄS</t>
        </is>
      </c>
      <c r="I113" t="n">
        <v>1.1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12108-2022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44636</v>
      </c>
      <c r="E114" s="1" t="n">
        <v>46313</v>
      </c>
      <c r="F114" t="inlineStr">
        <is>
          <t>GÄVLEBORGS LÄN</t>
        </is>
      </c>
      <c r="G114" t="inlineStr">
        <is>
          <t>BOLLNÄS</t>
        </is>
      </c>
      <c r="I114" t="n">
        <v>0.7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44151-2022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44839</v>
      </c>
      <c r="E115" s="1" t="n">
        <v>46313</v>
      </c>
      <c r="F115" t="inlineStr">
        <is>
          <t>GÄVLEBORGS LÄN</t>
        </is>
      </c>
      <c r="G115" t="inlineStr">
        <is>
          <t>BOLLNÄS</t>
        </is>
      </c>
      <c r="I115" t="n">
        <v>1.4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58112-2021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44487</v>
      </c>
      <c r="E116" s="1" t="n">
        <v>46313</v>
      </c>
      <c r="F116" t="inlineStr">
        <is>
          <t>GÄVLEBORGS LÄN</t>
        </is>
      </c>
      <c r="G116" t="inlineStr">
        <is>
          <t>BOLLNÄS</t>
        </is>
      </c>
      <c r="I116" t="n">
        <v>1.8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25100-2022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44729</v>
      </c>
      <c r="E117" s="1" t="n">
        <v>46313</v>
      </c>
      <c r="F117" t="inlineStr">
        <is>
          <t>GÄVLEBORGS LÄN</t>
        </is>
      </c>
      <c r="G117" t="inlineStr">
        <is>
          <t>BOLLNÄS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22126-2022</t>
        </is>
      </c>
      <c r="B118" t="inlineStr">
        <is>
          <t>avverkningsanmälan</t>
        </is>
      </c>
      <c r="C118" t="inlineStr">
        <is>
          <t>Avverkning för annat ändamål</t>
        </is>
      </c>
      <c r="D118" s="1" t="n">
        <v>44712</v>
      </c>
      <c r="E118" s="1" t="n">
        <v>46313</v>
      </c>
      <c r="F118" t="inlineStr">
        <is>
          <t>GÄVLEBORGS LÄN</t>
        </is>
      </c>
      <c r="G118" t="inlineStr">
        <is>
          <t>BOLLNÄS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21438-2022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44706</v>
      </c>
      <c r="E119" s="1" t="n">
        <v>46313</v>
      </c>
      <c r="F119" t="inlineStr">
        <is>
          <t>GÄVLEBORGS LÄN</t>
        </is>
      </c>
      <c r="G119" t="inlineStr">
        <is>
          <t>BOLLNÄS</t>
        </is>
      </c>
      <c r="I119" t="n">
        <v>0.6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51645-2022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44872</v>
      </c>
      <c r="E120" s="1" t="n">
        <v>46313</v>
      </c>
      <c r="F120" t="inlineStr">
        <is>
          <t>GÄVLEBORGS LÄN</t>
        </is>
      </c>
      <c r="G120" t="inlineStr">
        <is>
          <t>BOLLNÄS</t>
        </is>
      </c>
      <c r="I120" t="n">
        <v>0.6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53618-2022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44879</v>
      </c>
      <c r="E121" s="1" t="n">
        <v>46313</v>
      </c>
      <c r="F121" t="inlineStr">
        <is>
          <t>GÄVLEBORGS LÄN</t>
        </is>
      </c>
      <c r="G121" t="inlineStr">
        <is>
          <t>BOLLNÄS</t>
        </is>
      </c>
      <c r="H121" t="inlineStr">
        <is>
          <t>Bergvik skog väst AB</t>
        </is>
      </c>
      <c r="I121" t="n">
        <v>7.1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2885-2023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44945</v>
      </c>
      <c r="E122" s="1" t="n">
        <v>46313</v>
      </c>
      <c r="F122" t="inlineStr">
        <is>
          <t>GÄVLEBORGS LÄN</t>
        </is>
      </c>
      <c r="G122" t="inlineStr">
        <is>
          <t>BOLLNÄS</t>
        </is>
      </c>
      <c r="I122" t="n">
        <v>2.7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6752-2024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45342</v>
      </c>
      <c r="E123" s="1" t="n">
        <v>46313</v>
      </c>
      <c r="F123" t="inlineStr">
        <is>
          <t>GÄVLEBORGS LÄN</t>
        </is>
      </c>
      <c r="G123" t="inlineStr">
        <is>
          <t>BOLLNÄS</t>
        </is>
      </c>
      <c r="I123" t="n">
        <v>0.9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58929-2023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45252</v>
      </c>
      <c r="E124" s="1" t="n">
        <v>46313</v>
      </c>
      <c r="F124" t="inlineStr">
        <is>
          <t>GÄVLEBORGS LÄN</t>
        </is>
      </c>
      <c r="G124" t="inlineStr">
        <is>
          <t>BOLLNÄS</t>
        </is>
      </c>
      <c r="H124" t="inlineStr">
        <is>
          <t>Holmen skog AB</t>
        </is>
      </c>
      <c r="I124" t="n">
        <v>1.6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6879-2023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44967</v>
      </c>
      <c r="E125" s="1" t="n">
        <v>46313</v>
      </c>
      <c r="F125" t="inlineStr">
        <is>
          <t>GÄVLEBORGS LÄN</t>
        </is>
      </c>
      <c r="G125" t="inlineStr">
        <is>
          <t>BOLLNÄS</t>
        </is>
      </c>
      <c r="I125" t="n">
        <v>6.3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6922-2023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44967</v>
      </c>
      <c r="E126" s="1" t="n">
        <v>46313</v>
      </c>
      <c r="F126" t="inlineStr">
        <is>
          <t>GÄVLEBORGS LÄN</t>
        </is>
      </c>
      <c r="G126" t="inlineStr">
        <is>
          <t>BOLLNÄS</t>
        </is>
      </c>
      <c r="I126" t="n">
        <v>2.1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54945-2022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44886</v>
      </c>
      <c r="E127" s="1" t="n">
        <v>46313</v>
      </c>
      <c r="F127" t="inlineStr">
        <is>
          <t>GÄVLEBORGS LÄN</t>
        </is>
      </c>
      <c r="G127" t="inlineStr">
        <is>
          <t>BOLLNÄS</t>
        </is>
      </c>
      <c r="I127" t="n">
        <v>1.2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53815-2022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44880</v>
      </c>
      <c r="E128" s="1" t="n">
        <v>46313</v>
      </c>
      <c r="F128" t="inlineStr">
        <is>
          <t>GÄVLEBORGS LÄN</t>
        </is>
      </c>
      <c r="G128" t="inlineStr">
        <is>
          <t>BOLLNÄS</t>
        </is>
      </c>
      <c r="I128" t="n">
        <v>1.2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22010-2024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45443</v>
      </c>
      <c r="E129" s="1" t="n">
        <v>46313</v>
      </c>
      <c r="F129" t="inlineStr">
        <is>
          <t>GÄVLEBORGS LÄN</t>
        </is>
      </c>
      <c r="G129" t="inlineStr">
        <is>
          <t>BOLLNÄS</t>
        </is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2611-2022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44580</v>
      </c>
      <c r="E130" s="1" t="n">
        <v>46313</v>
      </c>
      <c r="F130" t="inlineStr">
        <is>
          <t>GÄVLEBORGS LÄN</t>
        </is>
      </c>
      <c r="G130" t="inlineStr">
        <is>
          <t>BOLLNÄS</t>
        </is>
      </c>
      <c r="I130" t="n">
        <v>1.4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29716-2023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45107</v>
      </c>
      <c r="E131" s="1" t="n">
        <v>46313</v>
      </c>
      <c r="F131" t="inlineStr">
        <is>
          <t>GÄVLEBORGS LÄN</t>
        </is>
      </c>
      <c r="G131" t="inlineStr">
        <is>
          <t>BOLLNÄS</t>
        </is>
      </c>
      <c r="H131" t="inlineStr">
        <is>
          <t>Sveaskog</t>
        </is>
      </c>
      <c r="I131" t="n">
        <v>7.3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60428-2024</t>
        </is>
      </c>
      <c r="B132" t="inlineStr">
        <is>
          <t>avverkningsanmälan</t>
        </is>
      </c>
      <c r="C132" t="inlineStr">
        <is>
          <t>Avverkning för annat ändamål</t>
        </is>
      </c>
      <c r="D132" s="1" t="n">
        <v>45643</v>
      </c>
      <c r="E132" s="1" t="n">
        <v>46313</v>
      </c>
      <c r="F132" t="inlineStr">
        <is>
          <t>GÄVLEBORGS LÄN</t>
        </is>
      </c>
      <c r="G132" t="inlineStr">
        <is>
          <t>BOLLNÄS</t>
        </is>
      </c>
      <c r="I132" t="n">
        <v>5.5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28314-2023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45099</v>
      </c>
      <c r="E133" s="1" t="n">
        <v>46313</v>
      </c>
      <c r="F133" t="inlineStr">
        <is>
          <t>GÄVLEBORGS LÄN</t>
        </is>
      </c>
      <c r="G133" t="inlineStr">
        <is>
          <t>BOLLNÄS</t>
        </is>
      </c>
      <c r="I133" t="n">
        <v>1.4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50544-2023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45217</v>
      </c>
      <c r="E134" s="1" t="n">
        <v>46313</v>
      </c>
      <c r="F134" t="inlineStr">
        <is>
          <t>GÄVLEBORGS LÄN</t>
        </is>
      </c>
      <c r="G134" t="inlineStr">
        <is>
          <t>BOLLNÄS</t>
        </is>
      </c>
      <c r="I134" t="n">
        <v>1.5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43177-2024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45567</v>
      </c>
      <c r="E135" s="1" t="n">
        <v>46313</v>
      </c>
      <c r="F135" t="inlineStr">
        <is>
          <t>GÄVLEBORGS LÄN</t>
        </is>
      </c>
      <c r="G135" t="inlineStr">
        <is>
          <t>BOLLNÄS</t>
        </is>
      </c>
      <c r="I135" t="n">
        <v>4.3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6882-2023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44967</v>
      </c>
      <c r="E136" s="1" t="n">
        <v>46313</v>
      </c>
      <c r="F136" t="inlineStr">
        <is>
          <t>GÄVLEBORGS LÄN</t>
        </is>
      </c>
      <c r="G136" t="inlineStr">
        <is>
          <t>BOLLNÄS</t>
        </is>
      </c>
      <c r="I136" t="n">
        <v>4.1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59740-2023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45257</v>
      </c>
      <c r="E137" s="1" t="n">
        <v>46313</v>
      </c>
      <c r="F137" t="inlineStr">
        <is>
          <t>GÄVLEBORGS LÄN</t>
        </is>
      </c>
      <c r="G137" t="inlineStr">
        <is>
          <t>BOLLNÄS</t>
        </is>
      </c>
      <c r="I137" t="n">
        <v>1.1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3271-2025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45679</v>
      </c>
      <c r="E138" s="1" t="n">
        <v>46313</v>
      </c>
      <c r="F138" t="inlineStr">
        <is>
          <t>GÄVLEBORGS LÄN</t>
        </is>
      </c>
      <c r="G138" t="inlineStr">
        <is>
          <t>BOLLNÄS</t>
        </is>
      </c>
      <c r="I138" t="n">
        <v>2.5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57260-2023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45239</v>
      </c>
      <c r="E139" s="1" t="n">
        <v>46313</v>
      </c>
      <c r="F139" t="inlineStr">
        <is>
          <t>GÄVLEBORGS LÄN</t>
        </is>
      </c>
      <c r="G139" t="inlineStr">
        <is>
          <t>BOLLNÄS</t>
        </is>
      </c>
      <c r="H139" t="inlineStr">
        <is>
          <t>Kommuner</t>
        </is>
      </c>
      <c r="I139" t="n">
        <v>1.2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18614-2023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45043</v>
      </c>
      <c r="E140" s="1" t="n">
        <v>46313</v>
      </c>
      <c r="F140" t="inlineStr">
        <is>
          <t>GÄVLEBORGS LÄN</t>
        </is>
      </c>
      <c r="G140" t="inlineStr">
        <is>
          <t>BOLLNÄS</t>
        </is>
      </c>
      <c r="I140" t="n">
        <v>5.4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39091-2024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45548</v>
      </c>
      <c r="E141" s="1" t="n">
        <v>46313</v>
      </c>
      <c r="F141" t="inlineStr">
        <is>
          <t>GÄVLEBORGS LÄN</t>
        </is>
      </c>
      <c r="G141" t="inlineStr">
        <is>
          <t>BOLLNÄS</t>
        </is>
      </c>
      <c r="I141" t="n">
        <v>1.6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12166-2024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45377</v>
      </c>
      <c r="E142" s="1" t="n">
        <v>46313</v>
      </c>
      <c r="F142" t="inlineStr">
        <is>
          <t>GÄVLEBORGS LÄN</t>
        </is>
      </c>
      <c r="G142" t="inlineStr">
        <is>
          <t>BOLLNÄS</t>
        </is>
      </c>
      <c r="I142" t="n">
        <v>1.8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51983-2024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45607</v>
      </c>
      <c r="E143" s="1" t="n">
        <v>46313</v>
      </c>
      <c r="F143" t="inlineStr">
        <is>
          <t>GÄVLEBORGS LÄN</t>
        </is>
      </c>
      <c r="G143" t="inlineStr">
        <is>
          <t>BOLLNÄS</t>
        </is>
      </c>
      <c r="I143" t="n">
        <v>0.4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52181-2024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45608</v>
      </c>
      <c r="E144" s="1" t="n">
        <v>46313</v>
      </c>
      <c r="F144" t="inlineStr">
        <is>
          <t>GÄVLEBORGS LÄN</t>
        </is>
      </c>
      <c r="G144" t="inlineStr">
        <is>
          <t>BOLLNÄS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61060-2023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45261</v>
      </c>
      <c r="E145" s="1" t="n">
        <v>46313</v>
      </c>
      <c r="F145" t="inlineStr">
        <is>
          <t>GÄVLEBORGS LÄN</t>
        </is>
      </c>
      <c r="G145" t="inlineStr">
        <is>
          <t>BOLLNÄS</t>
        </is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54236-2023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45232</v>
      </c>
      <c r="E146" s="1" t="n">
        <v>46313</v>
      </c>
      <c r="F146" t="inlineStr">
        <is>
          <t>GÄVLEBORGS LÄN</t>
        </is>
      </c>
      <c r="G146" t="inlineStr">
        <is>
          <t>BOLLNÄS</t>
        </is>
      </c>
      <c r="I146" t="n">
        <v>1.7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549-2024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45299</v>
      </c>
      <c r="E147" s="1" t="n">
        <v>46313</v>
      </c>
      <c r="F147" t="inlineStr">
        <is>
          <t>GÄVLEBORGS LÄN</t>
        </is>
      </c>
      <c r="G147" t="inlineStr">
        <is>
          <t>BOLLNÄS</t>
        </is>
      </c>
      <c r="I147" t="n">
        <v>0.7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12018-2024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45377</v>
      </c>
      <c r="E148" s="1" t="n">
        <v>46313</v>
      </c>
      <c r="F148" t="inlineStr">
        <is>
          <t>GÄVLEBORGS LÄN</t>
        </is>
      </c>
      <c r="G148" t="inlineStr">
        <is>
          <t>BOLLNÄS</t>
        </is>
      </c>
      <c r="I148" t="n">
        <v>2.7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12023-2024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45377</v>
      </c>
      <c r="E149" s="1" t="n">
        <v>46313</v>
      </c>
      <c r="F149" t="inlineStr">
        <is>
          <t>GÄVLEBORGS LÄN</t>
        </is>
      </c>
      <c r="G149" t="inlineStr">
        <is>
          <t>BOLLNÄS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55367-2023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45238</v>
      </c>
      <c r="E150" s="1" t="n">
        <v>46313</v>
      </c>
      <c r="F150" t="inlineStr">
        <is>
          <t>GÄVLEBORGS LÄN</t>
        </is>
      </c>
      <c r="G150" t="inlineStr">
        <is>
          <t>BOLLNÄS</t>
        </is>
      </c>
      <c r="I150" t="n">
        <v>1.1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48310-2023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45205</v>
      </c>
      <c r="E151" s="1" t="n">
        <v>46313</v>
      </c>
      <c r="F151" t="inlineStr">
        <is>
          <t>GÄVLEBORGS LÄN</t>
        </is>
      </c>
      <c r="G151" t="inlineStr">
        <is>
          <t>BOLLNÄS</t>
        </is>
      </c>
      <c r="I151" t="n">
        <v>1.9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17792-2023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45037</v>
      </c>
      <c r="E152" s="1" t="n">
        <v>46313</v>
      </c>
      <c r="F152" t="inlineStr">
        <is>
          <t>GÄVLEBORGS LÄN</t>
        </is>
      </c>
      <c r="G152" t="inlineStr">
        <is>
          <t>BOLLNÄS</t>
        </is>
      </c>
      <c r="H152" t="inlineStr">
        <is>
          <t>Kyrkan</t>
        </is>
      </c>
      <c r="I152" t="n">
        <v>4.1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48605-2023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45208</v>
      </c>
      <c r="E153" s="1" t="n">
        <v>46313</v>
      </c>
      <c r="F153" t="inlineStr">
        <is>
          <t>GÄVLEBORGS LÄN</t>
        </is>
      </c>
      <c r="G153" t="inlineStr">
        <is>
          <t>BOLLNÄS</t>
        </is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18311-2023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45041</v>
      </c>
      <c r="E154" s="1" t="n">
        <v>46313</v>
      </c>
      <c r="F154" t="inlineStr">
        <is>
          <t>GÄVLEBORGS LÄN</t>
        </is>
      </c>
      <c r="G154" t="inlineStr">
        <is>
          <t>BOLLNÄS</t>
        </is>
      </c>
      <c r="I154" t="n">
        <v>3.3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56547-2023</t>
        </is>
      </c>
      <c r="B155" t="inlineStr">
        <is>
          <t>avverkningsanmälan</t>
        </is>
      </c>
      <c r="C155" t="inlineStr">
        <is>
          <t>Avverkning för annat ändamål</t>
        </is>
      </c>
      <c r="D155" s="1" t="n">
        <v>45243</v>
      </c>
      <c r="E155" s="1" t="n">
        <v>46313</v>
      </c>
      <c r="F155" t="inlineStr">
        <is>
          <t>GÄVLEBORGS LÄN</t>
        </is>
      </c>
      <c r="G155" t="inlineStr">
        <is>
          <t>BOLLNÄS</t>
        </is>
      </c>
      <c r="I155" t="n">
        <v>0.9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28795-2024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45478</v>
      </c>
      <c r="E156" s="1" t="n">
        <v>46313</v>
      </c>
      <c r="F156" t="inlineStr">
        <is>
          <t>GÄVLEBORGS LÄN</t>
        </is>
      </c>
      <c r="G156" t="inlineStr">
        <is>
          <t>BOLLNÄS</t>
        </is>
      </c>
      <c r="I156" t="n">
        <v>1.3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57041-2022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44895</v>
      </c>
      <c r="E157" s="1" t="n">
        <v>46313</v>
      </c>
      <c r="F157" t="inlineStr">
        <is>
          <t>GÄVLEBORGS LÄN</t>
        </is>
      </c>
      <c r="G157" t="inlineStr">
        <is>
          <t>BOLLNÄS</t>
        </is>
      </c>
      <c r="I157" t="n">
        <v>0.8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24770-2022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44728</v>
      </c>
      <c r="E158" s="1" t="n">
        <v>46313</v>
      </c>
      <c r="F158" t="inlineStr">
        <is>
          <t>GÄVLEBORGS LÄN</t>
        </is>
      </c>
      <c r="G158" t="inlineStr">
        <is>
          <t>BOLLNÄS</t>
        </is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51681-2024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45607</v>
      </c>
      <c r="E159" s="1" t="n">
        <v>46313</v>
      </c>
      <c r="F159" t="inlineStr">
        <is>
          <t>GÄVLEBORGS LÄN</t>
        </is>
      </c>
      <c r="G159" t="inlineStr">
        <is>
          <t>BOLLNÄS</t>
        </is>
      </c>
      <c r="H159" t="inlineStr">
        <is>
          <t>Bergvik skog väst AB</t>
        </is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15146-2023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45016</v>
      </c>
      <c r="E160" s="1" t="n">
        <v>46313</v>
      </c>
      <c r="F160" t="inlineStr">
        <is>
          <t>GÄVLEBORGS LÄN</t>
        </is>
      </c>
      <c r="G160" t="inlineStr">
        <is>
          <t>BOLLNÄS</t>
        </is>
      </c>
      <c r="I160" t="n">
        <v>0.4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31022-2024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45500</v>
      </c>
      <c r="E161" s="1" t="n">
        <v>46313</v>
      </c>
      <c r="F161" t="inlineStr">
        <is>
          <t>GÄVLEBORGS LÄN</t>
        </is>
      </c>
      <c r="G161" t="inlineStr">
        <is>
          <t>BOLLNÄS</t>
        </is>
      </c>
      <c r="I161" t="n">
        <v>0.9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34887-2022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44796</v>
      </c>
      <c r="E162" s="1" t="n">
        <v>46313</v>
      </c>
      <c r="F162" t="inlineStr">
        <is>
          <t>GÄVLEBORGS LÄN</t>
        </is>
      </c>
      <c r="G162" t="inlineStr">
        <is>
          <t>BOLLNÄS</t>
        </is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2802-2025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45677</v>
      </c>
      <c r="E163" s="1" t="n">
        <v>46313</v>
      </c>
      <c r="F163" t="inlineStr">
        <is>
          <t>GÄVLEBORGS LÄN</t>
        </is>
      </c>
      <c r="G163" t="inlineStr">
        <is>
          <t>BOLLNÄS</t>
        </is>
      </c>
      <c r="I163" t="n">
        <v>4.4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14864-2025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45743</v>
      </c>
      <c r="E164" s="1" t="n">
        <v>46313</v>
      </c>
      <c r="F164" t="inlineStr">
        <is>
          <t>GÄVLEBORGS LÄN</t>
        </is>
      </c>
      <c r="G164" t="inlineStr">
        <is>
          <t>BOLLNÄS</t>
        </is>
      </c>
      <c r="I164" t="n">
        <v>11.7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59085-2021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44490</v>
      </c>
      <c r="E165" s="1" t="n">
        <v>46313</v>
      </c>
      <c r="F165" t="inlineStr">
        <is>
          <t>GÄVLEBORGS LÄN</t>
        </is>
      </c>
      <c r="G165" t="inlineStr">
        <is>
          <t>BOLLNÄS</t>
        </is>
      </c>
      <c r="I165" t="n">
        <v>1.2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46664-2024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45583</v>
      </c>
      <c r="E166" s="1" t="n">
        <v>46313</v>
      </c>
      <c r="F166" t="inlineStr">
        <is>
          <t>GÄVLEBORGS LÄN</t>
        </is>
      </c>
      <c r="G166" t="inlineStr">
        <is>
          <t>BOLLNÄS</t>
        </is>
      </c>
      <c r="I166" t="n">
        <v>3.8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46669-2024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45583</v>
      </c>
      <c r="E167" s="1" t="n">
        <v>46313</v>
      </c>
      <c r="F167" t="inlineStr">
        <is>
          <t>GÄVLEBORGS LÄN</t>
        </is>
      </c>
      <c r="G167" t="inlineStr">
        <is>
          <t>BOLLNÄS</t>
        </is>
      </c>
      <c r="I167" t="n">
        <v>1.7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30187-2024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45490</v>
      </c>
      <c r="E168" s="1" t="n">
        <v>46313</v>
      </c>
      <c r="F168" t="inlineStr">
        <is>
          <t>GÄVLEBORGS LÄN</t>
        </is>
      </c>
      <c r="G168" t="inlineStr">
        <is>
          <t>BOLLNÄS</t>
        </is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23375-2024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45453</v>
      </c>
      <c r="E169" s="1" t="n">
        <v>46313</v>
      </c>
      <c r="F169" t="inlineStr">
        <is>
          <t>GÄVLEBORGS LÄN</t>
        </is>
      </c>
      <c r="G169" t="inlineStr">
        <is>
          <t>BOLLNÄS</t>
        </is>
      </c>
      <c r="I169" t="n">
        <v>3.5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51156-2023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45212</v>
      </c>
      <c r="E170" s="1" t="n">
        <v>46313</v>
      </c>
      <c r="F170" t="inlineStr">
        <is>
          <t>GÄVLEBORGS LÄN</t>
        </is>
      </c>
      <c r="G170" t="inlineStr">
        <is>
          <t>BOLLNÄS</t>
        </is>
      </c>
      <c r="I170" t="n">
        <v>2.2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51310-2023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45219</v>
      </c>
      <c r="E171" s="1" t="n">
        <v>46313</v>
      </c>
      <c r="F171" t="inlineStr">
        <is>
          <t>GÄVLEBORGS LÄN</t>
        </is>
      </c>
      <c r="G171" t="inlineStr">
        <is>
          <t>BOLLNÄS</t>
        </is>
      </c>
      <c r="I171" t="n">
        <v>0.8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60495-2023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45258</v>
      </c>
      <c r="E172" s="1" t="n">
        <v>46313</v>
      </c>
      <c r="F172" t="inlineStr">
        <is>
          <t>GÄVLEBORGS LÄN</t>
        </is>
      </c>
      <c r="G172" t="inlineStr">
        <is>
          <t>BOLLNÄS</t>
        </is>
      </c>
      <c r="I172" t="n">
        <v>7.1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61399-2023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45264</v>
      </c>
      <c r="E173" s="1" t="n">
        <v>46313</v>
      </c>
      <c r="F173" t="inlineStr">
        <is>
          <t>GÄVLEBORGS LÄN</t>
        </is>
      </c>
      <c r="G173" t="inlineStr">
        <is>
          <t>BOLLNÄS</t>
        </is>
      </c>
      <c r="I173" t="n">
        <v>1.1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12686-2025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45733</v>
      </c>
      <c r="E174" s="1" t="n">
        <v>46313</v>
      </c>
      <c r="F174" t="inlineStr">
        <is>
          <t>GÄVLEBORGS LÄN</t>
        </is>
      </c>
      <c r="G174" t="inlineStr">
        <is>
          <t>BOLLNÄS</t>
        </is>
      </c>
      <c r="I174" t="n">
        <v>2.7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59237-2024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45637</v>
      </c>
      <c r="E175" s="1" t="n">
        <v>46313</v>
      </c>
      <c r="F175" t="inlineStr">
        <is>
          <t>GÄVLEBORGS LÄN</t>
        </is>
      </c>
      <c r="G175" t="inlineStr">
        <is>
          <t>BOLLNÄS</t>
        </is>
      </c>
      <c r="I175" t="n">
        <v>3.1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51149-2023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45212</v>
      </c>
      <c r="E176" s="1" t="n">
        <v>46313</v>
      </c>
      <c r="F176" t="inlineStr">
        <is>
          <t>GÄVLEBORGS LÄN</t>
        </is>
      </c>
      <c r="G176" t="inlineStr">
        <is>
          <t>BOLLNÄS</t>
        </is>
      </c>
      <c r="I176" t="n">
        <v>1.6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28771-2023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45104</v>
      </c>
      <c r="E177" s="1" t="n">
        <v>46313</v>
      </c>
      <c r="F177" t="inlineStr">
        <is>
          <t>GÄVLEBORGS LÄN</t>
        </is>
      </c>
      <c r="G177" t="inlineStr">
        <is>
          <t>BOLLNÄS</t>
        </is>
      </c>
      <c r="I177" t="n">
        <v>0.7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35181-2023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45145</v>
      </c>
      <c r="E178" s="1" t="n">
        <v>46313</v>
      </c>
      <c r="F178" t="inlineStr">
        <is>
          <t>GÄVLEBORGS LÄN</t>
        </is>
      </c>
      <c r="G178" t="inlineStr">
        <is>
          <t>BOLLNÄS</t>
        </is>
      </c>
      <c r="H178" t="inlineStr">
        <is>
          <t>Holmen skog AB</t>
        </is>
      </c>
      <c r="I178" t="n">
        <v>1.1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53036-2024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45611</v>
      </c>
      <c r="E179" s="1" t="n">
        <v>46313</v>
      </c>
      <c r="F179" t="inlineStr">
        <is>
          <t>GÄVLEBORGS LÄN</t>
        </is>
      </c>
      <c r="G179" t="inlineStr">
        <is>
          <t>BOLLNÄS</t>
        </is>
      </c>
      <c r="I179" t="n">
        <v>6.1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57689-2022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44897</v>
      </c>
      <c r="E180" s="1" t="n">
        <v>46313</v>
      </c>
      <c r="F180" t="inlineStr">
        <is>
          <t>GÄVLEBORGS LÄN</t>
        </is>
      </c>
      <c r="G180" t="inlineStr">
        <is>
          <t>BOLLNÄS</t>
        </is>
      </c>
      <c r="I180" t="n">
        <v>6.7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24994-2024</t>
        </is>
      </c>
      <c r="B181" t="inlineStr">
        <is>
          <t>avverkningsanmälan</t>
        </is>
      </c>
      <c r="C181" t="inlineStr">
        <is>
          <t>Avverkning för annat ändamål</t>
        </is>
      </c>
      <c r="D181" s="1" t="n">
        <v>45461</v>
      </c>
      <c r="E181" s="1" t="n">
        <v>46313</v>
      </c>
      <c r="F181" t="inlineStr">
        <is>
          <t>GÄVLEBORGS LÄN</t>
        </is>
      </c>
      <c r="G181" t="inlineStr">
        <is>
          <t>BOLLNÄS</t>
        </is>
      </c>
      <c r="I181" t="n">
        <v>0.8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56209-2023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45240</v>
      </c>
      <c r="E182" s="1" t="n">
        <v>46313</v>
      </c>
      <c r="F182" t="inlineStr">
        <is>
          <t>GÄVLEBORGS LÄN</t>
        </is>
      </c>
      <c r="G182" t="inlineStr">
        <is>
          <t>BOLLNÄS</t>
        </is>
      </c>
      <c r="I182" t="n">
        <v>0.7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18013-2023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45040</v>
      </c>
      <c r="E183" s="1" t="n">
        <v>46313</v>
      </c>
      <c r="F183" t="inlineStr">
        <is>
          <t>GÄVLEBORGS LÄN</t>
        </is>
      </c>
      <c r="G183" t="inlineStr">
        <is>
          <t>BOLLNÄS</t>
        </is>
      </c>
      <c r="I183" t="n">
        <v>1.7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17375-2024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45414</v>
      </c>
      <c r="E184" s="1" t="n">
        <v>46313</v>
      </c>
      <c r="F184" t="inlineStr">
        <is>
          <t>GÄVLEBORGS LÄN</t>
        </is>
      </c>
      <c r="G184" t="inlineStr">
        <is>
          <t>BOLLNÄS</t>
        </is>
      </c>
      <c r="I184" t="n">
        <v>2.5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43384-2024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45568</v>
      </c>
      <c r="E185" s="1" t="n">
        <v>46313</v>
      </c>
      <c r="F185" t="inlineStr">
        <is>
          <t>GÄVLEBORGS LÄN</t>
        </is>
      </c>
      <c r="G185" t="inlineStr">
        <is>
          <t>BOLLNÄS</t>
        </is>
      </c>
      <c r="I185" t="n">
        <v>2.2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49624-2022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44862</v>
      </c>
      <c r="E186" s="1" t="n">
        <v>46313</v>
      </c>
      <c r="F186" t="inlineStr">
        <is>
          <t>GÄVLEBORGS LÄN</t>
        </is>
      </c>
      <c r="G186" t="inlineStr">
        <is>
          <t>BOLLNÄS</t>
        </is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29723-2024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45485</v>
      </c>
      <c r="E187" s="1" t="n">
        <v>46313</v>
      </c>
      <c r="F187" t="inlineStr">
        <is>
          <t>GÄVLEBORGS LÄN</t>
        </is>
      </c>
      <c r="G187" t="inlineStr">
        <is>
          <t>BOLLNÄS</t>
        </is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41740-2023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45176</v>
      </c>
      <c r="E188" s="1" t="n">
        <v>46313</v>
      </c>
      <c r="F188" t="inlineStr">
        <is>
          <t>GÄVLEBORGS LÄN</t>
        </is>
      </c>
      <c r="G188" t="inlineStr">
        <is>
          <t>BOLLNÄS</t>
        </is>
      </c>
      <c r="I188" t="n">
        <v>0.4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6903-2025</t>
        </is>
      </c>
      <c r="B189" t="inlineStr">
        <is>
          <t>avverkningsanmälan</t>
        </is>
      </c>
      <c r="C189" t="inlineStr">
        <is>
          <t>Avverkning för annat ändamål</t>
        </is>
      </c>
      <c r="D189" s="1" t="n">
        <v>45701</v>
      </c>
      <c r="E189" s="1" t="n">
        <v>46313</v>
      </c>
      <c r="F189" t="inlineStr">
        <is>
          <t>GÄVLEBORGS LÄN</t>
        </is>
      </c>
      <c r="G189" t="inlineStr">
        <is>
          <t>BOLLNÄS</t>
        </is>
      </c>
      <c r="I189" t="n">
        <v>1.5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23809-2024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45455</v>
      </c>
      <c r="E190" s="1" t="n">
        <v>46313</v>
      </c>
      <c r="F190" t="inlineStr">
        <is>
          <t>GÄVLEBORGS LÄN</t>
        </is>
      </c>
      <c r="G190" t="inlineStr">
        <is>
          <t>BOLLNÄS</t>
        </is>
      </c>
      <c r="I190" t="n">
        <v>1.8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32056-2023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45119</v>
      </c>
      <c r="E191" s="1" t="n">
        <v>46313</v>
      </c>
      <c r="F191" t="inlineStr">
        <is>
          <t>GÄVLEBORGS LÄN</t>
        </is>
      </c>
      <c r="G191" t="inlineStr">
        <is>
          <t>BOLLNÄS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31434-2022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44774</v>
      </c>
      <c r="E192" s="1" t="n">
        <v>46313</v>
      </c>
      <c r="F192" t="inlineStr">
        <is>
          <t>GÄVLEBORGS LÄN</t>
        </is>
      </c>
      <c r="G192" t="inlineStr">
        <is>
          <t>BOLLNÄS</t>
        </is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12454-2023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44999</v>
      </c>
      <c r="E193" s="1" t="n">
        <v>46313</v>
      </c>
      <c r="F193" t="inlineStr">
        <is>
          <t>GÄVLEBORGS LÄN</t>
        </is>
      </c>
      <c r="G193" t="inlineStr">
        <is>
          <t>BOLLNÄS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43996-2024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45572</v>
      </c>
      <c r="E194" s="1" t="n">
        <v>46313</v>
      </c>
      <c r="F194" t="inlineStr">
        <is>
          <t>GÄVLEBORGS LÄN</t>
        </is>
      </c>
      <c r="G194" t="inlineStr">
        <is>
          <t>BOLLNÄS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58329-2024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45632</v>
      </c>
      <c r="E195" s="1" t="n">
        <v>46313</v>
      </c>
      <c r="F195" t="inlineStr">
        <is>
          <t>GÄVLEBORGS LÄN</t>
        </is>
      </c>
      <c r="G195" t="inlineStr">
        <is>
          <t>BOLLNÄS</t>
        </is>
      </c>
      <c r="I195" t="n">
        <v>0.8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41266-2023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45174</v>
      </c>
      <c r="E196" s="1" t="n">
        <v>46313</v>
      </c>
      <c r="F196" t="inlineStr">
        <is>
          <t>GÄVLEBORGS LÄN</t>
        </is>
      </c>
      <c r="G196" t="inlineStr">
        <is>
          <t>BOLLNÄS</t>
        </is>
      </c>
      <c r="I196" t="n">
        <v>1.2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2666-2025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45677</v>
      </c>
      <c r="E197" s="1" t="n">
        <v>46313</v>
      </c>
      <c r="F197" t="inlineStr">
        <is>
          <t>GÄVLEBORGS LÄN</t>
        </is>
      </c>
      <c r="G197" t="inlineStr">
        <is>
          <t>BOLLNÄS</t>
        </is>
      </c>
      <c r="I197" t="n">
        <v>2.1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15525-2025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45747</v>
      </c>
      <c r="E198" s="1" t="n">
        <v>46313</v>
      </c>
      <c r="F198" t="inlineStr">
        <is>
          <t>GÄVLEBORGS LÄN</t>
        </is>
      </c>
      <c r="G198" t="inlineStr">
        <is>
          <t>BOLLNÄS</t>
        </is>
      </c>
      <c r="H198" t="inlineStr">
        <is>
          <t>Kyrkan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27558-2023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45097</v>
      </c>
      <c r="E199" s="1" t="n">
        <v>46313</v>
      </c>
      <c r="F199" t="inlineStr">
        <is>
          <t>GÄVLEBORGS LÄN</t>
        </is>
      </c>
      <c r="G199" t="inlineStr">
        <is>
          <t>BOLLNÄS</t>
        </is>
      </c>
      <c r="I199" t="n">
        <v>1.3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59360-2024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45638</v>
      </c>
      <c r="E200" s="1" t="n">
        <v>46313</v>
      </c>
      <c r="F200" t="inlineStr">
        <is>
          <t>GÄVLEBORGS LÄN</t>
        </is>
      </c>
      <c r="G200" t="inlineStr">
        <is>
          <t>BOLLNÄS</t>
        </is>
      </c>
      <c r="I200" t="n">
        <v>1.2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51970-2024</t>
        </is>
      </c>
      <c r="B201" t="inlineStr">
        <is>
          <t>avverkningsanmälan</t>
        </is>
      </c>
      <c r="C201" t="inlineStr">
        <is>
          <t>Avverkning för annat ändamål</t>
        </is>
      </c>
      <c r="D201" s="1" t="n">
        <v>45607</v>
      </c>
      <c r="E201" s="1" t="n">
        <v>46313</v>
      </c>
      <c r="F201" t="inlineStr">
        <is>
          <t>GÄVLEBORGS LÄN</t>
        </is>
      </c>
      <c r="G201" t="inlineStr">
        <is>
          <t>BOLLNÄS</t>
        </is>
      </c>
      <c r="I201" t="n">
        <v>1.2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37780-2024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45542</v>
      </c>
      <c r="E202" s="1" t="n">
        <v>46313</v>
      </c>
      <c r="F202" t="inlineStr">
        <is>
          <t>GÄVLEBORGS LÄN</t>
        </is>
      </c>
      <c r="G202" t="inlineStr">
        <is>
          <t>BOLLNÄS</t>
        </is>
      </c>
      <c r="I202" t="n">
        <v>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24958-2023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45085</v>
      </c>
      <c r="E203" s="1" t="n">
        <v>46313</v>
      </c>
      <c r="F203" t="inlineStr">
        <is>
          <t>GÄVLEBORGS LÄN</t>
        </is>
      </c>
      <c r="G203" t="inlineStr">
        <is>
          <t>BOLLNÄS</t>
        </is>
      </c>
      <c r="I203" t="n">
        <v>1.4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48110-2022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44856</v>
      </c>
      <c r="E204" s="1" t="n">
        <v>46313</v>
      </c>
      <c r="F204" t="inlineStr">
        <is>
          <t>GÄVLEBORGS LÄN</t>
        </is>
      </c>
      <c r="G204" t="inlineStr">
        <is>
          <t>BOLLNÄS</t>
        </is>
      </c>
      <c r="H204" t="inlineStr">
        <is>
          <t>Bergvik skog väst AB</t>
        </is>
      </c>
      <c r="I204" t="n">
        <v>1.9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56208-2023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45240</v>
      </c>
      <c r="E205" s="1" t="n">
        <v>46313</v>
      </c>
      <c r="F205" t="inlineStr">
        <is>
          <t>GÄVLEBORGS LÄN</t>
        </is>
      </c>
      <c r="G205" t="inlineStr">
        <is>
          <t>BOLLNÄS</t>
        </is>
      </c>
      <c r="I205" t="n">
        <v>1.3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63108-2021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44505</v>
      </c>
      <c r="E206" s="1" t="n">
        <v>46313</v>
      </c>
      <c r="F206" t="inlineStr">
        <is>
          <t>GÄVLEBORGS LÄN</t>
        </is>
      </c>
      <c r="G206" t="inlineStr">
        <is>
          <t>BOLLNÄS</t>
        </is>
      </c>
      <c r="H206" t="inlineStr">
        <is>
          <t>Bergvik skog väst AB</t>
        </is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36058-2023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45149</v>
      </c>
      <c r="E207" s="1" t="n">
        <v>46313</v>
      </c>
      <c r="F207" t="inlineStr">
        <is>
          <t>GÄVLEBORGS LÄN</t>
        </is>
      </c>
      <c r="G207" t="inlineStr">
        <is>
          <t>BOLLNÄS</t>
        </is>
      </c>
      <c r="I207" t="n">
        <v>1.5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36061-2023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45149</v>
      </c>
      <c r="E208" s="1" t="n">
        <v>46313</v>
      </c>
      <c r="F208" t="inlineStr">
        <is>
          <t>GÄVLEBORGS LÄN</t>
        </is>
      </c>
      <c r="G208" t="inlineStr">
        <is>
          <t>BOLLNÄS</t>
        </is>
      </c>
      <c r="I208" t="n">
        <v>0.8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28983-2022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44749</v>
      </c>
      <c r="E209" s="1" t="n">
        <v>46313</v>
      </c>
      <c r="F209" t="inlineStr">
        <is>
          <t>GÄVLEBORGS LÄN</t>
        </is>
      </c>
      <c r="G209" t="inlineStr">
        <is>
          <t>BOLLNÄS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9262-2024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45358</v>
      </c>
      <c r="E210" s="1" t="n">
        <v>46313</v>
      </c>
      <c r="F210" t="inlineStr">
        <is>
          <t>GÄVLEBORGS LÄN</t>
        </is>
      </c>
      <c r="G210" t="inlineStr">
        <is>
          <t>BOLLNÄS</t>
        </is>
      </c>
      <c r="I210" t="n">
        <v>1.7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521-2024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45299</v>
      </c>
      <c r="E211" s="1" t="n">
        <v>46313</v>
      </c>
      <c r="F211" t="inlineStr">
        <is>
          <t>GÄVLEBORGS LÄN</t>
        </is>
      </c>
      <c r="G211" t="inlineStr">
        <is>
          <t>BOLLNÄS</t>
        </is>
      </c>
      <c r="I211" t="n">
        <v>4.8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51133-2023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45219</v>
      </c>
      <c r="E212" s="1" t="n">
        <v>46313</v>
      </c>
      <c r="F212" t="inlineStr">
        <is>
          <t>GÄVLEBORGS LÄN</t>
        </is>
      </c>
      <c r="G212" t="inlineStr">
        <is>
          <t>BOLLNÄS</t>
        </is>
      </c>
      <c r="I212" t="n">
        <v>2.5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56024-2024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45624</v>
      </c>
      <c r="E213" s="1" t="n">
        <v>46313</v>
      </c>
      <c r="F213" t="inlineStr">
        <is>
          <t>GÄVLEBORGS LÄN</t>
        </is>
      </c>
      <c r="G213" t="inlineStr">
        <is>
          <t>BOLLNÄS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62685-2023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45271</v>
      </c>
      <c r="E214" s="1" t="n">
        <v>46313</v>
      </c>
      <c r="F214" t="inlineStr">
        <is>
          <t>GÄVLEBORGS LÄN</t>
        </is>
      </c>
      <c r="G214" t="inlineStr">
        <is>
          <t>BOLLNÄS</t>
        </is>
      </c>
      <c r="I214" t="n">
        <v>1.1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60335-2022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44910</v>
      </c>
      <c r="E215" s="1" t="n">
        <v>46313</v>
      </c>
      <c r="F215" t="inlineStr">
        <is>
          <t>GÄVLEBORGS LÄN</t>
        </is>
      </c>
      <c r="G215" t="inlineStr">
        <is>
          <t>BOLLNÄS</t>
        </is>
      </c>
      <c r="I215" t="n">
        <v>0.6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46958-2024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45586</v>
      </c>
      <c r="E216" s="1" t="n">
        <v>46313</v>
      </c>
      <c r="F216" t="inlineStr">
        <is>
          <t>GÄVLEBORGS LÄN</t>
        </is>
      </c>
      <c r="G216" t="inlineStr">
        <is>
          <t>BOLLNÄS</t>
        </is>
      </c>
      <c r="H216" t="inlineStr">
        <is>
          <t>Bergvik skog väst AB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58748-2024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45635</v>
      </c>
      <c r="E217" s="1" t="n">
        <v>46313</v>
      </c>
      <c r="F217" t="inlineStr">
        <is>
          <t>GÄVLEBORGS LÄN</t>
        </is>
      </c>
      <c r="G217" t="inlineStr">
        <is>
          <t>BOLLNÄS</t>
        </is>
      </c>
      <c r="I217" t="n">
        <v>6.5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54949-2022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44886</v>
      </c>
      <c r="E218" s="1" t="n">
        <v>46313</v>
      </c>
      <c r="F218" t="inlineStr">
        <is>
          <t>GÄVLEBORGS LÄN</t>
        </is>
      </c>
      <c r="G218" t="inlineStr">
        <is>
          <t>BOLLNÄS</t>
        </is>
      </c>
      <c r="I218" t="n">
        <v>1.2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54974-2022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44886</v>
      </c>
      <c r="E219" s="1" t="n">
        <v>46313</v>
      </c>
      <c r="F219" t="inlineStr">
        <is>
          <t>GÄVLEBORGS LÄN</t>
        </is>
      </c>
      <c r="G219" t="inlineStr">
        <is>
          <t>BOLLNÄS</t>
        </is>
      </c>
      <c r="I219" t="n">
        <v>0.9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64422-2023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45280</v>
      </c>
      <c r="E220" s="1" t="n">
        <v>46313</v>
      </c>
      <c r="F220" t="inlineStr">
        <is>
          <t>GÄVLEBORGS LÄN</t>
        </is>
      </c>
      <c r="G220" t="inlineStr">
        <is>
          <t>BOLLNÄS</t>
        </is>
      </c>
      <c r="I220" t="n">
        <v>6.2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38251-2025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45883</v>
      </c>
      <c r="E221" s="1" t="n">
        <v>46313</v>
      </c>
      <c r="F221" t="inlineStr">
        <is>
          <t>GÄVLEBORGS LÄN</t>
        </is>
      </c>
      <c r="G221" t="inlineStr">
        <is>
          <t>BOLLNÄS</t>
        </is>
      </c>
      <c r="I221" t="n">
        <v>1.4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53298-2023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45229</v>
      </c>
      <c r="E222" s="1" t="n">
        <v>46313</v>
      </c>
      <c r="F222" t="inlineStr">
        <is>
          <t>GÄVLEBORGS LÄN</t>
        </is>
      </c>
      <c r="G222" t="inlineStr">
        <is>
          <t>BOLLNÄS</t>
        </is>
      </c>
      <c r="I222" t="n">
        <v>0.6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1047-2026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46030</v>
      </c>
      <c r="E223" s="1" t="n">
        <v>46313</v>
      </c>
      <c r="F223" t="inlineStr">
        <is>
          <t>GÄVLEBORGS LÄN</t>
        </is>
      </c>
      <c r="G223" t="inlineStr">
        <is>
          <t>BOLLNÄS</t>
        </is>
      </c>
      <c r="I223" t="n">
        <v>32.1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38252-2025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45883</v>
      </c>
      <c r="E224" s="1" t="n">
        <v>46313</v>
      </c>
      <c r="F224" t="inlineStr">
        <is>
          <t>GÄVLEBORGS LÄN</t>
        </is>
      </c>
      <c r="G224" t="inlineStr">
        <is>
          <t>BOLLNÄS</t>
        </is>
      </c>
      <c r="I224" t="n">
        <v>1.2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7144-2026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46058</v>
      </c>
      <c r="E225" s="1" t="n">
        <v>46313</v>
      </c>
      <c r="F225" t="inlineStr">
        <is>
          <t>GÄVLEBORGS LÄN</t>
        </is>
      </c>
      <c r="G225" t="inlineStr">
        <is>
          <t>BOLLNÄS</t>
        </is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8528-2026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46065</v>
      </c>
      <c r="E226" s="1" t="n">
        <v>46313</v>
      </c>
      <c r="F226" t="inlineStr">
        <is>
          <t>GÄVLEBORGS LÄN</t>
        </is>
      </c>
      <c r="G226" t="inlineStr">
        <is>
          <t>BOLLNÄS</t>
        </is>
      </c>
      <c r="I226" t="n">
        <v>2.5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6257-2026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46055</v>
      </c>
      <c r="E227" s="1" t="n">
        <v>46313</v>
      </c>
      <c r="F227" t="inlineStr">
        <is>
          <t>GÄVLEBORGS LÄN</t>
        </is>
      </c>
      <c r="G227" t="inlineStr">
        <is>
          <t>BOLLNÄS</t>
        </is>
      </c>
      <c r="I227" t="n">
        <v>2.2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4621-2026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46048</v>
      </c>
      <c r="E228" s="1" t="n">
        <v>46313</v>
      </c>
      <c r="F228" t="inlineStr">
        <is>
          <t>GÄVLEBORGS LÄN</t>
        </is>
      </c>
      <c r="G228" t="inlineStr">
        <is>
          <t>BOLLNÄS</t>
        </is>
      </c>
      <c r="I228" t="n">
        <v>6.2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644-2026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46029</v>
      </c>
      <c r="E229" s="1" t="n">
        <v>46313</v>
      </c>
      <c r="F229" t="inlineStr">
        <is>
          <t>GÄVLEBORGS LÄN</t>
        </is>
      </c>
      <c r="G229" t="inlineStr">
        <is>
          <t>BOLLNÄS</t>
        </is>
      </c>
      <c r="I229" t="n">
        <v>24.2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49931-2023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45215</v>
      </c>
      <c r="E230" s="1" t="n">
        <v>46313</v>
      </c>
      <c r="F230" t="inlineStr">
        <is>
          <t>GÄVLEBORGS LÄN</t>
        </is>
      </c>
      <c r="G230" t="inlineStr">
        <is>
          <t>BOLLNÄS</t>
        </is>
      </c>
      <c r="I230" t="n">
        <v>5.1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8560-2026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46065</v>
      </c>
      <c r="E231" s="1" t="n">
        <v>46313</v>
      </c>
      <c r="F231" t="inlineStr">
        <is>
          <t>GÄVLEBORGS LÄN</t>
        </is>
      </c>
      <c r="G231" t="inlineStr">
        <is>
          <t>BOLLNÄS</t>
        </is>
      </c>
      <c r="I231" t="n">
        <v>8.4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4617-2026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46048</v>
      </c>
      <c r="E232" s="1" t="n">
        <v>46313</v>
      </c>
      <c r="F232" t="inlineStr">
        <is>
          <t>GÄVLEBORGS LÄN</t>
        </is>
      </c>
      <c r="G232" t="inlineStr">
        <is>
          <t>BOLLNÄS</t>
        </is>
      </c>
      <c r="I232" t="n">
        <v>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25632-2022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44732</v>
      </c>
      <c r="E233" s="1" t="n">
        <v>46313</v>
      </c>
      <c r="F233" t="inlineStr">
        <is>
          <t>GÄVLEBORGS LÄN</t>
        </is>
      </c>
      <c r="G233" t="inlineStr">
        <is>
          <t>BOLLNÄS</t>
        </is>
      </c>
      <c r="I233" t="n">
        <v>2.5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6025-2026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46052</v>
      </c>
      <c r="E234" s="1" t="n">
        <v>46313</v>
      </c>
      <c r="F234" t="inlineStr">
        <is>
          <t>GÄVLEBORGS LÄN</t>
        </is>
      </c>
      <c r="G234" t="inlineStr">
        <is>
          <t>BOLLNÄS</t>
        </is>
      </c>
      <c r="I234" t="n">
        <v>34.4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28179-2023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45099</v>
      </c>
      <c r="E235" s="1" t="n">
        <v>46313</v>
      </c>
      <c r="F235" t="inlineStr">
        <is>
          <t>GÄVLEBORGS LÄN</t>
        </is>
      </c>
      <c r="G235" t="inlineStr">
        <is>
          <t>BOLLNÄS</t>
        </is>
      </c>
      <c r="I235" t="n">
        <v>1.1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24742-2024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45460</v>
      </c>
      <c r="E236" s="1" t="n">
        <v>46313</v>
      </c>
      <c r="F236" t="inlineStr">
        <is>
          <t>GÄVLEBORGS LÄN</t>
        </is>
      </c>
      <c r="G236" t="inlineStr">
        <is>
          <t>BOLLNÄS</t>
        </is>
      </c>
      <c r="I236" t="n">
        <v>2.2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20252-2026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46139</v>
      </c>
      <c r="E237" s="1" t="n">
        <v>46313</v>
      </c>
      <c r="F237" t="inlineStr">
        <is>
          <t>GÄVLEBORGS LÄN</t>
        </is>
      </c>
      <c r="G237" t="inlineStr">
        <is>
          <t>BOLLNÄS</t>
        </is>
      </c>
      <c r="I237" t="n">
        <v>6.4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7408-2026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46059</v>
      </c>
      <c r="E238" s="1" t="n">
        <v>46313</v>
      </c>
      <c r="F238" t="inlineStr">
        <is>
          <t>GÄVLEBORGS LÄN</t>
        </is>
      </c>
      <c r="G238" t="inlineStr">
        <is>
          <t>BOLLNÄS</t>
        </is>
      </c>
      <c r="I238" t="n">
        <v>10.8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41962-2022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44830</v>
      </c>
      <c r="E239" s="1" t="n">
        <v>46313</v>
      </c>
      <c r="F239" t="inlineStr">
        <is>
          <t>GÄVLEBORGS LÄN</t>
        </is>
      </c>
      <c r="G239" t="inlineStr">
        <is>
          <t>BOLLNÄS</t>
        </is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10447-2026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46077</v>
      </c>
      <c r="E240" s="1" t="n">
        <v>46313</v>
      </c>
      <c r="F240" t="inlineStr">
        <is>
          <t>GÄVLEBORGS LÄN</t>
        </is>
      </c>
      <c r="G240" t="inlineStr">
        <is>
          <t>BOLLNÄS</t>
        </is>
      </c>
      <c r="H240" t="inlineStr">
        <is>
          <t>Bergvik skog väst AB</t>
        </is>
      </c>
      <c r="I240" t="n">
        <v>1.8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5995-2026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46052</v>
      </c>
      <c r="E241" s="1" t="n">
        <v>46313</v>
      </c>
      <c r="F241" t="inlineStr">
        <is>
          <t>GÄVLEBORGS LÄN</t>
        </is>
      </c>
      <c r="G241" t="inlineStr">
        <is>
          <t>BOLLNÄS</t>
        </is>
      </c>
      <c r="I241" t="n">
        <v>2.4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18438-2024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45425</v>
      </c>
      <c r="E242" s="1" t="n">
        <v>46313</v>
      </c>
      <c r="F242" t="inlineStr">
        <is>
          <t>GÄVLEBORGS LÄN</t>
        </is>
      </c>
      <c r="G242" t="inlineStr">
        <is>
          <t>BOLLNÄS</t>
        </is>
      </c>
      <c r="I242" t="n">
        <v>0.7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20026-2026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46136</v>
      </c>
      <c r="E243" s="1" t="n">
        <v>46313</v>
      </c>
      <c r="F243" t="inlineStr">
        <is>
          <t>GÄVLEBORGS LÄN</t>
        </is>
      </c>
      <c r="G243" t="inlineStr">
        <is>
          <t>BOLLNÄS</t>
        </is>
      </c>
      <c r="I243" t="n">
        <v>1.7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34613-2024</t>
        </is>
      </c>
      <c r="B244" t="inlineStr">
        <is>
          <t>avverkningsanmälan</t>
        </is>
      </c>
      <c r="C244" t="inlineStr">
        <is>
          <t>Avverkning för annat ändamål</t>
        </is>
      </c>
      <c r="D244" s="1" t="n">
        <v>45526</v>
      </c>
      <c r="E244" s="1" t="n">
        <v>46313</v>
      </c>
      <c r="F244" t="inlineStr">
        <is>
          <t>GÄVLEBORGS LÄN</t>
        </is>
      </c>
      <c r="G244" t="inlineStr">
        <is>
          <t>BOLLNÄS</t>
        </is>
      </c>
      <c r="H244" t="inlineStr">
        <is>
          <t>Sveaskog</t>
        </is>
      </c>
      <c r="I244" t="n">
        <v>0.4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20247-2026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46139</v>
      </c>
      <c r="E245" s="1" t="n">
        <v>46313</v>
      </c>
      <c r="F245" t="inlineStr">
        <is>
          <t>GÄVLEBORGS LÄN</t>
        </is>
      </c>
      <c r="G245" t="inlineStr">
        <is>
          <t>BOLLNÄS</t>
        </is>
      </c>
      <c r="H245" t="inlineStr">
        <is>
          <t>Bergvik skog väst AB</t>
        </is>
      </c>
      <c r="I245" t="n">
        <v>5.3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63877-2025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46020</v>
      </c>
      <c r="E246" s="1" t="n">
        <v>46313</v>
      </c>
      <c r="F246" t="inlineStr">
        <is>
          <t>GÄVLEBORGS LÄN</t>
        </is>
      </c>
      <c r="G246" t="inlineStr">
        <is>
          <t>BOLLNÄS</t>
        </is>
      </c>
      <c r="I246" t="n">
        <v>8.800000000000001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12595-2026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46090</v>
      </c>
      <c r="E247" s="1" t="n">
        <v>46313</v>
      </c>
      <c r="F247" t="inlineStr">
        <is>
          <t>GÄVLEBORGS LÄN</t>
        </is>
      </c>
      <c r="G247" t="inlineStr">
        <is>
          <t>BOLLNÄS</t>
        </is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51259-2023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45219</v>
      </c>
      <c r="E248" s="1" t="n">
        <v>46313</v>
      </c>
      <c r="F248" t="inlineStr">
        <is>
          <t>GÄVLEBORGS LÄN</t>
        </is>
      </c>
      <c r="G248" t="inlineStr">
        <is>
          <t>BOLLNÄS</t>
        </is>
      </c>
      <c r="I248" t="n">
        <v>0.4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51261-2023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45219</v>
      </c>
      <c r="E249" s="1" t="n">
        <v>46313</v>
      </c>
      <c r="F249" t="inlineStr">
        <is>
          <t>GÄVLEBORGS LÄN</t>
        </is>
      </c>
      <c r="G249" t="inlineStr">
        <is>
          <t>BOLLNÄS</t>
        </is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4291-2026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46045</v>
      </c>
      <c r="E250" s="1" t="n">
        <v>46313</v>
      </c>
      <c r="F250" t="inlineStr">
        <is>
          <t>GÄVLEBORGS LÄN</t>
        </is>
      </c>
      <c r="G250" t="inlineStr">
        <is>
          <t>BOLLNÄS</t>
        </is>
      </c>
      <c r="I250" t="n">
        <v>14.4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38563-2025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45884</v>
      </c>
      <c r="E251" s="1" t="n">
        <v>46313</v>
      </c>
      <c r="F251" t="inlineStr">
        <is>
          <t>GÄVLEBORGS LÄN</t>
        </is>
      </c>
      <c r="G251" t="inlineStr">
        <is>
          <t>BOLLNÄS</t>
        </is>
      </c>
      <c r="H251" t="inlineStr">
        <is>
          <t>Kyrkan</t>
        </is>
      </c>
      <c r="I251" t="n">
        <v>8.6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20177-2026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46139</v>
      </c>
      <c r="E252" s="1" t="n">
        <v>46313</v>
      </c>
      <c r="F252" t="inlineStr">
        <is>
          <t>GÄVLEBORGS LÄN</t>
        </is>
      </c>
      <c r="G252" t="inlineStr">
        <is>
          <t>BOLLNÄS</t>
        </is>
      </c>
      <c r="I252" t="n">
        <v>2.5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50066-2022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44865</v>
      </c>
      <c r="E253" s="1" t="n">
        <v>46313</v>
      </c>
      <c r="F253" t="inlineStr">
        <is>
          <t>GÄVLEBORGS LÄN</t>
        </is>
      </c>
      <c r="G253" t="inlineStr">
        <is>
          <t>BOLLNÄS</t>
        </is>
      </c>
      <c r="I253" t="n">
        <v>0.8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20024-2026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46136</v>
      </c>
      <c r="E254" s="1" t="n">
        <v>46313</v>
      </c>
      <c r="F254" t="inlineStr">
        <is>
          <t>GÄVLEBORGS LÄN</t>
        </is>
      </c>
      <c r="G254" t="inlineStr">
        <is>
          <t>BOLLNÄS</t>
        </is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28477-2025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45819</v>
      </c>
      <c r="E255" s="1" t="n">
        <v>46313</v>
      </c>
      <c r="F255" t="inlineStr">
        <is>
          <t>GÄVLEBORGS LÄN</t>
        </is>
      </c>
      <c r="G255" t="inlineStr">
        <is>
          <t>BOLLNÄS</t>
        </is>
      </c>
      <c r="H255" t="inlineStr">
        <is>
          <t>Bergvik skog väst AB</t>
        </is>
      </c>
      <c r="I255" t="n">
        <v>1.9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20285-2026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46139</v>
      </c>
      <c r="E256" s="1" t="n">
        <v>46313</v>
      </c>
      <c r="F256" t="inlineStr">
        <is>
          <t>GÄVLEBORGS LÄN</t>
        </is>
      </c>
      <c r="G256" t="inlineStr">
        <is>
          <t>BOLLNÄS</t>
        </is>
      </c>
      <c r="I256" t="n">
        <v>2.1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20287-2026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46139</v>
      </c>
      <c r="E257" s="1" t="n">
        <v>46313</v>
      </c>
      <c r="F257" t="inlineStr">
        <is>
          <t>GÄVLEBORGS LÄN</t>
        </is>
      </c>
      <c r="G257" t="inlineStr">
        <is>
          <t>BOLLNÄS</t>
        </is>
      </c>
      <c r="I257" t="n">
        <v>6.9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6251-2026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46055</v>
      </c>
      <c r="E258" s="1" t="n">
        <v>46313</v>
      </c>
      <c r="F258" t="inlineStr">
        <is>
          <t>GÄVLEBORGS LÄN</t>
        </is>
      </c>
      <c r="G258" t="inlineStr">
        <is>
          <t>BOLLNÄS</t>
        </is>
      </c>
      <c r="I258" t="n">
        <v>2.9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20030-2026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46136</v>
      </c>
      <c r="E259" s="1" t="n">
        <v>46313</v>
      </c>
      <c r="F259" t="inlineStr">
        <is>
          <t>GÄVLEBORGS LÄN</t>
        </is>
      </c>
      <c r="G259" t="inlineStr">
        <is>
          <t>BOLLNÄS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12342-2026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46087</v>
      </c>
      <c r="E260" s="1" t="n">
        <v>46313</v>
      </c>
      <c r="F260" t="inlineStr">
        <is>
          <t>GÄVLEBORGS LÄN</t>
        </is>
      </c>
      <c r="G260" t="inlineStr">
        <is>
          <t>BOLLNÄS</t>
        </is>
      </c>
      <c r="H260" t="inlineStr">
        <is>
          <t>Kyrkan</t>
        </is>
      </c>
      <c r="I260" t="n">
        <v>2.5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20028-2026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46136</v>
      </c>
      <c r="E261" s="1" t="n">
        <v>46313</v>
      </c>
      <c r="F261" t="inlineStr">
        <is>
          <t>GÄVLEBORGS LÄN</t>
        </is>
      </c>
      <c r="G261" t="inlineStr">
        <is>
          <t>BOLLNÄS</t>
        </is>
      </c>
      <c r="I261" t="n">
        <v>0.5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6430-2026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46055</v>
      </c>
      <c r="E262" s="1" t="n">
        <v>46313</v>
      </c>
      <c r="F262" t="inlineStr">
        <is>
          <t>GÄVLEBORGS LÄN</t>
        </is>
      </c>
      <c r="G262" t="inlineStr">
        <is>
          <t>BOLLNÄS</t>
        </is>
      </c>
      <c r="H262" t="inlineStr">
        <is>
          <t>Kyrkan</t>
        </is>
      </c>
      <c r="I262" t="n">
        <v>8.6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840-2026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46030</v>
      </c>
      <c r="E263" s="1" t="n">
        <v>46313</v>
      </c>
      <c r="F263" t="inlineStr">
        <is>
          <t>GÄVLEBORGS LÄN</t>
        </is>
      </c>
      <c r="G263" t="inlineStr">
        <is>
          <t>BOLLNÄS</t>
        </is>
      </c>
      <c r="I263" t="n">
        <v>1.2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11335-2026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46082</v>
      </c>
      <c r="E264" s="1" t="n">
        <v>46313</v>
      </c>
      <c r="F264" t="inlineStr">
        <is>
          <t>GÄVLEBORGS LÄN</t>
        </is>
      </c>
      <c r="G264" t="inlineStr">
        <is>
          <t>BOLLNÄS</t>
        </is>
      </c>
      <c r="I264" t="n">
        <v>2.3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20042-2026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46136</v>
      </c>
      <c r="E265" s="1" t="n">
        <v>46313</v>
      </c>
      <c r="F265" t="inlineStr">
        <is>
          <t>GÄVLEBORGS LÄN</t>
        </is>
      </c>
      <c r="G265" t="inlineStr">
        <is>
          <t>BOLLNÄS</t>
        </is>
      </c>
      <c r="H265" t="inlineStr">
        <is>
          <t>Bergvik skog väst AB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65403-2021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44515</v>
      </c>
      <c r="E266" s="1" t="n">
        <v>46313</v>
      </c>
      <c r="F266" t="inlineStr">
        <is>
          <t>GÄVLEBORGS LÄN</t>
        </is>
      </c>
      <c r="G266" t="inlineStr">
        <is>
          <t>BOLLNÄS</t>
        </is>
      </c>
      <c r="H266" t="inlineStr">
        <is>
          <t>Bergvik skog väst AB</t>
        </is>
      </c>
      <c r="I266" t="n">
        <v>1.5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16628-2026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46112</v>
      </c>
      <c r="E267" s="1" t="n">
        <v>46313</v>
      </c>
      <c r="F267" t="inlineStr">
        <is>
          <t>GÄVLEBORGS LÄN</t>
        </is>
      </c>
      <c r="G267" t="inlineStr">
        <is>
          <t>BOLLNÄS</t>
        </is>
      </c>
      <c r="H267" t="inlineStr">
        <is>
          <t>Bergvik skog väst AB</t>
        </is>
      </c>
      <c r="I267" t="n">
        <v>0.7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51867-2022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44872</v>
      </c>
      <c r="E268" s="1" t="n">
        <v>46313</v>
      </c>
      <c r="F268" t="inlineStr">
        <is>
          <t>GÄVLEBORGS LÄN</t>
        </is>
      </c>
      <c r="G268" t="inlineStr">
        <is>
          <t>BOLLNÄS</t>
        </is>
      </c>
      <c r="I268" t="n">
        <v>1.6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16660-2026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46112</v>
      </c>
      <c r="E269" s="1" t="n">
        <v>46313</v>
      </c>
      <c r="F269" t="inlineStr">
        <is>
          <t>GÄVLEBORGS LÄN</t>
        </is>
      </c>
      <c r="G269" t="inlineStr">
        <is>
          <t>BOLLNÄS</t>
        </is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3908-2026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46043</v>
      </c>
      <c r="E270" s="1" t="n">
        <v>46313</v>
      </c>
      <c r="F270" t="inlineStr">
        <is>
          <t>GÄVLEBORGS LÄN</t>
        </is>
      </c>
      <c r="G270" t="inlineStr">
        <is>
          <t>BOLLNÄS</t>
        </is>
      </c>
      <c r="I270" t="n">
        <v>2.1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252-2026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46027</v>
      </c>
      <c r="E271" s="1" t="n">
        <v>46313</v>
      </c>
      <c r="F271" t="inlineStr">
        <is>
          <t>GÄVLEBORGS LÄN</t>
        </is>
      </c>
      <c r="G271" t="inlineStr">
        <is>
          <t>BOLLNÄS</t>
        </is>
      </c>
      <c r="I271" t="n">
        <v>1.3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1172-2026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46031</v>
      </c>
      <c r="E272" s="1" t="n">
        <v>46313</v>
      </c>
      <c r="F272" t="inlineStr">
        <is>
          <t>GÄVLEBORGS LÄN</t>
        </is>
      </c>
      <c r="G272" t="inlineStr">
        <is>
          <t>BOLLNÄS</t>
        </is>
      </c>
      <c r="I272" t="n">
        <v>1.5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14256-2026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46099</v>
      </c>
      <c r="E273" s="1" t="n">
        <v>46313</v>
      </c>
      <c r="F273" t="inlineStr">
        <is>
          <t>GÄVLEBORGS LÄN</t>
        </is>
      </c>
      <c r="G273" t="inlineStr">
        <is>
          <t>BOLLNÄS</t>
        </is>
      </c>
      <c r="I273" t="n">
        <v>5.3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5999-2026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46052</v>
      </c>
      <c r="E274" s="1" t="n">
        <v>46313</v>
      </c>
      <c r="F274" t="inlineStr">
        <is>
          <t>GÄVLEBORGS LÄN</t>
        </is>
      </c>
      <c r="G274" t="inlineStr">
        <is>
          <t>BOLLNÄS</t>
        </is>
      </c>
      <c r="I274" t="n">
        <v>2.6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11656-2026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46084</v>
      </c>
      <c r="E275" s="1" t="n">
        <v>46313</v>
      </c>
      <c r="F275" t="inlineStr">
        <is>
          <t>GÄVLEBORGS LÄN</t>
        </is>
      </c>
      <c r="G275" t="inlineStr">
        <is>
          <t>BOLLNÄS</t>
        </is>
      </c>
      <c r="I275" t="n">
        <v>7.1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20227-2026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46139</v>
      </c>
      <c r="E276" s="1" t="n">
        <v>46313</v>
      </c>
      <c r="F276" t="inlineStr">
        <is>
          <t>GÄVLEBORGS LÄN</t>
        </is>
      </c>
      <c r="G276" t="inlineStr">
        <is>
          <t>BOLLNÄS</t>
        </is>
      </c>
      <c r="H276" t="inlineStr">
        <is>
          <t>Bergvik skog öst AB</t>
        </is>
      </c>
      <c r="I276" t="n">
        <v>2.2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19921-2026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46136</v>
      </c>
      <c r="E277" s="1" t="n">
        <v>46313</v>
      </c>
      <c r="F277" t="inlineStr">
        <is>
          <t>GÄVLEBORGS LÄN</t>
        </is>
      </c>
      <c r="G277" t="inlineStr">
        <is>
          <t>BOLLNÄS</t>
        </is>
      </c>
      <c r="H277" t="inlineStr">
        <is>
          <t>Bergvik skog öst AB</t>
        </is>
      </c>
      <c r="I277" t="n">
        <v>7.4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3322-2026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46041</v>
      </c>
      <c r="E278" s="1" t="n">
        <v>46313</v>
      </c>
      <c r="F278" t="inlineStr">
        <is>
          <t>GÄVLEBORGS LÄN</t>
        </is>
      </c>
      <c r="G278" t="inlineStr">
        <is>
          <t>BOLLNÄS</t>
        </is>
      </c>
      <c r="I278" t="n">
        <v>1.1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13807-2026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46098</v>
      </c>
      <c r="E279" s="1" t="n">
        <v>46313</v>
      </c>
      <c r="F279" t="inlineStr">
        <is>
          <t>GÄVLEBORGS LÄN</t>
        </is>
      </c>
      <c r="G279" t="inlineStr">
        <is>
          <t>BOLLNÄS</t>
        </is>
      </c>
      <c r="I279" t="n">
        <v>4.4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16564-2026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46112</v>
      </c>
      <c r="E280" s="1" t="n">
        <v>46313</v>
      </c>
      <c r="F280" t="inlineStr">
        <is>
          <t>GÄVLEBORGS LÄN</t>
        </is>
      </c>
      <c r="G280" t="inlineStr">
        <is>
          <t>BOLLNÄS</t>
        </is>
      </c>
      <c r="I280" t="n">
        <v>3.7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10198-2026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46076</v>
      </c>
      <c r="E281" s="1" t="n">
        <v>46313</v>
      </c>
      <c r="F281" t="inlineStr">
        <is>
          <t>GÄVLEBORGS LÄN</t>
        </is>
      </c>
      <c r="G281" t="inlineStr">
        <is>
          <t>BOLLNÄS</t>
        </is>
      </c>
      <c r="I281" t="n">
        <v>15.9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11989-2026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46085</v>
      </c>
      <c r="E282" s="1" t="n">
        <v>46313</v>
      </c>
      <c r="F282" t="inlineStr">
        <is>
          <t>GÄVLEBORGS LÄN</t>
        </is>
      </c>
      <c r="G282" t="inlineStr">
        <is>
          <t>BOLLNÄS</t>
        </is>
      </c>
      <c r="I282" t="n">
        <v>1.9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8906-2026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46069</v>
      </c>
      <c r="E283" s="1" t="n">
        <v>46313</v>
      </c>
      <c r="F283" t="inlineStr">
        <is>
          <t>GÄVLEBORGS LÄN</t>
        </is>
      </c>
      <c r="G283" t="inlineStr">
        <is>
          <t>BOLLNÄS</t>
        </is>
      </c>
      <c r="I283" t="n">
        <v>9.300000000000001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5147-2026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46049</v>
      </c>
      <c r="E284" s="1" t="n">
        <v>46313</v>
      </c>
      <c r="F284" t="inlineStr">
        <is>
          <t>GÄVLEBORGS LÄN</t>
        </is>
      </c>
      <c r="G284" t="inlineStr">
        <is>
          <t>BOLLNÄS</t>
        </is>
      </c>
      <c r="I284" t="n">
        <v>1.3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255-2026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46027</v>
      </c>
      <c r="E285" s="1" t="n">
        <v>46313</v>
      </c>
      <c r="F285" t="inlineStr">
        <is>
          <t>GÄVLEBORGS LÄN</t>
        </is>
      </c>
      <c r="G285" t="inlineStr">
        <is>
          <t>BOLLNÄS</t>
        </is>
      </c>
      <c r="I285" t="n">
        <v>1.5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20154-2026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46138</v>
      </c>
      <c r="E286" s="1" t="n">
        <v>46313</v>
      </c>
      <c r="F286" t="inlineStr">
        <is>
          <t>GÄVLEBORGS LÄN</t>
        </is>
      </c>
      <c r="G286" t="inlineStr">
        <is>
          <t>BOLLNÄS</t>
        </is>
      </c>
      <c r="H286" t="inlineStr">
        <is>
          <t>Bergvik skog väst AB</t>
        </is>
      </c>
      <c r="I286" t="n">
        <v>1.5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20263-2026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46139</v>
      </c>
      <c r="E287" s="1" t="n">
        <v>46313</v>
      </c>
      <c r="F287" t="inlineStr">
        <is>
          <t>GÄVLEBORGS LÄN</t>
        </is>
      </c>
      <c r="G287" t="inlineStr">
        <is>
          <t>BOLLNÄS</t>
        </is>
      </c>
      <c r="I287" t="n">
        <v>0.9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40653-2023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45169</v>
      </c>
      <c r="E288" s="1" t="n">
        <v>46313</v>
      </c>
      <c r="F288" t="inlineStr">
        <is>
          <t>GÄVLEBORGS LÄN</t>
        </is>
      </c>
      <c r="G288" t="inlineStr">
        <is>
          <t>BOLLNÄS</t>
        </is>
      </c>
      <c r="I288" t="n">
        <v>3.5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3451-2026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46042</v>
      </c>
      <c r="E289" s="1" t="n">
        <v>46313</v>
      </c>
      <c r="F289" t="inlineStr">
        <is>
          <t>GÄVLEBORGS LÄN</t>
        </is>
      </c>
      <c r="G289" t="inlineStr">
        <is>
          <t>BOLLNÄS</t>
        </is>
      </c>
      <c r="I289" t="n">
        <v>1.1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2404-2026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46036</v>
      </c>
      <c r="E290" s="1" t="n">
        <v>46313</v>
      </c>
      <c r="F290" t="inlineStr">
        <is>
          <t>GÄVLEBORGS LÄN</t>
        </is>
      </c>
      <c r="G290" t="inlineStr">
        <is>
          <t>BOLLNÄS</t>
        </is>
      </c>
      <c r="I290" t="n">
        <v>3.4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2064-2026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46035</v>
      </c>
      <c r="E291" s="1" t="n">
        <v>46313</v>
      </c>
      <c r="F291" t="inlineStr">
        <is>
          <t>GÄVLEBORGS LÄN</t>
        </is>
      </c>
      <c r="G291" t="inlineStr">
        <is>
          <t>BOLLNÄS</t>
        </is>
      </c>
      <c r="H291" t="inlineStr">
        <is>
          <t>Bergvik skog väst AB</t>
        </is>
      </c>
      <c r="I291" t="n">
        <v>22.7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71678-2021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44543</v>
      </c>
      <c r="E292" s="1" t="n">
        <v>46313</v>
      </c>
      <c r="F292" t="inlineStr">
        <is>
          <t>GÄVLEBORGS LÄN</t>
        </is>
      </c>
      <c r="G292" t="inlineStr">
        <is>
          <t>BOLLNÄS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8916-2026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46069</v>
      </c>
      <c r="E293" s="1" t="n">
        <v>46313</v>
      </c>
      <c r="F293" t="inlineStr">
        <is>
          <t>GÄVLEBORGS LÄN</t>
        </is>
      </c>
      <c r="G293" t="inlineStr">
        <is>
          <t>BOLLNÄS</t>
        </is>
      </c>
      <c r="I293" t="n">
        <v>3.4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39165-2025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45888</v>
      </c>
      <c r="E294" s="1" t="n">
        <v>46313</v>
      </c>
      <c r="F294" t="inlineStr">
        <is>
          <t>GÄVLEBORGS LÄN</t>
        </is>
      </c>
      <c r="G294" t="inlineStr">
        <is>
          <t>BOLLNÄS</t>
        </is>
      </c>
      <c r="I294" t="n">
        <v>6.5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29773-2023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45107</v>
      </c>
      <c r="E295" s="1" t="n">
        <v>46313</v>
      </c>
      <c r="F295" t="inlineStr">
        <is>
          <t>GÄVLEBORGS LÄN</t>
        </is>
      </c>
      <c r="G295" t="inlineStr">
        <is>
          <t>BOLLNÄS</t>
        </is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29777-2025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45825</v>
      </c>
      <c r="E296" s="1" t="n">
        <v>46313</v>
      </c>
      <c r="F296" t="inlineStr">
        <is>
          <t>GÄVLEBORGS LÄN</t>
        </is>
      </c>
      <c r="G296" t="inlineStr">
        <is>
          <t>BOLLNÄS</t>
        </is>
      </c>
      <c r="I296" t="n">
        <v>2.7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20219-2026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46139</v>
      </c>
      <c r="E297" s="1" t="n">
        <v>46313</v>
      </c>
      <c r="F297" t="inlineStr">
        <is>
          <t>GÄVLEBORGS LÄN</t>
        </is>
      </c>
      <c r="G297" t="inlineStr">
        <is>
          <t>BOLLNÄS</t>
        </is>
      </c>
      <c r="H297" t="inlineStr">
        <is>
          <t>Bergvik skog öst AB</t>
        </is>
      </c>
      <c r="I297" t="n">
        <v>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20283-2026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46139</v>
      </c>
      <c r="E298" s="1" t="n">
        <v>46313</v>
      </c>
      <c r="F298" t="inlineStr">
        <is>
          <t>GÄVLEBORGS LÄN</t>
        </is>
      </c>
      <c r="G298" t="inlineStr">
        <is>
          <t>BOLLNÄS</t>
        </is>
      </c>
      <c r="I298" t="n">
        <v>1.2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20292-2026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46139</v>
      </c>
      <c r="E299" s="1" t="n">
        <v>46313</v>
      </c>
      <c r="F299" t="inlineStr">
        <is>
          <t>GÄVLEBORGS LÄN</t>
        </is>
      </c>
      <c r="G299" t="inlineStr">
        <is>
          <t>BOLLNÄS</t>
        </is>
      </c>
      <c r="I299" t="n">
        <v>5.5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47701-2023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45203</v>
      </c>
      <c r="E300" s="1" t="n">
        <v>46313</v>
      </c>
      <c r="F300" t="inlineStr">
        <is>
          <t>GÄVLEBORGS LÄN</t>
        </is>
      </c>
      <c r="G300" t="inlineStr">
        <is>
          <t>BOLLNÄS</t>
        </is>
      </c>
      <c r="I300" t="n">
        <v>1.7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23930-2025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45795</v>
      </c>
      <c r="E301" s="1" t="n">
        <v>46313</v>
      </c>
      <c r="F301" t="inlineStr">
        <is>
          <t>GÄVLEBORGS LÄN</t>
        </is>
      </c>
      <c r="G301" t="inlineStr">
        <is>
          <t>BOLLNÄS</t>
        </is>
      </c>
      <c r="I301" t="n">
        <v>7.9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33086-2022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44785</v>
      </c>
      <c r="E302" s="1" t="n">
        <v>46313</v>
      </c>
      <c r="F302" t="inlineStr">
        <is>
          <t>GÄVLEBORGS LÄN</t>
        </is>
      </c>
      <c r="G302" t="inlineStr">
        <is>
          <t>BOLLNÄS</t>
        </is>
      </c>
      <c r="I302" t="n">
        <v>0.9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9474-2022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44616</v>
      </c>
      <c r="E303" s="1" t="n">
        <v>46313</v>
      </c>
      <c r="F303" t="inlineStr">
        <is>
          <t>GÄVLEBORGS LÄN</t>
        </is>
      </c>
      <c r="G303" t="inlineStr">
        <is>
          <t>BOLLNÄS</t>
        </is>
      </c>
      <c r="I303" t="n">
        <v>0.8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20180-2026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46139</v>
      </c>
      <c r="E304" s="1" t="n">
        <v>46313</v>
      </c>
      <c r="F304" t="inlineStr">
        <is>
          <t>GÄVLEBORGS LÄN</t>
        </is>
      </c>
      <c r="G304" t="inlineStr">
        <is>
          <t>BOLLNÄS</t>
        </is>
      </c>
      <c r="I304" t="n">
        <v>0.4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20236-2026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46139</v>
      </c>
      <c r="E305" s="1" t="n">
        <v>46313</v>
      </c>
      <c r="F305" t="inlineStr">
        <is>
          <t>GÄVLEBORGS LÄN</t>
        </is>
      </c>
      <c r="G305" t="inlineStr">
        <is>
          <t>BOLLNÄS</t>
        </is>
      </c>
      <c r="I305" t="n">
        <v>1.4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37983-2025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45881</v>
      </c>
      <c r="E306" s="1" t="n">
        <v>46313</v>
      </c>
      <c r="F306" t="inlineStr">
        <is>
          <t>GÄVLEBORGS LÄN</t>
        </is>
      </c>
      <c r="G306" t="inlineStr">
        <is>
          <t>BOLLNÄS</t>
        </is>
      </c>
      <c r="I306" t="n">
        <v>7.5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7576-2026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46061</v>
      </c>
      <c r="E307" s="1" t="n">
        <v>46313</v>
      </c>
      <c r="F307" t="inlineStr">
        <is>
          <t>GÄVLEBORGS LÄN</t>
        </is>
      </c>
      <c r="G307" t="inlineStr">
        <is>
          <t>BOLLNÄS</t>
        </is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2643-2026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46037</v>
      </c>
      <c r="E308" s="1" t="n">
        <v>46313</v>
      </c>
      <c r="F308" t="inlineStr">
        <is>
          <t>GÄVLEBORGS LÄN</t>
        </is>
      </c>
      <c r="G308" t="inlineStr">
        <is>
          <t>BOLLNÄS</t>
        </is>
      </c>
      <c r="I308" t="n">
        <v>4.2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8008-2026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46063</v>
      </c>
      <c r="E309" s="1" t="n">
        <v>46313</v>
      </c>
      <c r="F309" t="inlineStr">
        <is>
          <t>GÄVLEBORGS LÄN</t>
        </is>
      </c>
      <c r="G309" t="inlineStr">
        <is>
          <t>BOLLNÄS</t>
        </is>
      </c>
      <c r="I309" t="n">
        <v>14.6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8902-2026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46068</v>
      </c>
      <c r="E310" s="1" t="n">
        <v>46313</v>
      </c>
      <c r="F310" t="inlineStr">
        <is>
          <t>GÄVLEBORGS LÄN</t>
        </is>
      </c>
      <c r="G310" t="inlineStr">
        <is>
          <t>BOLLNÄS</t>
        </is>
      </c>
      <c r="I310" t="n">
        <v>3.6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39886-2025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45891</v>
      </c>
      <c r="E311" s="1" t="n">
        <v>46313</v>
      </c>
      <c r="F311" t="inlineStr">
        <is>
          <t>GÄVLEBORGS LÄN</t>
        </is>
      </c>
      <c r="G311" t="inlineStr">
        <is>
          <t>BOLLNÄS</t>
        </is>
      </c>
      <c r="I311" t="n">
        <v>2.8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39897-2025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45891</v>
      </c>
      <c r="E312" s="1" t="n">
        <v>46313</v>
      </c>
      <c r="F312" t="inlineStr">
        <is>
          <t>GÄVLEBORGS LÄN</t>
        </is>
      </c>
      <c r="G312" t="inlineStr">
        <is>
          <t>BOLLNÄS</t>
        </is>
      </c>
      <c r="I312" t="n">
        <v>0.8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7015-2025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45701</v>
      </c>
      <c r="E313" s="1" t="n">
        <v>46313</v>
      </c>
      <c r="F313" t="inlineStr">
        <is>
          <t>GÄVLEBORGS LÄN</t>
        </is>
      </c>
      <c r="G313" t="inlineStr">
        <is>
          <t>BOLLNÄS</t>
        </is>
      </c>
      <c r="I313" t="n">
        <v>3.2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40333-2025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45895</v>
      </c>
      <c r="E314" s="1" t="n">
        <v>46313</v>
      </c>
      <c r="F314" t="inlineStr">
        <is>
          <t>GÄVLEBORGS LÄN</t>
        </is>
      </c>
      <c r="G314" t="inlineStr">
        <is>
          <t>BOLLNÄS</t>
        </is>
      </c>
      <c r="I314" t="n">
        <v>6.3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40161-2025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45894</v>
      </c>
      <c r="E315" s="1" t="n">
        <v>46313</v>
      </c>
      <c r="F315" t="inlineStr">
        <is>
          <t>GÄVLEBORGS LÄN</t>
        </is>
      </c>
      <c r="G315" t="inlineStr">
        <is>
          <t>BOLLNÄS</t>
        </is>
      </c>
      <c r="I315" t="n">
        <v>0.5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42233-2023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45180</v>
      </c>
      <c r="E316" s="1" t="n">
        <v>46313</v>
      </c>
      <c r="F316" t="inlineStr">
        <is>
          <t>GÄVLEBORGS LÄN</t>
        </is>
      </c>
      <c r="G316" t="inlineStr">
        <is>
          <t>BOLLNÄS</t>
        </is>
      </c>
      <c r="I316" t="n">
        <v>2.1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40159-2025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45894</v>
      </c>
      <c r="E317" s="1" t="n">
        <v>46313</v>
      </c>
      <c r="F317" t="inlineStr">
        <is>
          <t>GÄVLEBORGS LÄN</t>
        </is>
      </c>
      <c r="G317" t="inlineStr">
        <is>
          <t>BOLLNÄS</t>
        </is>
      </c>
      <c r="I317" t="n">
        <v>0.8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3630-2025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45681</v>
      </c>
      <c r="E318" s="1" t="n">
        <v>46313</v>
      </c>
      <c r="F318" t="inlineStr">
        <is>
          <t>GÄVLEBORGS LÄN</t>
        </is>
      </c>
      <c r="G318" t="inlineStr">
        <is>
          <t>BOLLNÄS</t>
        </is>
      </c>
      <c r="I318" t="n">
        <v>1.1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20189-2026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46139</v>
      </c>
      <c r="E319" s="1" t="n">
        <v>46313</v>
      </c>
      <c r="F319" t="inlineStr">
        <is>
          <t>GÄVLEBORGS LÄN</t>
        </is>
      </c>
      <c r="G319" t="inlineStr">
        <is>
          <t>BOLLNÄS</t>
        </is>
      </c>
      <c r="I319" t="n">
        <v>11.7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40927-2025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45897</v>
      </c>
      <c r="E320" s="1" t="n">
        <v>46313</v>
      </c>
      <c r="F320" t="inlineStr">
        <is>
          <t>GÄVLEBORGS LÄN</t>
        </is>
      </c>
      <c r="G320" t="inlineStr">
        <is>
          <t>BOLLNÄS</t>
        </is>
      </c>
      <c r="I320" t="n">
        <v>0.7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20268-2026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46139</v>
      </c>
      <c r="E321" s="1" t="n">
        <v>46313</v>
      </c>
      <c r="F321" t="inlineStr">
        <is>
          <t>GÄVLEBORGS LÄN</t>
        </is>
      </c>
      <c r="G321" t="inlineStr">
        <is>
          <t>BOLLNÄS</t>
        </is>
      </c>
      <c r="H321" t="inlineStr">
        <is>
          <t>Kyrkan</t>
        </is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20271-2026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46139</v>
      </c>
      <c r="E322" s="1" t="n">
        <v>46313</v>
      </c>
      <c r="F322" t="inlineStr">
        <is>
          <t>GÄVLEBORGS LÄN</t>
        </is>
      </c>
      <c r="G322" t="inlineStr">
        <is>
          <t>BOLLNÄS</t>
        </is>
      </c>
      <c r="H322" t="inlineStr">
        <is>
          <t>Kyrkan</t>
        </is>
      </c>
      <c r="I322" t="n">
        <v>1.4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40777-2025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45897</v>
      </c>
      <c r="E323" s="1" t="n">
        <v>46313</v>
      </c>
      <c r="F323" t="inlineStr">
        <is>
          <t>GÄVLEBORGS LÄN</t>
        </is>
      </c>
      <c r="G323" t="inlineStr">
        <is>
          <t>BOLLNÄS</t>
        </is>
      </c>
      <c r="I323" t="n">
        <v>2.5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5577-2026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46051</v>
      </c>
      <c r="E324" s="1" t="n">
        <v>46313</v>
      </c>
      <c r="F324" t="inlineStr">
        <is>
          <t>GÄVLEBORGS LÄN</t>
        </is>
      </c>
      <c r="G324" t="inlineStr">
        <is>
          <t>BOLLNÄS</t>
        </is>
      </c>
      <c r="I324" t="n">
        <v>3.9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60491-2023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45258</v>
      </c>
      <c r="E325" s="1" t="n">
        <v>46313</v>
      </c>
      <c r="F325" t="inlineStr">
        <is>
          <t>GÄVLEBORGS LÄN</t>
        </is>
      </c>
      <c r="G325" t="inlineStr">
        <is>
          <t>BOLLNÄS</t>
        </is>
      </c>
      <c r="I325" t="n">
        <v>3.5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8594-2026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46065</v>
      </c>
      <c r="E326" s="1" t="n">
        <v>46313</v>
      </c>
      <c r="F326" t="inlineStr">
        <is>
          <t>GÄVLEBORGS LÄN</t>
        </is>
      </c>
      <c r="G326" t="inlineStr">
        <is>
          <t>BOLLNÄS</t>
        </is>
      </c>
      <c r="I326" t="n">
        <v>17.2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9667-2026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46072</v>
      </c>
      <c r="E327" s="1" t="n">
        <v>46313</v>
      </c>
      <c r="F327" t="inlineStr">
        <is>
          <t>GÄVLEBORGS LÄN</t>
        </is>
      </c>
      <c r="G327" t="inlineStr">
        <is>
          <t>BOLLNÄS</t>
        </is>
      </c>
      <c r="I327" t="n">
        <v>3.3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26531-2023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45092</v>
      </c>
      <c r="E328" s="1" t="n">
        <v>46313</v>
      </c>
      <c r="F328" t="inlineStr">
        <is>
          <t>GÄVLEBORGS LÄN</t>
        </is>
      </c>
      <c r="G328" t="inlineStr">
        <is>
          <t>BOLLNÄS</t>
        </is>
      </c>
      <c r="I328" t="n">
        <v>1.5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3353-2026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46042</v>
      </c>
      <c r="E329" s="1" t="n">
        <v>46313</v>
      </c>
      <c r="F329" t="inlineStr">
        <is>
          <t>GÄVLEBORGS LÄN</t>
        </is>
      </c>
      <c r="G329" t="inlineStr">
        <is>
          <t>BOLLNÄS</t>
        </is>
      </c>
      <c r="I329" t="n">
        <v>5.5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543-2026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46029</v>
      </c>
      <c r="E330" s="1" t="n">
        <v>46313</v>
      </c>
      <c r="F330" t="inlineStr">
        <is>
          <t>GÄVLEBORGS LÄN</t>
        </is>
      </c>
      <c r="G330" t="inlineStr">
        <is>
          <t>BOLLNÄS</t>
        </is>
      </c>
      <c r="I330" t="n">
        <v>2.7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15826-2026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46107</v>
      </c>
      <c r="E331" s="1" t="n">
        <v>46313</v>
      </c>
      <c r="F331" t="inlineStr">
        <is>
          <t>GÄVLEBORGS LÄN</t>
        </is>
      </c>
      <c r="G331" t="inlineStr">
        <is>
          <t>BOLLNÄS</t>
        </is>
      </c>
      <c r="H331" t="inlineStr">
        <is>
          <t>Bergvik skog väst AB</t>
        </is>
      </c>
      <c r="I331" t="n">
        <v>0.8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20222-2026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46139</v>
      </c>
      <c r="E332" s="1" t="n">
        <v>46313</v>
      </c>
      <c r="F332" t="inlineStr">
        <is>
          <t>GÄVLEBORGS LÄN</t>
        </is>
      </c>
      <c r="G332" t="inlineStr">
        <is>
          <t>BOLLNÄS</t>
        </is>
      </c>
      <c r="I332" t="n">
        <v>18.3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13808-2026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46098</v>
      </c>
      <c r="E333" s="1" t="n">
        <v>46313</v>
      </c>
      <c r="F333" t="inlineStr">
        <is>
          <t>GÄVLEBORGS LÄN</t>
        </is>
      </c>
      <c r="G333" t="inlineStr">
        <is>
          <t>BOLLNÄS</t>
        </is>
      </c>
      <c r="I333" t="n">
        <v>2.3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825-2026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46030</v>
      </c>
      <c r="E334" s="1" t="n">
        <v>46313</v>
      </c>
      <c r="F334" t="inlineStr">
        <is>
          <t>GÄVLEBORGS LÄN</t>
        </is>
      </c>
      <c r="G334" t="inlineStr">
        <is>
          <t>BOLLNÄS</t>
        </is>
      </c>
      <c r="I334" t="n">
        <v>0.8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20186-2026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46139</v>
      </c>
      <c r="E335" s="1" t="n">
        <v>46313</v>
      </c>
      <c r="F335" t="inlineStr">
        <is>
          <t>GÄVLEBORGS LÄN</t>
        </is>
      </c>
      <c r="G335" t="inlineStr">
        <is>
          <t>BOLLNÄS</t>
        </is>
      </c>
      <c r="I335" t="n">
        <v>0.4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38762-2025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45887</v>
      </c>
      <c r="E336" s="1" t="n">
        <v>46313</v>
      </c>
      <c r="F336" t="inlineStr">
        <is>
          <t>GÄVLEBORGS LÄN</t>
        </is>
      </c>
      <c r="G336" t="inlineStr">
        <is>
          <t>BOLLNÄS</t>
        </is>
      </c>
      <c r="I336" t="n">
        <v>1.9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38769-2025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45887</v>
      </c>
      <c r="E337" s="1" t="n">
        <v>46313</v>
      </c>
      <c r="F337" t="inlineStr">
        <is>
          <t>GÄVLEBORGS LÄN</t>
        </is>
      </c>
      <c r="G337" t="inlineStr">
        <is>
          <t>BOLLNÄS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41088-2025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45898</v>
      </c>
      <c r="E338" s="1" t="n">
        <v>46313</v>
      </c>
      <c r="F338" t="inlineStr">
        <is>
          <t>GÄVLEBORGS LÄN</t>
        </is>
      </c>
      <c r="G338" t="inlineStr">
        <is>
          <t>BOLLNÄS</t>
        </is>
      </c>
      <c r="I338" t="n">
        <v>3.9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6783-2026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46057</v>
      </c>
      <c r="E339" s="1" t="n">
        <v>46313</v>
      </c>
      <c r="F339" t="inlineStr">
        <is>
          <t>GÄVLEBORGS LÄN</t>
        </is>
      </c>
      <c r="G339" t="inlineStr">
        <is>
          <t>BOLLNÄS</t>
        </is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20176-2026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46139</v>
      </c>
      <c r="E340" s="1" t="n">
        <v>46313</v>
      </c>
      <c r="F340" t="inlineStr">
        <is>
          <t>GÄVLEBORGS LÄN</t>
        </is>
      </c>
      <c r="G340" t="inlineStr">
        <is>
          <t>BOLLNÄS</t>
        </is>
      </c>
      <c r="H340" t="inlineStr">
        <is>
          <t>Kyrkan</t>
        </is>
      </c>
      <c r="I340" t="n">
        <v>4.7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1672-2026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46034</v>
      </c>
      <c r="E341" s="1" t="n">
        <v>46313</v>
      </c>
      <c r="F341" t="inlineStr">
        <is>
          <t>GÄVLEBORGS LÄN</t>
        </is>
      </c>
      <c r="G341" t="inlineStr">
        <is>
          <t>BOLLNÄS</t>
        </is>
      </c>
      <c r="I341" t="n">
        <v>5.4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9873-2026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46073</v>
      </c>
      <c r="E342" s="1" t="n">
        <v>46313</v>
      </c>
      <c r="F342" t="inlineStr">
        <is>
          <t>GÄVLEBORGS LÄN</t>
        </is>
      </c>
      <c r="G342" t="inlineStr">
        <is>
          <t>BOLLNÄS</t>
        </is>
      </c>
      <c r="I342" t="n">
        <v>1.2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36594-2023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45153</v>
      </c>
      <c r="E343" s="1" t="n">
        <v>46313</v>
      </c>
      <c r="F343" t="inlineStr">
        <is>
          <t>GÄVLEBORGS LÄN</t>
        </is>
      </c>
      <c r="G343" t="inlineStr">
        <is>
          <t>BOLLNÄS</t>
        </is>
      </c>
      <c r="I343" t="n">
        <v>2.6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16944-2026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46113</v>
      </c>
      <c r="E344" s="1" t="n">
        <v>46313</v>
      </c>
      <c r="F344" t="inlineStr">
        <is>
          <t>GÄVLEBORGS LÄN</t>
        </is>
      </c>
      <c r="G344" t="inlineStr">
        <is>
          <t>BOLLNÄS</t>
        </is>
      </c>
      <c r="I344" t="n">
        <v>5.3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35067-2023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45145</v>
      </c>
      <c r="E345" s="1" t="n">
        <v>46313</v>
      </c>
      <c r="F345" t="inlineStr">
        <is>
          <t>GÄVLEBORGS LÄN</t>
        </is>
      </c>
      <c r="G345" t="inlineStr">
        <is>
          <t>BOLLNÄS</t>
        </is>
      </c>
      <c r="I345" t="n">
        <v>3.2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6479-2026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46056</v>
      </c>
      <c r="E346" s="1" t="n">
        <v>46313</v>
      </c>
      <c r="F346" t="inlineStr">
        <is>
          <t>GÄVLEBORGS LÄN</t>
        </is>
      </c>
      <c r="G346" t="inlineStr">
        <is>
          <t>BOLLNÄS</t>
        </is>
      </c>
      <c r="I346" t="n">
        <v>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20264-2026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46139</v>
      </c>
      <c r="E347" s="1" t="n">
        <v>46313</v>
      </c>
      <c r="F347" t="inlineStr">
        <is>
          <t>GÄVLEBORGS LÄN</t>
        </is>
      </c>
      <c r="G347" t="inlineStr">
        <is>
          <t>BOLLNÄS</t>
        </is>
      </c>
      <c r="I347" t="n">
        <v>0.6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6782-2026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46057</v>
      </c>
      <c r="E348" s="1" t="n">
        <v>46313</v>
      </c>
      <c r="F348" t="inlineStr">
        <is>
          <t>GÄVLEBORGS LÄN</t>
        </is>
      </c>
      <c r="G348" t="inlineStr">
        <is>
          <t>BOLLNÄS</t>
        </is>
      </c>
      <c r="I348" t="n">
        <v>4.1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20611-2026</t>
        </is>
      </c>
      <c r="B349" t="inlineStr">
        <is>
          <t>avverkningsanmälan</t>
        </is>
      </c>
      <c r="C349" t="inlineStr">
        <is>
          <t>Avverkning för att bevara och utveckla /försöksver</t>
        </is>
      </c>
      <c r="D349" s="1" t="n">
        <v>46140</v>
      </c>
      <c r="E349" s="1" t="n">
        <v>46313</v>
      </c>
      <c r="F349" t="inlineStr">
        <is>
          <t>GÄVLEBORGS LÄN</t>
        </is>
      </c>
      <c r="G349" t="inlineStr">
        <is>
          <t>BOLLNÄS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14870-2026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46104</v>
      </c>
      <c r="E350" s="1" t="n">
        <v>46313</v>
      </c>
      <c r="F350" t="inlineStr">
        <is>
          <t>GÄVLEBORGS LÄN</t>
        </is>
      </c>
      <c r="G350" t="inlineStr">
        <is>
          <t>BOLLNÄS</t>
        </is>
      </c>
      <c r="I350" t="n">
        <v>5.8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8268-2026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46064</v>
      </c>
      <c r="E351" s="1" t="n">
        <v>46313</v>
      </c>
      <c r="F351" t="inlineStr">
        <is>
          <t>GÄVLEBORGS LÄN</t>
        </is>
      </c>
      <c r="G351" t="inlineStr">
        <is>
          <t>BOLLNÄS</t>
        </is>
      </c>
      <c r="I351" t="n">
        <v>1.3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13613-2026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46097</v>
      </c>
      <c r="E352" s="1" t="n">
        <v>46313</v>
      </c>
      <c r="F352" t="inlineStr">
        <is>
          <t>GÄVLEBORGS LÄN</t>
        </is>
      </c>
      <c r="G352" t="inlineStr">
        <is>
          <t>BOLLNÄS</t>
        </is>
      </c>
      <c r="H352" t="inlineStr">
        <is>
          <t>Kyrkan</t>
        </is>
      </c>
      <c r="I352" t="n">
        <v>7.1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14371-2026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46100</v>
      </c>
      <c r="E353" s="1" t="n">
        <v>46313</v>
      </c>
      <c r="F353" t="inlineStr">
        <is>
          <t>GÄVLEBORGS LÄN</t>
        </is>
      </c>
      <c r="G353" t="inlineStr">
        <is>
          <t>BOLLNÄS</t>
        </is>
      </c>
      <c r="I353" t="n">
        <v>22.8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11293-2026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46080</v>
      </c>
      <c r="E354" s="1" t="n">
        <v>46313</v>
      </c>
      <c r="F354" t="inlineStr">
        <is>
          <t>GÄVLEBORGS LÄN</t>
        </is>
      </c>
      <c r="G354" t="inlineStr">
        <is>
          <t>BOLLNÄS</t>
        </is>
      </c>
      <c r="I354" t="n">
        <v>1.2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4986-2026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46049</v>
      </c>
      <c r="E355" s="1" t="n">
        <v>46313</v>
      </c>
      <c r="F355" t="inlineStr">
        <is>
          <t>GÄVLEBORGS LÄN</t>
        </is>
      </c>
      <c r="G355" t="inlineStr">
        <is>
          <t>BOLLNÄS</t>
        </is>
      </c>
      <c r="I355" t="n">
        <v>3.3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6096-2026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46052</v>
      </c>
      <c r="E356" s="1" t="n">
        <v>46313</v>
      </c>
      <c r="F356" t="inlineStr">
        <is>
          <t>GÄVLEBORGS LÄN</t>
        </is>
      </c>
      <c r="G356" t="inlineStr">
        <is>
          <t>BOLLNÄS</t>
        </is>
      </c>
      <c r="I356" t="n">
        <v>16.8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20483-2026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46140</v>
      </c>
      <c r="E357" s="1" t="n">
        <v>46313</v>
      </c>
      <c r="F357" t="inlineStr">
        <is>
          <t>GÄVLEBORGS LÄN</t>
        </is>
      </c>
      <c r="G357" t="inlineStr">
        <is>
          <t>BOLLNÄS</t>
        </is>
      </c>
      <c r="H357" t="inlineStr">
        <is>
          <t>Bergvik skog väst AB</t>
        </is>
      </c>
      <c r="I357" t="n">
        <v>2.4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7841-2026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46062</v>
      </c>
      <c r="E358" s="1" t="n">
        <v>46313</v>
      </c>
      <c r="F358" t="inlineStr">
        <is>
          <t>GÄVLEBORGS LÄN</t>
        </is>
      </c>
      <c r="G358" t="inlineStr">
        <is>
          <t>BOLLNÄS</t>
        </is>
      </c>
      <c r="I358" t="n">
        <v>2.1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3893-2026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46043</v>
      </c>
      <c r="E359" s="1" t="n">
        <v>46313</v>
      </c>
      <c r="F359" t="inlineStr">
        <is>
          <t>GÄVLEBORGS LÄN</t>
        </is>
      </c>
      <c r="G359" t="inlineStr">
        <is>
          <t>BOLLNÄS</t>
        </is>
      </c>
      <c r="I359" t="n">
        <v>5.4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11545-2026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46084</v>
      </c>
      <c r="E360" s="1" t="n">
        <v>46313</v>
      </c>
      <c r="F360" t="inlineStr">
        <is>
          <t>GÄVLEBORGS LÄN</t>
        </is>
      </c>
      <c r="G360" t="inlineStr">
        <is>
          <t>BOLLNÄS</t>
        </is>
      </c>
      <c r="I360" t="n">
        <v>1.4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9254-2026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46070</v>
      </c>
      <c r="E361" s="1" t="n">
        <v>46313</v>
      </c>
      <c r="F361" t="inlineStr">
        <is>
          <t>GÄVLEBORGS LÄN</t>
        </is>
      </c>
      <c r="G361" t="inlineStr">
        <is>
          <t>BOLLNÄS</t>
        </is>
      </c>
      <c r="H361" t="inlineStr">
        <is>
          <t>Bergvik skog väst AB</t>
        </is>
      </c>
      <c r="I361" t="n">
        <v>1.2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20038-2026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46136</v>
      </c>
      <c r="E362" s="1" t="n">
        <v>46313</v>
      </c>
      <c r="F362" t="inlineStr">
        <is>
          <t>GÄVLEBORGS LÄN</t>
        </is>
      </c>
      <c r="G362" t="inlineStr">
        <is>
          <t>BOLLNÄS</t>
        </is>
      </c>
      <c r="H362" t="inlineStr">
        <is>
          <t>Bergvik skog öst AB</t>
        </is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13150-2026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46093</v>
      </c>
      <c r="E363" s="1" t="n">
        <v>46313</v>
      </c>
      <c r="F363" t="inlineStr">
        <is>
          <t>GÄVLEBORGS LÄN</t>
        </is>
      </c>
      <c r="G363" t="inlineStr">
        <is>
          <t>BOLLNÄS</t>
        </is>
      </c>
      <c r="H363" t="inlineStr">
        <is>
          <t>Sveaskog</t>
        </is>
      </c>
      <c r="I363" t="n">
        <v>7.1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14611-2026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46101</v>
      </c>
      <c r="E364" s="1" t="n">
        <v>46313</v>
      </c>
      <c r="F364" t="inlineStr">
        <is>
          <t>GÄVLEBORGS LÄN</t>
        </is>
      </c>
      <c r="G364" t="inlineStr">
        <is>
          <t>BOLLNÄS</t>
        </is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13296-2026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46094</v>
      </c>
      <c r="E365" s="1" t="n">
        <v>46313</v>
      </c>
      <c r="F365" t="inlineStr">
        <is>
          <t>GÄVLEBORGS LÄN</t>
        </is>
      </c>
      <c r="G365" t="inlineStr">
        <is>
          <t>BOLLNÄS</t>
        </is>
      </c>
      <c r="I365" t="n">
        <v>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5551-2026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46050</v>
      </c>
      <c r="E366" s="1" t="n">
        <v>46313</v>
      </c>
      <c r="F366" t="inlineStr">
        <is>
          <t>GÄVLEBORGS LÄN</t>
        </is>
      </c>
      <c r="G366" t="inlineStr">
        <is>
          <t>BOLLNÄS</t>
        </is>
      </c>
      <c r="H366" t="inlineStr">
        <is>
          <t>Kyrkan</t>
        </is>
      </c>
      <c r="I366" t="n">
        <v>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4500-2026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46045</v>
      </c>
      <c r="E367" s="1" t="n">
        <v>46313</v>
      </c>
      <c r="F367" t="inlineStr">
        <is>
          <t>GÄVLEBORGS LÄN</t>
        </is>
      </c>
      <c r="G367" t="inlineStr">
        <is>
          <t>BOLLNÄS</t>
        </is>
      </c>
      <c r="I367" t="n">
        <v>3.2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10225-2026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46076</v>
      </c>
      <c r="E368" s="1" t="n">
        <v>46313</v>
      </c>
      <c r="F368" t="inlineStr">
        <is>
          <t>GÄVLEBORGS LÄN</t>
        </is>
      </c>
      <c r="G368" t="inlineStr">
        <is>
          <t>BOLLNÄS</t>
        </is>
      </c>
      <c r="H368" t="inlineStr">
        <is>
          <t>Bergvik skog väst AB</t>
        </is>
      </c>
      <c r="I368" t="n">
        <v>2.8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10228-2026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46076</v>
      </c>
      <c r="E369" s="1" t="n">
        <v>46313</v>
      </c>
      <c r="F369" t="inlineStr">
        <is>
          <t>GÄVLEBORGS LÄN</t>
        </is>
      </c>
      <c r="G369" t="inlineStr">
        <is>
          <t>BOLLNÄS</t>
        </is>
      </c>
      <c r="I369" t="n">
        <v>2.5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4458-2026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46045</v>
      </c>
      <c r="E370" s="1" t="n">
        <v>46313</v>
      </c>
      <c r="F370" t="inlineStr">
        <is>
          <t>GÄVLEBORGS LÄN</t>
        </is>
      </c>
      <c r="G370" t="inlineStr">
        <is>
          <t>BOLLNÄS</t>
        </is>
      </c>
      <c r="I370" t="n">
        <v>4.6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10394-2026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46077</v>
      </c>
      <c r="E371" s="1" t="n">
        <v>46313</v>
      </c>
      <c r="F371" t="inlineStr">
        <is>
          <t>GÄVLEBORGS LÄN</t>
        </is>
      </c>
      <c r="G371" t="inlineStr">
        <is>
          <t>BOLLNÄS</t>
        </is>
      </c>
      <c r="I371" t="n">
        <v>2.8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41504-2025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45901</v>
      </c>
      <c r="E372" s="1" t="n">
        <v>46313</v>
      </c>
      <c r="F372" t="inlineStr">
        <is>
          <t>GÄVLEBORGS LÄN</t>
        </is>
      </c>
      <c r="G372" t="inlineStr">
        <is>
          <t>BOLLNÄS</t>
        </is>
      </c>
      <c r="I372" t="n">
        <v>0.8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3105-2026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46041</v>
      </c>
      <c r="E373" s="1" t="n">
        <v>46313</v>
      </c>
      <c r="F373" t="inlineStr">
        <is>
          <t>GÄVLEBORGS LÄN</t>
        </is>
      </c>
      <c r="G373" t="inlineStr">
        <is>
          <t>BOLLNÄS</t>
        </is>
      </c>
      <c r="I373" t="n">
        <v>2.2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6476-2026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46056</v>
      </c>
      <c r="E374" s="1" t="n">
        <v>46313</v>
      </c>
      <c r="F374" t="inlineStr">
        <is>
          <t>GÄVLEBORGS LÄN</t>
        </is>
      </c>
      <c r="G374" t="inlineStr">
        <is>
          <t>BOLLNÄS</t>
        </is>
      </c>
      <c r="I374" t="n">
        <v>5.3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6491-2026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46056</v>
      </c>
      <c r="E375" s="1" t="n">
        <v>46313</v>
      </c>
      <c r="F375" t="inlineStr">
        <is>
          <t>GÄVLEBORGS LÄN</t>
        </is>
      </c>
      <c r="G375" t="inlineStr">
        <is>
          <t>BOLLNÄS</t>
        </is>
      </c>
      <c r="I375" t="n">
        <v>2.1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4960-2026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46049</v>
      </c>
      <c r="E376" s="1" t="n">
        <v>46313</v>
      </c>
      <c r="F376" t="inlineStr">
        <is>
          <t>GÄVLEBORGS LÄN</t>
        </is>
      </c>
      <c r="G376" t="inlineStr">
        <is>
          <t>BOLLNÄS</t>
        </is>
      </c>
      <c r="I376" t="n">
        <v>4.6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4737-2026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46048</v>
      </c>
      <c r="E377" s="1" t="n">
        <v>46313</v>
      </c>
      <c r="F377" t="inlineStr">
        <is>
          <t>GÄVLEBORGS LÄN</t>
        </is>
      </c>
      <c r="G377" t="inlineStr">
        <is>
          <t>BOLLNÄS</t>
        </is>
      </c>
      <c r="I377" t="n">
        <v>18.3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12945-2026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46092</v>
      </c>
      <c r="E378" s="1" t="n">
        <v>46313</v>
      </c>
      <c r="F378" t="inlineStr">
        <is>
          <t>GÄVLEBORGS LÄN</t>
        </is>
      </c>
      <c r="G378" t="inlineStr">
        <is>
          <t>BOLLNÄS</t>
        </is>
      </c>
      <c r="H378" t="inlineStr">
        <is>
          <t>Sveaskog</t>
        </is>
      </c>
      <c r="I378" t="n">
        <v>2.1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20620-2026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46141</v>
      </c>
      <c r="E379" s="1" t="n">
        <v>46313</v>
      </c>
      <c r="F379" t="inlineStr">
        <is>
          <t>GÄVLEBORGS LÄN</t>
        </is>
      </c>
      <c r="G379" t="inlineStr">
        <is>
          <t>BOLLNÄS</t>
        </is>
      </c>
      <c r="I379" t="n">
        <v>1.2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20678-2026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46141</v>
      </c>
      <c r="E380" s="1" t="n">
        <v>46313</v>
      </c>
      <c r="F380" t="inlineStr">
        <is>
          <t>GÄVLEBORGS LÄN</t>
        </is>
      </c>
      <c r="G380" t="inlineStr">
        <is>
          <t>BOLLNÄS</t>
        </is>
      </c>
      <c r="H380" t="inlineStr">
        <is>
          <t>Bergvik skog väst AB</t>
        </is>
      </c>
      <c r="I380" t="n">
        <v>4.7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45639-2023</t>
        </is>
      </c>
      <c r="B381" t="inlineStr">
        <is>
          <t>avverkningsanmälan</t>
        </is>
      </c>
      <c r="C381" t="inlineStr">
        <is>
          <t>Avverkning för att bevara och utveckla /försöksver</t>
        </is>
      </c>
      <c r="D381" s="1" t="n">
        <v>45194</v>
      </c>
      <c r="E381" s="1" t="n">
        <v>46313</v>
      </c>
      <c r="F381" t="inlineStr">
        <is>
          <t>GÄVLEBORGS LÄN</t>
        </is>
      </c>
      <c r="G381" t="inlineStr">
        <is>
          <t>BOLLNÄS</t>
        </is>
      </c>
      <c r="I381" t="n">
        <v>2.2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11519-2026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46083</v>
      </c>
      <c r="E382" s="1" t="n">
        <v>46313</v>
      </c>
      <c r="F382" t="inlineStr">
        <is>
          <t>GÄVLEBORGS LÄN</t>
        </is>
      </c>
      <c r="G382" t="inlineStr">
        <is>
          <t>BOLLNÄS</t>
        </is>
      </c>
      <c r="I382" t="n">
        <v>2.5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20485-2026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46140</v>
      </c>
      <c r="E383" s="1" t="n">
        <v>46313</v>
      </c>
      <c r="F383" t="inlineStr">
        <is>
          <t>GÄVLEBORGS LÄN</t>
        </is>
      </c>
      <c r="G383" t="inlineStr">
        <is>
          <t>BOLLNÄS</t>
        </is>
      </c>
      <c r="I383" t="n">
        <v>2.8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4828-2026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46048</v>
      </c>
      <c r="E384" s="1" t="n">
        <v>46313</v>
      </c>
      <c r="F384" t="inlineStr">
        <is>
          <t>GÄVLEBORGS LÄN</t>
        </is>
      </c>
      <c r="G384" t="inlineStr">
        <is>
          <t>BOLLNÄS</t>
        </is>
      </c>
      <c r="I384" t="n">
        <v>5.3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10824-2026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46078</v>
      </c>
      <c r="E385" s="1" t="n">
        <v>46313</v>
      </c>
      <c r="F385" t="inlineStr">
        <is>
          <t>GÄVLEBORGS LÄN</t>
        </is>
      </c>
      <c r="G385" t="inlineStr">
        <is>
          <t>BOLLNÄS</t>
        </is>
      </c>
      <c r="I385" t="n">
        <v>1.4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3898-2026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46043</v>
      </c>
      <c r="E386" s="1" t="n">
        <v>46313</v>
      </c>
      <c r="F386" t="inlineStr">
        <is>
          <t>GÄVLEBORGS LÄN</t>
        </is>
      </c>
      <c r="G386" t="inlineStr">
        <is>
          <t>BOLLNÄS</t>
        </is>
      </c>
      <c r="I386" t="n">
        <v>3.6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20547-2026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46140</v>
      </c>
      <c r="E387" s="1" t="n">
        <v>46313</v>
      </c>
      <c r="F387" t="inlineStr">
        <is>
          <t>GÄVLEBORGS LÄN</t>
        </is>
      </c>
      <c r="G387" t="inlineStr">
        <is>
          <t>BOLLNÄS</t>
        </is>
      </c>
      <c r="H387" t="inlineStr">
        <is>
          <t>Bergvik skog väst AB</t>
        </is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20548-2026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46140</v>
      </c>
      <c r="E388" s="1" t="n">
        <v>46313</v>
      </c>
      <c r="F388" t="inlineStr">
        <is>
          <t>GÄVLEBORGS LÄN</t>
        </is>
      </c>
      <c r="G388" t="inlineStr">
        <is>
          <t>BOLLNÄS</t>
        </is>
      </c>
      <c r="I388" t="n">
        <v>3.6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20609-2026</t>
        </is>
      </c>
      <c r="B389" t="inlineStr">
        <is>
          <t>avverkningsanmälan</t>
        </is>
      </c>
      <c r="C389" t="inlineStr">
        <is>
          <t>Avverkning för att bevara och utveckla /försöksver</t>
        </is>
      </c>
      <c r="D389" s="1" t="n">
        <v>46140</v>
      </c>
      <c r="E389" s="1" t="n">
        <v>46313</v>
      </c>
      <c r="F389" t="inlineStr">
        <is>
          <t>GÄVLEBORGS LÄN</t>
        </is>
      </c>
      <c r="G389" t="inlineStr">
        <is>
          <t>BOLLNÄS</t>
        </is>
      </c>
      <c r="I389" t="n">
        <v>0.9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12239-2026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46087</v>
      </c>
      <c r="E390" s="1" t="n">
        <v>46313</v>
      </c>
      <c r="F390" t="inlineStr">
        <is>
          <t>GÄVLEBORGS LÄN</t>
        </is>
      </c>
      <c r="G390" t="inlineStr">
        <is>
          <t>BOLLNÄS</t>
        </is>
      </c>
      <c r="I390" t="n">
        <v>1.1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14632-2026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46101</v>
      </c>
      <c r="E391" s="1" t="n">
        <v>46313</v>
      </c>
      <c r="F391" t="inlineStr">
        <is>
          <t>GÄVLEBORGS LÄN</t>
        </is>
      </c>
      <c r="G391" t="inlineStr">
        <is>
          <t>BOLLNÄS</t>
        </is>
      </c>
      <c r="H391" t="inlineStr">
        <is>
          <t>Kyrkan</t>
        </is>
      </c>
      <c r="I391" t="n">
        <v>8.1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8204-2026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46064</v>
      </c>
      <c r="E392" s="1" t="n">
        <v>46313</v>
      </c>
      <c r="F392" t="inlineStr">
        <is>
          <t>GÄVLEBORGS LÄN</t>
        </is>
      </c>
      <c r="G392" t="inlineStr">
        <is>
          <t>BOLLNÄS</t>
        </is>
      </c>
      <c r="I392" t="n">
        <v>2.8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41408-2025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45901</v>
      </c>
      <c r="E393" s="1" t="n">
        <v>46313</v>
      </c>
      <c r="F393" t="inlineStr">
        <is>
          <t>GÄVLEBORGS LÄN</t>
        </is>
      </c>
      <c r="G393" t="inlineStr">
        <is>
          <t>BOLLNÄS</t>
        </is>
      </c>
      <c r="H393" t="inlineStr">
        <is>
          <t>Kyrkan</t>
        </is>
      </c>
      <c r="I393" t="n">
        <v>2.1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651-2026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46029</v>
      </c>
      <c r="E394" s="1" t="n">
        <v>46313</v>
      </c>
      <c r="F394" t="inlineStr">
        <is>
          <t>GÄVLEBORGS LÄN</t>
        </is>
      </c>
      <c r="G394" t="inlineStr">
        <is>
          <t>BOLLNÄS</t>
        </is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41072-2025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45898</v>
      </c>
      <c r="E395" s="1" t="n">
        <v>46313</v>
      </c>
      <c r="F395" t="inlineStr">
        <is>
          <t>GÄVLEBORGS LÄN</t>
        </is>
      </c>
      <c r="G395" t="inlineStr">
        <is>
          <t>BOLLNÄS</t>
        </is>
      </c>
      <c r="I395" t="n">
        <v>3.5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13238-2026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46093</v>
      </c>
      <c r="E396" s="1" t="n">
        <v>46313</v>
      </c>
      <c r="F396" t="inlineStr">
        <is>
          <t>GÄVLEBORGS LÄN</t>
        </is>
      </c>
      <c r="G396" t="inlineStr">
        <is>
          <t>BOLLNÄS</t>
        </is>
      </c>
      <c r="I396" t="n">
        <v>1.2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9495-2026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46071</v>
      </c>
      <c r="E397" s="1" t="n">
        <v>46313</v>
      </c>
      <c r="F397" t="inlineStr">
        <is>
          <t>GÄVLEBORGS LÄN</t>
        </is>
      </c>
      <c r="G397" t="inlineStr">
        <is>
          <t>BOLLNÄS</t>
        </is>
      </c>
      <c r="I397" t="n">
        <v>1.3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4295-2026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46045</v>
      </c>
      <c r="E398" s="1" t="n">
        <v>46313</v>
      </c>
      <c r="F398" t="inlineStr">
        <is>
          <t>GÄVLEBORGS LÄN</t>
        </is>
      </c>
      <c r="G398" t="inlineStr">
        <is>
          <t>BOLLNÄS</t>
        </is>
      </c>
      <c r="I398" t="n">
        <v>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2276-2026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46036</v>
      </c>
      <c r="E399" s="1" t="n">
        <v>46313</v>
      </c>
      <c r="F399" t="inlineStr">
        <is>
          <t>GÄVLEBORGS LÄN</t>
        </is>
      </c>
      <c r="G399" t="inlineStr">
        <is>
          <t>BOLLNÄS</t>
        </is>
      </c>
      <c r="I399" t="n">
        <v>6.2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11344-2026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46082</v>
      </c>
      <c r="E400" s="1" t="n">
        <v>46313</v>
      </c>
      <c r="F400" t="inlineStr">
        <is>
          <t>GÄVLEBORGS LÄN</t>
        </is>
      </c>
      <c r="G400" t="inlineStr">
        <is>
          <t>BOLLNÄS</t>
        </is>
      </c>
      <c r="I400" t="n">
        <v>1.6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60426-2024</t>
        </is>
      </c>
      <c r="B401" t="inlineStr">
        <is>
          <t>avverkningsanmälan</t>
        </is>
      </c>
      <c r="C401" t="inlineStr">
        <is>
          <t>Avverkning för annat ändamål</t>
        </is>
      </c>
      <c r="D401" s="1" t="n">
        <v>45643</v>
      </c>
      <c r="E401" s="1" t="n">
        <v>46313</v>
      </c>
      <c r="F401" t="inlineStr">
        <is>
          <t>GÄVLEBORGS LÄN</t>
        </is>
      </c>
      <c r="G401" t="inlineStr">
        <is>
          <t>BOLLNÄS</t>
        </is>
      </c>
      <c r="I401" t="n">
        <v>0.9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20422-2026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46140</v>
      </c>
      <c r="E402" s="1" t="n">
        <v>46313</v>
      </c>
      <c r="F402" t="inlineStr">
        <is>
          <t>GÄVLEBORGS LÄN</t>
        </is>
      </c>
      <c r="G402" t="inlineStr">
        <is>
          <t>BOLLNÄS</t>
        </is>
      </c>
      <c r="H402" t="inlineStr">
        <is>
          <t>Bergvik skog väst AB</t>
        </is>
      </c>
      <c r="I402" t="n">
        <v>0.6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20426-2026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46140</v>
      </c>
      <c r="E403" s="1" t="n">
        <v>46313</v>
      </c>
      <c r="F403" t="inlineStr">
        <is>
          <t>GÄVLEBORGS LÄN</t>
        </is>
      </c>
      <c r="G403" t="inlineStr">
        <is>
          <t>BOLLNÄS</t>
        </is>
      </c>
      <c r="H403" t="inlineStr">
        <is>
          <t>Bergvik skog väst AB</t>
        </is>
      </c>
      <c r="I403" t="n">
        <v>0.7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41081-2025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45898</v>
      </c>
      <c r="E404" s="1" t="n">
        <v>46313</v>
      </c>
      <c r="F404" t="inlineStr">
        <is>
          <t>GÄVLEBORGS LÄN</t>
        </is>
      </c>
      <c r="G404" t="inlineStr">
        <is>
          <t>BOLLNÄS</t>
        </is>
      </c>
      <c r="I404" t="n">
        <v>1.4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13041-2026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46093</v>
      </c>
      <c r="E405" s="1" t="n">
        <v>46313</v>
      </c>
      <c r="F405" t="inlineStr">
        <is>
          <t>GÄVLEBORGS LÄN</t>
        </is>
      </c>
      <c r="G405" t="inlineStr">
        <is>
          <t>BOLLNÄS</t>
        </is>
      </c>
      <c r="I405" t="n">
        <v>7.6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20531-2026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46140</v>
      </c>
      <c r="E406" s="1" t="n">
        <v>46313</v>
      </c>
      <c r="F406" t="inlineStr">
        <is>
          <t>GÄVLEBORGS LÄN</t>
        </is>
      </c>
      <c r="G406" t="inlineStr">
        <is>
          <t>BOLLNÄS</t>
        </is>
      </c>
      <c r="H406" t="inlineStr">
        <is>
          <t>Bergvik skog väst AB</t>
        </is>
      </c>
      <c r="I406" t="n">
        <v>5.7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8844-2026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46066</v>
      </c>
      <c r="E407" s="1" t="n">
        <v>46313</v>
      </c>
      <c r="F407" t="inlineStr">
        <is>
          <t>GÄVLEBORGS LÄN</t>
        </is>
      </c>
      <c r="G407" t="inlineStr">
        <is>
          <t>BOLLNÄS</t>
        </is>
      </c>
      <c r="I407" t="n">
        <v>3.3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9719-2026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46072</v>
      </c>
      <c r="E408" s="1" t="n">
        <v>46313</v>
      </c>
      <c r="F408" t="inlineStr">
        <is>
          <t>GÄVLEBORGS LÄN</t>
        </is>
      </c>
      <c r="G408" t="inlineStr">
        <is>
          <t>BOLLNÄS</t>
        </is>
      </c>
      <c r="I408" t="n">
        <v>3.1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6457-2026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46056</v>
      </c>
      <c r="E409" s="1" t="n">
        <v>46313</v>
      </c>
      <c r="F409" t="inlineStr">
        <is>
          <t>GÄVLEBORGS LÄN</t>
        </is>
      </c>
      <c r="G409" t="inlineStr">
        <is>
          <t>BOLLNÄS</t>
        </is>
      </c>
      <c r="I409" t="n">
        <v>0.7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9801-2026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46072</v>
      </c>
      <c r="E410" s="1" t="n">
        <v>46313</v>
      </c>
      <c r="F410" t="inlineStr">
        <is>
          <t>GÄVLEBORGS LÄN</t>
        </is>
      </c>
      <c r="G410" t="inlineStr">
        <is>
          <t>BOLLNÄS</t>
        </is>
      </c>
      <c r="H410" t="inlineStr">
        <is>
          <t>Sveaskog</t>
        </is>
      </c>
      <c r="I410" t="n">
        <v>1.8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4770-2026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46048</v>
      </c>
      <c r="E411" s="1" t="n">
        <v>46313</v>
      </c>
      <c r="F411" t="inlineStr">
        <is>
          <t>GÄVLEBORGS LÄN</t>
        </is>
      </c>
      <c r="G411" t="inlineStr">
        <is>
          <t>BOLLNÄS</t>
        </is>
      </c>
      <c r="I411" t="n">
        <v>3.5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5653-2026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46051</v>
      </c>
      <c r="E412" s="1" t="n">
        <v>46313</v>
      </c>
      <c r="F412" t="inlineStr">
        <is>
          <t>GÄVLEBORGS LÄN</t>
        </is>
      </c>
      <c r="G412" t="inlineStr">
        <is>
          <t>BOLLNÄS</t>
        </is>
      </c>
      <c r="I412" t="n">
        <v>2.1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8045-2026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46063</v>
      </c>
      <c r="E413" s="1" t="n">
        <v>46313</v>
      </c>
      <c r="F413" t="inlineStr">
        <is>
          <t>GÄVLEBORGS LÄN</t>
        </is>
      </c>
      <c r="G413" t="inlineStr">
        <is>
          <t>BOLLNÄS</t>
        </is>
      </c>
      <c r="I413" t="n">
        <v>25.1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12659-2026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46091</v>
      </c>
      <c r="E414" s="1" t="n">
        <v>46313</v>
      </c>
      <c r="F414" t="inlineStr">
        <is>
          <t>GÄVLEBORGS LÄN</t>
        </is>
      </c>
      <c r="G414" t="inlineStr">
        <is>
          <t>BOLLNÄS</t>
        </is>
      </c>
      <c r="I414" t="n">
        <v>8.699999999999999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20827-2026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46141</v>
      </c>
      <c r="E415" s="1" t="n">
        <v>46313</v>
      </c>
      <c r="F415" t="inlineStr">
        <is>
          <t>GÄVLEBORGS LÄN</t>
        </is>
      </c>
      <c r="G415" t="inlineStr">
        <is>
          <t>BOLLNÄS</t>
        </is>
      </c>
      <c r="H415" t="inlineStr">
        <is>
          <t>Bergvik skog väst AB</t>
        </is>
      </c>
      <c r="I415" t="n">
        <v>0.7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24551-2024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45460</v>
      </c>
      <c r="E416" s="1" t="n">
        <v>46313</v>
      </c>
      <c r="F416" t="inlineStr">
        <is>
          <t>GÄVLEBORGS LÄN</t>
        </is>
      </c>
      <c r="G416" t="inlineStr">
        <is>
          <t>BOLLNÄS</t>
        </is>
      </c>
      <c r="I416" t="n">
        <v>6.8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20679-2026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46141</v>
      </c>
      <c r="E417" s="1" t="n">
        <v>46313</v>
      </c>
      <c r="F417" t="inlineStr">
        <is>
          <t>GÄVLEBORGS LÄN</t>
        </is>
      </c>
      <c r="G417" t="inlineStr">
        <is>
          <t>BOLLNÄS</t>
        </is>
      </c>
      <c r="H417" t="inlineStr">
        <is>
          <t>Bergvik skog väst AB</t>
        </is>
      </c>
      <c r="I417" t="n">
        <v>4.7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14615-2026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46101</v>
      </c>
      <c r="E418" s="1" t="n">
        <v>46313</v>
      </c>
      <c r="F418" t="inlineStr">
        <is>
          <t>GÄVLEBORGS LÄN</t>
        </is>
      </c>
      <c r="G418" t="inlineStr">
        <is>
          <t>BOLLNÄS</t>
        </is>
      </c>
      <c r="I418" t="n">
        <v>2.4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15163-2026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46105</v>
      </c>
      <c r="E419" s="1" t="n">
        <v>46313</v>
      </c>
      <c r="F419" t="inlineStr">
        <is>
          <t>GÄVLEBORGS LÄN</t>
        </is>
      </c>
      <c r="G419" t="inlineStr">
        <is>
          <t>BOLLNÄS</t>
        </is>
      </c>
      <c r="I419" t="n">
        <v>10.4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12643-2026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46091</v>
      </c>
      <c r="E420" s="1" t="n">
        <v>46313</v>
      </c>
      <c r="F420" t="inlineStr">
        <is>
          <t>GÄVLEBORGS LÄN</t>
        </is>
      </c>
      <c r="G420" t="inlineStr">
        <is>
          <t>BOLLNÄS</t>
        </is>
      </c>
      <c r="I420" t="n">
        <v>13.9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19392-2026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46133</v>
      </c>
      <c r="E421" s="1" t="n">
        <v>46313</v>
      </c>
      <c r="F421" t="inlineStr">
        <is>
          <t>GÄVLEBORGS LÄN</t>
        </is>
      </c>
      <c r="G421" t="inlineStr">
        <is>
          <t>BOLLNÄS</t>
        </is>
      </c>
      <c r="I421" t="n">
        <v>3.3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728-2026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46029</v>
      </c>
      <c r="E422" s="1" t="n">
        <v>46313</v>
      </c>
      <c r="F422" t="inlineStr">
        <is>
          <t>GÄVLEBORGS LÄN</t>
        </is>
      </c>
      <c r="G422" t="inlineStr">
        <is>
          <t>BOLLNÄS</t>
        </is>
      </c>
      <c r="I422" t="n">
        <v>12.9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2910-2026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46038</v>
      </c>
      <c r="E423" s="1" t="n">
        <v>46313</v>
      </c>
      <c r="F423" t="inlineStr">
        <is>
          <t>GÄVLEBORGS LÄN</t>
        </is>
      </c>
      <c r="G423" t="inlineStr">
        <is>
          <t>BOLLNÄS</t>
        </is>
      </c>
      <c r="I423" t="n">
        <v>2.6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1389-2026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46031</v>
      </c>
      <c r="E424" s="1" t="n">
        <v>46313</v>
      </c>
      <c r="F424" t="inlineStr">
        <is>
          <t>GÄVLEBORGS LÄN</t>
        </is>
      </c>
      <c r="G424" t="inlineStr">
        <is>
          <t>BOLLNÄS</t>
        </is>
      </c>
      <c r="I424" t="n">
        <v>3.2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13862-2026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46098</v>
      </c>
      <c r="E425" s="1" t="n">
        <v>46313</v>
      </c>
      <c r="F425" t="inlineStr">
        <is>
          <t>GÄVLEBORGS LÄN</t>
        </is>
      </c>
      <c r="G425" t="inlineStr">
        <is>
          <t>BOLLNÄS</t>
        </is>
      </c>
      <c r="I425" t="n">
        <v>2.5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5996-2026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46052</v>
      </c>
      <c r="E426" s="1" t="n">
        <v>46313</v>
      </c>
      <c r="F426" t="inlineStr">
        <is>
          <t>GÄVLEBORGS LÄN</t>
        </is>
      </c>
      <c r="G426" t="inlineStr">
        <is>
          <t>BOLLNÄS</t>
        </is>
      </c>
      <c r="I426" t="n">
        <v>2.4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20828-2026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46141</v>
      </c>
      <c r="E427" s="1" t="n">
        <v>46313</v>
      </c>
      <c r="F427" t="inlineStr">
        <is>
          <t>GÄVLEBORGS LÄN</t>
        </is>
      </c>
      <c r="G427" t="inlineStr">
        <is>
          <t>BOLLNÄS</t>
        </is>
      </c>
      <c r="H427" t="inlineStr">
        <is>
          <t>Bergvik skog väst AB</t>
        </is>
      </c>
      <c r="I427" t="n">
        <v>1.7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41655-2025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45902</v>
      </c>
      <c r="E428" s="1" t="n">
        <v>46313</v>
      </c>
      <c r="F428" t="inlineStr">
        <is>
          <t>GÄVLEBORGS LÄN</t>
        </is>
      </c>
      <c r="G428" t="inlineStr">
        <is>
          <t>BOLLNÄS</t>
        </is>
      </c>
      <c r="I428" t="n">
        <v>4.1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5072-2026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46049</v>
      </c>
      <c r="E429" s="1" t="n">
        <v>46313</v>
      </c>
      <c r="F429" t="inlineStr">
        <is>
          <t>GÄVLEBORGS LÄN</t>
        </is>
      </c>
      <c r="G429" t="inlineStr">
        <is>
          <t>BOLLNÄS</t>
        </is>
      </c>
      <c r="I429" t="n">
        <v>1.9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5869-2026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46052</v>
      </c>
      <c r="E430" s="1" t="n">
        <v>46313</v>
      </c>
      <c r="F430" t="inlineStr">
        <is>
          <t>GÄVLEBORGS LÄN</t>
        </is>
      </c>
      <c r="G430" t="inlineStr">
        <is>
          <t>BOLLNÄS</t>
        </is>
      </c>
      <c r="I430" t="n">
        <v>2.3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20766-2026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46141</v>
      </c>
      <c r="E431" s="1" t="n">
        <v>46313</v>
      </c>
      <c r="F431" t="inlineStr">
        <is>
          <t>GÄVLEBORGS LÄN</t>
        </is>
      </c>
      <c r="G431" t="inlineStr">
        <is>
          <t>BOLLNÄS</t>
        </is>
      </c>
      <c r="I431" t="n">
        <v>2.5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5355-2026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46050</v>
      </c>
      <c r="E432" s="1" t="n">
        <v>46313</v>
      </c>
      <c r="F432" t="inlineStr">
        <is>
          <t>GÄVLEBORGS LÄN</t>
        </is>
      </c>
      <c r="G432" t="inlineStr">
        <is>
          <t>BOLLNÄS</t>
        </is>
      </c>
      <c r="I432" t="n">
        <v>2.9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9755-2026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46072</v>
      </c>
      <c r="E433" s="1" t="n">
        <v>46313</v>
      </c>
      <c r="F433" t="inlineStr">
        <is>
          <t>GÄVLEBORGS LÄN</t>
        </is>
      </c>
      <c r="G433" t="inlineStr">
        <is>
          <t>BOLLNÄS</t>
        </is>
      </c>
      <c r="H433" t="inlineStr">
        <is>
          <t>Sveaskog</t>
        </is>
      </c>
      <c r="I433" t="n">
        <v>1.8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2748-2026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46038</v>
      </c>
      <c r="E434" s="1" t="n">
        <v>46313</v>
      </c>
      <c r="F434" t="inlineStr">
        <is>
          <t>GÄVLEBORGS LÄN</t>
        </is>
      </c>
      <c r="G434" t="inlineStr">
        <is>
          <t>BOLLNÄS</t>
        </is>
      </c>
      <c r="I434" t="n">
        <v>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8966-2026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46069</v>
      </c>
      <c r="E435" s="1" t="n">
        <v>46313</v>
      </c>
      <c r="F435" t="inlineStr">
        <is>
          <t>GÄVLEBORGS LÄN</t>
        </is>
      </c>
      <c r="G435" t="inlineStr">
        <is>
          <t>BOLLNÄS</t>
        </is>
      </c>
      <c r="I435" t="n">
        <v>2.3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2513-2026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46037</v>
      </c>
      <c r="E436" s="1" t="n">
        <v>46313</v>
      </c>
      <c r="F436" t="inlineStr">
        <is>
          <t>GÄVLEBORGS LÄN</t>
        </is>
      </c>
      <c r="G436" t="inlineStr">
        <is>
          <t>BOLLNÄS</t>
        </is>
      </c>
      <c r="I436" t="n">
        <v>4.4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40453-2024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45555</v>
      </c>
      <c r="E437" s="1" t="n">
        <v>46313</v>
      </c>
      <c r="F437" t="inlineStr">
        <is>
          <t>GÄVLEBORGS LÄN</t>
        </is>
      </c>
      <c r="G437" t="inlineStr">
        <is>
          <t>BOLLNÄS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26922-2024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45470</v>
      </c>
      <c r="E438" s="1" t="n">
        <v>46313</v>
      </c>
      <c r="F438" t="inlineStr">
        <is>
          <t>GÄVLEBORGS LÄN</t>
        </is>
      </c>
      <c r="G438" t="inlineStr">
        <is>
          <t>BOLLNÄS</t>
        </is>
      </c>
      <c r="I438" t="n">
        <v>0.7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55593-2024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45622</v>
      </c>
      <c r="E439" s="1" t="n">
        <v>46313</v>
      </c>
      <c r="F439" t="inlineStr">
        <is>
          <t>GÄVLEBORGS LÄN</t>
        </is>
      </c>
      <c r="G439" t="inlineStr">
        <is>
          <t>BOLLNÄS</t>
        </is>
      </c>
      <c r="I439" t="n">
        <v>0.6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42516-2025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45905</v>
      </c>
      <c r="E440" s="1" t="n">
        <v>46313</v>
      </c>
      <c r="F440" t="inlineStr">
        <is>
          <t>GÄVLEBORGS LÄN</t>
        </is>
      </c>
      <c r="G440" t="inlineStr">
        <is>
          <t>BOLLNÄS</t>
        </is>
      </c>
      <c r="I440" t="n">
        <v>0.5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42340-2025</t>
        </is>
      </c>
      <c r="B441" t="inlineStr">
        <is>
          <t>avverkningsanmälan</t>
        </is>
      </c>
      <c r="C441" t="inlineStr">
        <is>
          <t>Avverkning för annat ändamål</t>
        </is>
      </c>
      <c r="D441" s="1" t="n">
        <v>45904</v>
      </c>
      <c r="E441" s="1" t="n">
        <v>46313</v>
      </c>
      <c r="F441" t="inlineStr">
        <is>
          <t>GÄVLEBORGS LÄN</t>
        </is>
      </c>
      <c r="G441" t="inlineStr">
        <is>
          <t>BOLLNÄS</t>
        </is>
      </c>
      <c r="I441" t="n">
        <v>0.5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9700-2025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45716</v>
      </c>
      <c r="E442" s="1" t="n">
        <v>46313</v>
      </c>
      <c r="F442" t="inlineStr">
        <is>
          <t>GÄVLEBORGS LÄN</t>
        </is>
      </c>
      <c r="G442" t="inlineStr">
        <is>
          <t>BOLLNÄS</t>
        </is>
      </c>
      <c r="I442" t="n">
        <v>0.9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15514-2026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46106</v>
      </c>
      <c r="E443" s="1" t="n">
        <v>46313</v>
      </c>
      <c r="F443" t="inlineStr">
        <is>
          <t>GÄVLEBORGS LÄN</t>
        </is>
      </c>
      <c r="G443" t="inlineStr">
        <is>
          <t>BOLLNÄS</t>
        </is>
      </c>
      <c r="I443" t="n">
        <v>7.5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30303-2025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45827</v>
      </c>
      <c r="E444" s="1" t="n">
        <v>46313</v>
      </c>
      <c r="F444" t="inlineStr">
        <is>
          <t>GÄVLEBORGS LÄN</t>
        </is>
      </c>
      <c r="G444" t="inlineStr">
        <is>
          <t>BOLLNÄS</t>
        </is>
      </c>
      <c r="I444" t="n">
        <v>1.9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13625-2026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46097</v>
      </c>
      <c r="E445" s="1" t="n">
        <v>46313</v>
      </c>
      <c r="F445" t="inlineStr">
        <is>
          <t>GÄVLEBORGS LÄN</t>
        </is>
      </c>
      <c r="G445" t="inlineStr">
        <is>
          <t>BOLLNÄS</t>
        </is>
      </c>
      <c r="I445" t="n">
        <v>3.6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20413-2026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46140</v>
      </c>
      <c r="E446" s="1" t="n">
        <v>46313</v>
      </c>
      <c r="F446" t="inlineStr">
        <is>
          <t>GÄVLEBORGS LÄN</t>
        </is>
      </c>
      <c r="G446" t="inlineStr">
        <is>
          <t>BOLLNÄS</t>
        </is>
      </c>
      <c r="H446" t="inlineStr">
        <is>
          <t>Bergvik skog väst AB</t>
        </is>
      </c>
      <c r="I446" t="n">
        <v>0.5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40160-2025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45894</v>
      </c>
      <c r="E447" s="1" t="n">
        <v>46313</v>
      </c>
      <c r="F447" t="inlineStr">
        <is>
          <t>GÄVLEBORGS LÄN</t>
        </is>
      </c>
      <c r="G447" t="inlineStr">
        <is>
          <t>BOLLNÄS</t>
        </is>
      </c>
      <c r="I447" t="n">
        <v>1.3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250-2026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46027</v>
      </c>
      <c r="E448" s="1" t="n">
        <v>46313</v>
      </c>
      <c r="F448" t="inlineStr">
        <is>
          <t>GÄVLEBORGS LÄN</t>
        </is>
      </c>
      <c r="G448" t="inlineStr">
        <is>
          <t>BOLLNÄS</t>
        </is>
      </c>
      <c r="I448" t="n">
        <v>2.1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20767-2026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46141</v>
      </c>
      <c r="E449" s="1" t="n">
        <v>46313</v>
      </c>
      <c r="F449" t="inlineStr">
        <is>
          <t>GÄVLEBORGS LÄN</t>
        </is>
      </c>
      <c r="G449" t="inlineStr">
        <is>
          <t>BOLLNÄS</t>
        </is>
      </c>
      <c r="I449" t="n">
        <v>3.2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20770-2026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46141</v>
      </c>
      <c r="E450" s="1" t="n">
        <v>46313</v>
      </c>
      <c r="F450" t="inlineStr">
        <is>
          <t>GÄVLEBORGS LÄN</t>
        </is>
      </c>
      <c r="G450" t="inlineStr">
        <is>
          <t>BOLLNÄS</t>
        </is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12372-2026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46090</v>
      </c>
      <c r="E451" s="1" t="n">
        <v>46313</v>
      </c>
      <c r="F451" t="inlineStr">
        <is>
          <t>GÄVLEBORGS LÄN</t>
        </is>
      </c>
      <c r="G451" t="inlineStr">
        <is>
          <t>BOLLNÄS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5296-2022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44594</v>
      </c>
      <c r="E452" s="1" t="n">
        <v>46313</v>
      </c>
      <c r="F452" t="inlineStr">
        <is>
          <t>GÄVLEBORGS LÄN</t>
        </is>
      </c>
      <c r="G452" t="inlineStr">
        <is>
          <t>BOLLNÄS</t>
        </is>
      </c>
      <c r="I452" t="n">
        <v>1.6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11139-2026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46079</v>
      </c>
      <c r="E453" s="1" t="n">
        <v>46313</v>
      </c>
      <c r="F453" t="inlineStr">
        <is>
          <t>GÄVLEBORGS LÄN</t>
        </is>
      </c>
      <c r="G453" t="inlineStr">
        <is>
          <t>BOLLNÄS</t>
        </is>
      </c>
      <c r="I453" t="n">
        <v>3.9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20447-2026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46140</v>
      </c>
      <c r="E454" s="1" t="n">
        <v>46313</v>
      </c>
      <c r="F454" t="inlineStr">
        <is>
          <t>GÄVLEBORGS LÄN</t>
        </is>
      </c>
      <c r="G454" t="inlineStr">
        <is>
          <t>BOLLNÄS</t>
        </is>
      </c>
      <c r="H454" t="inlineStr">
        <is>
          <t>Bergvik skog väst AB</t>
        </is>
      </c>
      <c r="I454" t="n">
        <v>0.6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42865-2025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45908</v>
      </c>
      <c r="E455" s="1" t="n">
        <v>46313</v>
      </c>
      <c r="F455" t="inlineStr">
        <is>
          <t>GÄVLEBORGS LÄN</t>
        </is>
      </c>
      <c r="G455" t="inlineStr">
        <is>
          <t>BOLLNÄS</t>
        </is>
      </c>
      <c r="I455" t="n">
        <v>2.9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8148-2026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46064</v>
      </c>
      <c r="E456" s="1" t="n">
        <v>46313</v>
      </c>
      <c r="F456" t="inlineStr">
        <is>
          <t>GÄVLEBORGS LÄN</t>
        </is>
      </c>
      <c r="G456" t="inlineStr">
        <is>
          <t>BOLLNÄS</t>
        </is>
      </c>
      <c r="I456" t="n">
        <v>23.9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8185-2026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46064</v>
      </c>
      <c r="E457" s="1" t="n">
        <v>46313</v>
      </c>
      <c r="F457" t="inlineStr">
        <is>
          <t>GÄVLEBORGS LÄN</t>
        </is>
      </c>
      <c r="G457" t="inlineStr">
        <is>
          <t>BOLLNÄS</t>
        </is>
      </c>
      <c r="I457" t="n">
        <v>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13914-2026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46098</v>
      </c>
      <c r="E458" s="1" t="n">
        <v>46313</v>
      </c>
      <c r="F458" t="inlineStr">
        <is>
          <t>GÄVLEBORGS LÄN</t>
        </is>
      </c>
      <c r="G458" t="inlineStr">
        <is>
          <t>BOLLNÄS</t>
        </is>
      </c>
      <c r="I458" t="n">
        <v>1.3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12014-2026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46085</v>
      </c>
      <c r="E459" s="1" t="n">
        <v>46313</v>
      </c>
      <c r="F459" t="inlineStr">
        <is>
          <t>GÄVLEBORGS LÄN</t>
        </is>
      </c>
      <c r="G459" t="inlineStr">
        <is>
          <t>BOLLNÄS</t>
        </is>
      </c>
      <c r="I459" t="n">
        <v>4.9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12142-2026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46086</v>
      </c>
      <c r="E460" s="1" t="n">
        <v>46313</v>
      </c>
      <c r="F460" t="inlineStr">
        <is>
          <t>GÄVLEBORGS LÄN</t>
        </is>
      </c>
      <c r="G460" t="inlineStr">
        <is>
          <t>BOLLNÄS</t>
        </is>
      </c>
      <c r="I460" t="n">
        <v>3.5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8938-2026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46069</v>
      </c>
      <c r="E461" s="1" t="n">
        <v>46313</v>
      </c>
      <c r="F461" t="inlineStr">
        <is>
          <t>GÄVLEBORGS LÄN</t>
        </is>
      </c>
      <c r="G461" t="inlineStr">
        <is>
          <t>BOLLNÄS</t>
        </is>
      </c>
      <c r="I461" t="n">
        <v>2.3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9731-2026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46072</v>
      </c>
      <c r="E462" s="1" t="n">
        <v>46313</v>
      </c>
      <c r="F462" t="inlineStr">
        <is>
          <t>GÄVLEBORGS LÄN</t>
        </is>
      </c>
      <c r="G462" t="inlineStr">
        <is>
          <t>BOLLNÄS</t>
        </is>
      </c>
      <c r="I462" t="n">
        <v>13.7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10978-2026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46079</v>
      </c>
      <c r="E463" s="1" t="n">
        <v>46313</v>
      </c>
      <c r="F463" t="inlineStr">
        <is>
          <t>GÄVLEBORGS LÄN</t>
        </is>
      </c>
      <c r="G463" t="inlineStr">
        <is>
          <t>BOLLNÄS</t>
        </is>
      </c>
      <c r="H463" t="inlineStr">
        <is>
          <t>Bergvik skog väst AB</t>
        </is>
      </c>
      <c r="I463" t="n">
        <v>2.5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24-2026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46024</v>
      </c>
      <c r="E464" s="1" t="n">
        <v>46313</v>
      </c>
      <c r="F464" t="inlineStr">
        <is>
          <t>GÄVLEBORGS LÄN</t>
        </is>
      </c>
      <c r="G464" t="inlineStr">
        <is>
          <t>BOLLNÄS</t>
        </is>
      </c>
      <c r="I464" t="n">
        <v>3.4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33153-2025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45840</v>
      </c>
      <c r="E465" s="1" t="n">
        <v>46313</v>
      </c>
      <c r="F465" t="inlineStr">
        <is>
          <t>GÄVLEBORGS LÄN</t>
        </is>
      </c>
      <c r="G465" t="inlineStr">
        <is>
          <t>BOLLNÄS</t>
        </is>
      </c>
      <c r="H465" t="inlineStr">
        <is>
          <t>Bergvik skog väst AB</t>
        </is>
      </c>
      <c r="I465" t="n">
        <v>6.1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2935-2023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44944</v>
      </c>
      <c r="E466" s="1" t="n">
        <v>46313</v>
      </c>
      <c r="F466" t="inlineStr">
        <is>
          <t>GÄVLEBORGS LÄN</t>
        </is>
      </c>
      <c r="G466" t="inlineStr">
        <is>
          <t>BOLLNÄS</t>
        </is>
      </c>
      <c r="I466" t="n">
        <v>1.9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20486-2026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46140</v>
      </c>
      <c r="E467" s="1" t="n">
        <v>46313</v>
      </c>
      <c r="F467" t="inlineStr">
        <is>
          <t>GÄVLEBORGS LÄN</t>
        </is>
      </c>
      <c r="G467" t="inlineStr">
        <is>
          <t>BOLLNÄS</t>
        </is>
      </c>
      <c r="I467" t="n">
        <v>1.3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10727-2026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46078</v>
      </c>
      <c r="E468" s="1" t="n">
        <v>46313</v>
      </c>
      <c r="F468" t="inlineStr">
        <is>
          <t>GÄVLEBORGS LÄN</t>
        </is>
      </c>
      <c r="G468" t="inlineStr">
        <is>
          <t>BOLLNÄS</t>
        </is>
      </c>
      <c r="I468" t="n">
        <v>3.6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15374-2026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46106</v>
      </c>
      <c r="E469" s="1" t="n">
        <v>46313</v>
      </c>
      <c r="F469" t="inlineStr">
        <is>
          <t>GÄVLEBORGS LÄN</t>
        </is>
      </c>
      <c r="G469" t="inlineStr">
        <is>
          <t>BOLLNÄS</t>
        </is>
      </c>
      <c r="H469" t="inlineStr">
        <is>
          <t>Kyrkan</t>
        </is>
      </c>
      <c r="I469" t="n">
        <v>4.7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15391-2026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46106</v>
      </c>
      <c r="E470" s="1" t="n">
        <v>46313</v>
      </c>
      <c r="F470" t="inlineStr">
        <is>
          <t>GÄVLEBORGS LÄN</t>
        </is>
      </c>
      <c r="G470" t="inlineStr">
        <is>
          <t>BOLLNÄS</t>
        </is>
      </c>
      <c r="I470" t="n">
        <v>3.8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11546-2026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46084</v>
      </c>
      <c r="E471" s="1" t="n">
        <v>46313</v>
      </c>
      <c r="F471" t="inlineStr">
        <is>
          <t>GÄVLEBORGS LÄN</t>
        </is>
      </c>
      <c r="G471" t="inlineStr">
        <is>
          <t>BOLLNÄS</t>
        </is>
      </c>
      <c r="I471" t="n">
        <v>3.3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37099-2025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45875</v>
      </c>
      <c r="E472" s="1" t="n">
        <v>46313</v>
      </c>
      <c r="F472" t="inlineStr">
        <is>
          <t>GÄVLEBORGS LÄN</t>
        </is>
      </c>
      <c r="G472" t="inlineStr">
        <is>
          <t>BOLLNÄS</t>
        </is>
      </c>
      <c r="H472" t="inlineStr">
        <is>
          <t>Bergvik skog väst AB</t>
        </is>
      </c>
      <c r="I472" t="n">
        <v>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20032-2026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46136</v>
      </c>
      <c r="E473" s="1" t="n">
        <v>46313</v>
      </c>
      <c r="F473" t="inlineStr">
        <is>
          <t>GÄVLEBORGS LÄN</t>
        </is>
      </c>
      <c r="G473" t="inlineStr">
        <is>
          <t>BOLLNÄS</t>
        </is>
      </c>
      <c r="H473" t="inlineStr">
        <is>
          <t>Bergvik skog öst AB</t>
        </is>
      </c>
      <c r="I473" t="n">
        <v>20.5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20954-2026</t>
        </is>
      </c>
      <c r="B474" t="inlineStr">
        <is>
          <t>avverkningsanmälan</t>
        </is>
      </c>
      <c r="C474" t="inlineStr">
        <is>
          <t>Avverkning för annat ändamål</t>
        </is>
      </c>
      <c r="D474" s="1" t="n">
        <v>46142</v>
      </c>
      <c r="E474" s="1" t="n">
        <v>46313</v>
      </c>
      <c r="F474" t="inlineStr">
        <is>
          <t>GÄVLEBORGS LÄN</t>
        </is>
      </c>
      <c r="G474" t="inlineStr">
        <is>
          <t>BOLLNÄS</t>
        </is>
      </c>
      <c r="I474" t="n">
        <v>0.4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20963-2026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46142</v>
      </c>
      <c r="E475" s="1" t="n">
        <v>46313</v>
      </c>
      <c r="F475" t="inlineStr">
        <is>
          <t>GÄVLEBORGS LÄN</t>
        </is>
      </c>
      <c r="G475" t="inlineStr">
        <is>
          <t>BOLLNÄS</t>
        </is>
      </c>
      <c r="H475" t="inlineStr">
        <is>
          <t>Bergvik skog väst AB</t>
        </is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43808-2025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45912</v>
      </c>
      <c r="E476" s="1" t="n">
        <v>46313</v>
      </c>
      <c r="F476" t="inlineStr">
        <is>
          <t>GÄVLEBORGS LÄN</t>
        </is>
      </c>
      <c r="G476" t="inlineStr">
        <is>
          <t>BOLLNÄS</t>
        </is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43979-2025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45915</v>
      </c>
      <c r="E477" s="1" t="n">
        <v>46313</v>
      </c>
      <c r="F477" t="inlineStr">
        <is>
          <t>GÄVLEBORGS LÄN</t>
        </is>
      </c>
      <c r="G477" t="inlineStr">
        <is>
          <t>BOLLNÄS</t>
        </is>
      </c>
      <c r="H477" t="inlineStr">
        <is>
          <t>Kyrkan</t>
        </is>
      </c>
      <c r="I477" t="n">
        <v>3.8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49401-2023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45211</v>
      </c>
      <c r="E478" s="1" t="n">
        <v>46313</v>
      </c>
      <c r="F478" t="inlineStr">
        <is>
          <t>GÄVLEBORGS LÄN</t>
        </is>
      </c>
      <c r="G478" t="inlineStr">
        <is>
          <t>BOLLNÄS</t>
        </is>
      </c>
      <c r="I478" t="n">
        <v>1.6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20865-2026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46142</v>
      </c>
      <c r="E479" s="1" t="n">
        <v>46313</v>
      </c>
      <c r="F479" t="inlineStr">
        <is>
          <t>GÄVLEBORGS LÄN</t>
        </is>
      </c>
      <c r="G479" t="inlineStr">
        <is>
          <t>BOLLNÄS</t>
        </is>
      </c>
      <c r="H479" t="inlineStr">
        <is>
          <t>Bergvik skog väst AB</t>
        </is>
      </c>
      <c r="I479" t="n">
        <v>0.6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20869-2026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46142</v>
      </c>
      <c r="E480" s="1" t="n">
        <v>46313</v>
      </c>
      <c r="F480" t="inlineStr">
        <is>
          <t>GÄVLEBORGS LÄN</t>
        </is>
      </c>
      <c r="G480" t="inlineStr">
        <is>
          <t>BOLLNÄS</t>
        </is>
      </c>
      <c r="H480" t="inlineStr">
        <is>
          <t>Bergvik skog väst AB</t>
        </is>
      </c>
      <c r="I480" t="n">
        <v>1.5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20872-2026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46142</v>
      </c>
      <c r="E481" s="1" t="n">
        <v>46313</v>
      </c>
      <c r="F481" t="inlineStr">
        <is>
          <t>GÄVLEBORGS LÄN</t>
        </is>
      </c>
      <c r="G481" t="inlineStr">
        <is>
          <t>BOLLNÄS</t>
        </is>
      </c>
      <c r="H481" t="inlineStr">
        <is>
          <t>Bergvik skog väst AB</t>
        </is>
      </c>
      <c r="I481" t="n">
        <v>0.9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20878-2026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46142</v>
      </c>
      <c r="E482" s="1" t="n">
        <v>46313</v>
      </c>
      <c r="F482" t="inlineStr">
        <is>
          <t>GÄVLEBORGS LÄN</t>
        </is>
      </c>
      <c r="G482" t="inlineStr">
        <is>
          <t>BOLLNÄS</t>
        </is>
      </c>
      <c r="I482" t="n">
        <v>4.3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44230-2025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45915</v>
      </c>
      <c r="E483" s="1" t="n">
        <v>46313</v>
      </c>
      <c r="F483" t="inlineStr">
        <is>
          <t>GÄVLEBORGS LÄN</t>
        </is>
      </c>
      <c r="G483" t="inlineStr">
        <is>
          <t>BOLLNÄS</t>
        </is>
      </c>
      <c r="I483" t="n">
        <v>1.8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20762-2026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46141</v>
      </c>
      <c r="E484" s="1" t="n">
        <v>46313</v>
      </c>
      <c r="F484" t="inlineStr">
        <is>
          <t>GÄVLEBORGS LÄN</t>
        </is>
      </c>
      <c r="G484" t="inlineStr">
        <is>
          <t>BOLLNÄS</t>
        </is>
      </c>
      <c r="H484" t="inlineStr">
        <is>
          <t>Bergvik skog väst AB</t>
        </is>
      </c>
      <c r="I484" t="n">
        <v>1.2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43649-2025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45912</v>
      </c>
      <c r="E485" s="1" t="n">
        <v>46313</v>
      </c>
      <c r="F485" t="inlineStr">
        <is>
          <t>GÄVLEBORGS LÄN</t>
        </is>
      </c>
      <c r="G485" t="inlineStr">
        <is>
          <t>BOLLNÄS</t>
        </is>
      </c>
      <c r="I485" t="n">
        <v>1.3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20731-2026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46141</v>
      </c>
      <c r="E486" s="1" t="n">
        <v>46313</v>
      </c>
      <c r="F486" t="inlineStr">
        <is>
          <t>GÄVLEBORGS LÄN</t>
        </is>
      </c>
      <c r="G486" t="inlineStr">
        <is>
          <t>BOLLNÄS</t>
        </is>
      </c>
      <c r="H486" t="inlineStr">
        <is>
          <t>Kyrkan</t>
        </is>
      </c>
      <c r="I486" t="n">
        <v>0.9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13327-2026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46094</v>
      </c>
      <c r="E487" s="1" t="n">
        <v>46313</v>
      </c>
      <c r="F487" t="inlineStr">
        <is>
          <t>GÄVLEBORGS LÄN</t>
        </is>
      </c>
      <c r="G487" t="inlineStr">
        <is>
          <t>BOLLNÄS</t>
        </is>
      </c>
      <c r="I487" t="n">
        <v>1.7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20859-2026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46142</v>
      </c>
      <c r="E488" s="1" t="n">
        <v>46313</v>
      </c>
      <c r="F488" t="inlineStr">
        <is>
          <t>GÄVLEBORGS LÄN</t>
        </is>
      </c>
      <c r="G488" t="inlineStr">
        <is>
          <t>BOLLNÄS</t>
        </is>
      </c>
      <c r="H488" t="inlineStr">
        <is>
          <t>Bergvik skog väst AB</t>
        </is>
      </c>
      <c r="I488" t="n">
        <v>0.5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44085-2025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45915</v>
      </c>
      <c r="E489" s="1" t="n">
        <v>46313</v>
      </c>
      <c r="F489" t="inlineStr">
        <is>
          <t>GÄVLEBORGS LÄN</t>
        </is>
      </c>
      <c r="G489" t="inlineStr">
        <is>
          <t>BOLLNÄS</t>
        </is>
      </c>
      <c r="I489" t="n">
        <v>1.2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44110-2025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45915</v>
      </c>
      <c r="E490" s="1" t="n">
        <v>46313</v>
      </c>
      <c r="F490" t="inlineStr">
        <is>
          <t>GÄVLEBORGS LÄN</t>
        </is>
      </c>
      <c r="G490" t="inlineStr">
        <is>
          <t>BOLLNÄS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43946-2025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45915</v>
      </c>
      <c r="E491" s="1" t="n">
        <v>46313</v>
      </c>
      <c r="F491" t="inlineStr">
        <is>
          <t>GÄVLEBORGS LÄN</t>
        </is>
      </c>
      <c r="G491" t="inlineStr">
        <is>
          <t>BOLLNÄS</t>
        </is>
      </c>
      <c r="H491" t="inlineStr">
        <is>
          <t>Kyrkan</t>
        </is>
      </c>
      <c r="I491" t="n">
        <v>3.3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20868-2026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46142</v>
      </c>
      <c r="E492" s="1" t="n">
        <v>46313</v>
      </c>
      <c r="F492" t="inlineStr">
        <is>
          <t>GÄVLEBORGS LÄN</t>
        </is>
      </c>
      <c r="G492" t="inlineStr">
        <is>
          <t>BOLLNÄS</t>
        </is>
      </c>
      <c r="H492" t="inlineStr">
        <is>
          <t>Bergvik skog väst AB</t>
        </is>
      </c>
      <c r="I492" t="n">
        <v>2.9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43844-2025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45912</v>
      </c>
      <c r="E493" s="1" t="n">
        <v>46313</v>
      </c>
      <c r="F493" t="inlineStr">
        <is>
          <t>GÄVLEBORGS LÄN</t>
        </is>
      </c>
      <c r="G493" t="inlineStr">
        <is>
          <t>BOLLNÄS</t>
        </is>
      </c>
      <c r="I493" t="n">
        <v>0.5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44200-2025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45915</v>
      </c>
      <c r="E494" s="1" t="n">
        <v>46313</v>
      </c>
      <c r="F494" t="inlineStr">
        <is>
          <t>GÄVLEBORGS LÄN</t>
        </is>
      </c>
      <c r="G494" t="inlineStr">
        <is>
          <t>BOLLNÄS</t>
        </is>
      </c>
      <c r="I494" t="n">
        <v>1.7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2993-2026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46038</v>
      </c>
      <c r="E495" s="1" t="n">
        <v>46313</v>
      </c>
      <c r="F495" t="inlineStr">
        <is>
          <t>GÄVLEBORGS LÄN</t>
        </is>
      </c>
      <c r="G495" t="inlineStr">
        <is>
          <t>BOLLNÄS</t>
        </is>
      </c>
      <c r="I495" t="n">
        <v>5.2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44195-2025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45915</v>
      </c>
      <c r="E496" s="1" t="n">
        <v>46313</v>
      </c>
      <c r="F496" t="inlineStr">
        <is>
          <t>GÄVLEBORGS LÄN</t>
        </is>
      </c>
      <c r="G496" t="inlineStr">
        <is>
          <t>BOLLNÄS</t>
        </is>
      </c>
      <c r="I496" t="n">
        <v>1.9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57781-2024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45631</v>
      </c>
      <c r="E497" s="1" t="n">
        <v>46313</v>
      </c>
      <c r="F497" t="inlineStr">
        <is>
          <t>GÄVLEBORGS LÄN</t>
        </is>
      </c>
      <c r="G497" t="inlineStr">
        <is>
          <t>BOLLNÄS</t>
        </is>
      </c>
      <c r="I497" t="n">
        <v>1.4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2807-2026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46038</v>
      </c>
      <c r="E498" s="1" t="n">
        <v>46313</v>
      </c>
      <c r="F498" t="inlineStr">
        <is>
          <t>GÄVLEBORGS LÄN</t>
        </is>
      </c>
      <c r="G498" t="inlineStr">
        <is>
          <t>BOLLNÄS</t>
        </is>
      </c>
      <c r="I498" t="n">
        <v>5.4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21040-2026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46146</v>
      </c>
      <c r="E499" s="1" t="n">
        <v>46313</v>
      </c>
      <c r="F499" t="inlineStr">
        <is>
          <t>GÄVLEBORGS LÄN</t>
        </is>
      </c>
      <c r="G499" t="inlineStr">
        <is>
          <t>BOLLNÄS</t>
        </is>
      </c>
      <c r="I499" t="n">
        <v>1.2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12607-2026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46091</v>
      </c>
      <c r="E500" s="1" t="n">
        <v>46313</v>
      </c>
      <c r="F500" t="inlineStr">
        <is>
          <t>GÄVLEBORGS LÄN</t>
        </is>
      </c>
      <c r="G500" t="inlineStr">
        <is>
          <t>BOLLNÄS</t>
        </is>
      </c>
      <c r="I500" t="n">
        <v>1.5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29930-2025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45826</v>
      </c>
      <c r="E501" s="1" t="n">
        <v>46313</v>
      </c>
      <c r="F501" t="inlineStr">
        <is>
          <t>GÄVLEBORGS LÄN</t>
        </is>
      </c>
      <c r="G501" t="inlineStr">
        <is>
          <t>BOLLNÄS</t>
        </is>
      </c>
      <c r="I501" t="n">
        <v>1.7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21038-2026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46146</v>
      </c>
      <c r="E502" s="1" t="n">
        <v>46313</v>
      </c>
      <c r="F502" t="inlineStr">
        <is>
          <t>GÄVLEBORGS LÄN</t>
        </is>
      </c>
      <c r="G502" t="inlineStr">
        <is>
          <t>BOLLNÄS</t>
        </is>
      </c>
      <c r="I502" t="n">
        <v>3.4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32062-2023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45119</v>
      </c>
      <c r="E503" s="1" t="n">
        <v>46313</v>
      </c>
      <c r="F503" t="inlineStr">
        <is>
          <t>GÄVLEBORGS LÄN</t>
        </is>
      </c>
      <c r="G503" t="inlineStr">
        <is>
          <t>BOLLNÄS</t>
        </is>
      </c>
      <c r="I503" t="n">
        <v>1.5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21101-2026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46146</v>
      </c>
      <c r="E504" s="1" t="n">
        <v>46313</v>
      </c>
      <c r="F504" t="inlineStr">
        <is>
          <t>GÄVLEBORGS LÄN</t>
        </is>
      </c>
      <c r="G504" t="inlineStr">
        <is>
          <t>BOLLNÄS</t>
        </is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21036-2026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46146</v>
      </c>
      <c r="E505" s="1" t="n">
        <v>46313</v>
      </c>
      <c r="F505" t="inlineStr">
        <is>
          <t>GÄVLEBORGS LÄN</t>
        </is>
      </c>
      <c r="G505" t="inlineStr">
        <is>
          <t>BOLLNÄS</t>
        </is>
      </c>
      <c r="I505" t="n">
        <v>4.1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44643-2025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45917</v>
      </c>
      <c r="E506" s="1" t="n">
        <v>46313</v>
      </c>
      <c r="F506" t="inlineStr">
        <is>
          <t>GÄVLEBORGS LÄN</t>
        </is>
      </c>
      <c r="G506" t="inlineStr">
        <is>
          <t>BOLLNÄS</t>
        </is>
      </c>
      <c r="I506" t="n">
        <v>0.7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45239-2025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45919</v>
      </c>
      <c r="E507" s="1" t="n">
        <v>46313</v>
      </c>
      <c r="F507" t="inlineStr">
        <is>
          <t>GÄVLEBORGS LÄN</t>
        </is>
      </c>
      <c r="G507" t="inlineStr">
        <is>
          <t>BOLLNÄS</t>
        </is>
      </c>
      <c r="H507" t="inlineStr">
        <is>
          <t>Bergvik skog väst AB</t>
        </is>
      </c>
      <c r="I507" t="n">
        <v>0.8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6325-2026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46055</v>
      </c>
      <c r="E508" s="1" t="n">
        <v>46313</v>
      </c>
      <c r="F508" t="inlineStr">
        <is>
          <t>GÄVLEBORGS LÄN</t>
        </is>
      </c>
      <c r="G508" t="inlineStr">
        <is>
          <t>BOLLNÄS</t>
        </is>
      </c>
      <c r="I508" t="n">
        <v>3.8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45224-2025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45919</v>
      </c>
      <c r="E509" s="1" t="n">
        <v>46313</v>
      </c>
      <c r="F509" t="inlineStr">
        <is>
          <t>GÄVLEBORGS LÄN</t>
        </is>
      </c>
      <c r="G509" t="inlineStr">
        <is>
          <t>BOLLNÄS</t>
        </is>
      </c>
      <c r="H509" t="inlineStr">
        <is>
          <t>Bergvik skog väst AB</t>
        </is>
      </c>
      <c r="I509" t="n">
        <v>3.2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8035-2025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45707</v>
      </c>
      <c r="E510" s="1" t="n">
        <v>46313</v>
      </c>
      <c r="F510" t="inlineStr">
        <is>
          <t>GÄVLEBORGS LÄN</t>
        </is>
      </c>
      <c r="G510" t="inlineStr">
        <is>
          <t>BOLLNÄS</t>
        </is>
      </c>
      <c r="H510" t="inlineStr">
        <is>
          <t>Bergvik skog väst AB</t>
        </is>
      </c>
      <c r="I510" t="n">
        <v>2.1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21133-2026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46146</v>
      </c>
      <c r="E511" s="1" t="n">
        <v>46313</v>
      </c>
      <c r="F511" t="inlineStr">
        <is>
          <t>GÄVLEBORGS LÄN</t>
        </is>
      </c>
      <c r="G511" t="inlineStr">
        <is>
          <t>BOLLNÄS</t>
        </is>
      </c>
      <c r="H511" t="inlineStr">
        <is>
          <t>Bergvik skog väst AB</t>
        </is>
      </c>
      <c r="I511" t="n">
        <v>2.2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67547-2021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44524</v>
      </c>
      <c r="E512" s="1" t="n">
        <v>46313</v>
      </c>
      <c r="F512" t="inlineStr">
        <is>
          <t>GÄVLEBORGS LÄN</t>
        </is>
      </c>
      <c r="G512" t="inlineStr">
        <is>
          <t>BOLLNÄS</t>
        </is>
      </c>
      <c r="H512" t="inlineStr">
        <is>
          <t>Övriga statliga verk och myndigheter</t>
        </is>
      </c>
      <c r="I512" t="n">
        <v>3.7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21241-2026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46147</v>
      </c>
      <c r="E513" s="1" t="n">
        <v>46313</v>
      </c>
      <c r="F513" t="inlineStr">
        <is>
          <t>GÄVLEBORGS LÄN</t>
        </is>
      </c>
      <c r="G513" t="inlineStr">
        <is>
          <t>BOLLNÄS</t>
        </is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21242-2026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46147</v>
      </c>
      <c r="E514" s="1" t="n">
        <v>46313</v>
      </c>
      <c r="F514" t="inlineStr">
        <is>
          <t>GÄVLEBORGS LÄN</t>
        </is>
      </c>
      <c r="G514" t="inlineStr">
        <is>
          <t>BOLLNÄS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2587-2026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46037</v>
      </c>
      <c r="E515" s="1" t="n">
        <v>46313</v>
      </c>
      <c r="F515" t="inlineStr">
        <is>
          <t>GÄVLEBORGS LÄN</t>
        </is>
      </c>
      <c r="G515" t="inlineStr">
        <is>
          <t>BOLLNÄS</t>
        </is>
      </c>
      <c r="I515" t="n">
        <v>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21104-2026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46146</v>
      </c>
      <c r="E516" s="1" t="n">
        <v>46313</v>
      </c>
      <c r="F516" t="inlineStr">
        <is>
          <t>GÄVLEBORGS LÄN</t>
        </is>
      </c>
      <c r="G516" t="inlineStr">
        <is>
          <t>BOLLNÄS</t>
        </is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45044-2025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45919</v>
      </c>
      <c r="E517" s="1" t="n">
        <v>46313</v>
      </c>
      <c r="F517" t="inlineStr">
        <is>
          <t>GÄVLEBORGS LÄN</t>
        </is>
      </c>
      <c r="G517" t="inlineStr">
        <is>
          <t>BOLLNÄS</t>
        </is>
      </c>
      <c r="I517" t="n">
        <v>0.8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45050-2025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45919</v>
      </c>
      <c r="E518" s="1" t="n">
        <v>46313</v>
      </c>
      <c r="F518" t="inlineStr">
        <is>
          <t>GÄVLEBORGS LÄN</t>
        </is>
      </c>
      <c r="G518" t="inlineStr">
        <is>
          <t>BOLLNÄS</t>
        </is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21309-2026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46147</v>
      </c>
      <c r="E519" s="1" t="n">
        <v>46313</v>
      </c>
      <c r="F519" t="inlineStr">
        <is>
          <t>GÄVLEBORGS LÄN</t>
        </is>
      </c>
      <c r="G519" t="inlineStr">
        <is>
          <t>BOLLNÄS</t>
        </is>
      </c>
      <c r="H519" t="inlineStr">
        <is>
          <t>Bergvik skog väst AB</t>
        </is>
      </c>
      <c r="I519" t="n">
        <v>1.9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21313-2026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46147</v>
      </c>
      <c r="E520" s="1" t="n">
        <v>46313</v>
      </c>
      <c r="F520" t="inlineStr">
        <is>
          <t>GÄVLEBORGS LÄN</t>
        </is>
      </c>
      <c r="G520" t="inlineStr">
        <is>
          <t>BOLLNÄS</t>
        </is>
      </c>
      <c r="H520" t="inlineStr">
        <is>
          <t>Bergvik skog väst AB</t>
        </is>
      </c>
      <c r="I520" t="n">
        <v>2.5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45327-2025</t>
        </is>
      </c>
      <c r="B521" t="inlineStr">
        <is>
          <t>avverkningsanmälan</t>
        </is>
      </c>
      <c r="C521" t="inlineStr">
        <is>
          <t>Avverkning för annat ändamål</t>
        </is>
      </c>
      <c r="D521" s="1" t="n">
        <v>45922</v>
      </c>
      <c r="E521" s="1" t="n">
        <v>46313</v>
      </c>
      <c r="F521" t="inlineStr">
        <is>
          <t>GÄVLEBORGS LÄN</t>
        </is>
      </c>
      <c r="G521" t="inlineStr">
        <is>
          <t>BOLLNÄS</t>
        </is>
      </c>
      <c r="H521" t="inlineStr">
        <is>
          <t>Sveaskog</t>
        </is>
      </c>
      <c r="I521" t="n">
        <v>1.4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45832-2025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45923</v>
      </c>
      <c r="E522" s="1" t="n">
        <v>46313</v>
      </c>
      <c r="F522" t="inlineStr">
        <is>
          <t>GÄVLEBORGS LÄN</t>
        </is>
      </c>
      <c r="G522" t="inlineStr">
        <is>
          <t>BOLLNÄS</t>
        </is>
      </c>
      <c r="I522" t="n">
        <v>2.5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21299-2026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46147</v>
      </c>
      <c r="E523" s="1" t="n">
        <v>46313</v>
      </c>
      <c r="F523" t="inlineStr">
        <is>
          <t>GÄVLEBORGS LÄN</t>
        </is>
      </c>
      <c r="G523" t="inlineStr">
        <is>
          <t>BOLLNÄS</t>
        </is>
      </c>
      <c r="H523" t="inlineStr">
        <is>
          <t>Bergvik skog väst AB</t>
        </is>
      </c>
      <c r="I523" t="n">
        <v>2.4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21300-2026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46147</v>
      </c>
      <c r="E524" s="1" t="n">
        <v>46313</v>
      </c>
      <c r="F524" t="inlineStr">
        <is>
          <t>GÄVLEBORGS LÄN</t>
        </is>
      </c>
      <c r="G524" t="inlineStr">
        <is>
          <t>BOLLNÄS</t>
        </is>
      </c>
      <c r="H524" t="inlineStr">
        <is>
          <t>Bergvik skog väst AB</t>
        </is>
      </c>
      <c r="I524" t="n">
        <v>1.1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45889-2025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45923</v>
      </c>
      <c r="E525" s="1" t="n">
        <v>46313</v>
      </c>
      <c r="F525" t="inlineStr">
        <is>
          <t>GÄVLEBORGS LÄN</t>
        </is>
      </c>
      <c r="G525" t="inlineStr">
        <is>
          <t>BOLLNÄS</t>
        </is>
      </c>
      <c r="H525" t="inlineStr">
        <is>
          <t>Bergvik skog väst AB</t>
        </is>
      </c>
      <c r="I525" t="n">
        <v>2.1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45713-2025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45923</v>
      </c>
      <c r="E526" s="1" t="n">
        <v>46313</v>
      </c>
      <c r="F526" t="inlineStr">
        <is>
          <t>GÄVLEBORGS LÄN</t>
        </is>
      </c>
      <c r="G526" t="inlineStr">
        <is>
          <t>BOLLNÄS</t>
        </is>
      </c>
      <c r="H526" t="inlineStr">
        <is>
          <t>Kyrkan</t>
        </is>
      </c>
      <c r="I526" t="n">
        <v>3.4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45737-2025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45923</v>
      </c>
      <c r="E527" s="1" t="n">
        <v>46313</v>
      </c>
      <c r="F527" t="inlineStr">
        <is>
          <t>GÄVLEBORGS LÄN</t>
        </is>
      </c>
      <c r="G527" t="inlineStr">
        <is>
          <t>BOLLNÄS</t>
        </is>
      </c>
      <c r="H527" t="inlineStr">
        <is>
          <t>Kyrkan</t>
        </is>
      </c>
      <c r="I527" t="n">
        <v>1.3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45830-2025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45923</v>
      </c>
      <c r="E528" s="1" t="n">
        <v>46313</v>
      </c>
      <c r="F528" t="inlineStr">
        <is>
          <t>GÄVLEBORGS LÄN</t>
        </is>
      </c>
      <c r="G528" t="inlineStr">
        <is>
          <t>BOLLNÄS</t>
        </is>
      </c>
      <c r="I528" t="n">
        <v>1.4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45838-2025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45923</v>
      </c>
      <c r="E529" s="1" t="n">
        <v>46313</v>
      </c>
      <c r="F529" t="inlineStr">
        <is>
          <t>GÄVLEBORGS LÄN</t>
        </is>
      </c>
      <c r="G529" t="inlineStr">
        <is>
          <t>BOLLNÄS</t>
        </is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14772-2026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46101</v>
      </c>
      <c r="E530" s="1" t="n">
        <v>46313</v>
      </c>
      <c r="F530" t="inlineStr">
        <is>
          <t>GÄVLEBORGS LÄN</t>
        </is>
      </c>
      <c r="G530" t="inlineStr">
        <is>
          <t>BOLLNÄS</t>
        </is>
      </c>
      <c r="H530" t="inlineStr">
        <is>
          <t>Kommuner</t>
        </is>
      </c>
      <c r="I530" t="n">
        <v>3.5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45280-2025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45919</v>
      </c>
      <c r="E531" s="1" t="n">
        <v>46313</v>
      </c>
      <c r="F531" t="inlineStr">
        <is>
          <t>GÄVLEBORGS LÄN</t>
        </is>
      </c>
      <c r="G531" t="inlineStr">
        <is>
          <t>BOLLNÄS</t>
        </is>
      </c>
      <c r="I531" t="n">
        <v>3.5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45901-2025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45923</v>
      </c>
      <c r="E532" s="1" t="n">
        <v>46313</v>
      </c>
      <c r="F532" t="inlineStr">
        <is>
          <t>GÄVLEBORGS LÄN</t>
        </is>
      </c>
      <c r="G532" t="inlineStr">
        <is>
          <t>BOLLNÄS</t>
        </is>
      </c>
      <c r="H532" t="inlineStr">
        <is>
          <t>Bergvik skog väst AB</t>
        </is>
      </c>
      <c r="I532" t="n">
        <v>1.4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46185-2025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45924</v>
      </c>
      <c r="E533" s="1" t="n">
        <v>46313</v>
      </c>
      <c r="F533" t="inlineStr">
        <is>
          <t>GÄVLEBORGS LÄN</t>
        </is>
      </c>
      <c r="G533" t="inlineStr">
        <is>
          <t>BOLLNÄS</t>
        </is>
      </c>
      <c r="I533" t="n">
        <v>7.2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68516-2021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44526</v>
      </c>
      <c r="E534" s="1" t="n">
        <v>46313</v>
      </c>
      <c r="F534" t="inlineStr">
        <is>
          <t>GÄVLEBORGS LÄN</t>
        </is>
      </c>
      <c r="G534" t="inlineStr">
        <is>
          <t>BOLLNÄS</t>
        </is>
      </c>
      <c r="I534" t="n">
        <v>0.5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21517-2026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46148</v>
      </c>
      <c r="E535" s="1" t="n">
        <v>46313</v>
      </c>
      <c r="F535" t="inlineStr">
        <is>
          <t>GÄVLEBORGS LÄN</t>
        </is>
      </c>
      <c r="G535" t="inlineStr">
        <is>
          <t>BOLLNÄS</t>
        </is>
      </c>
      <c r="I535" t="n">
        <v>0.5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21572-2026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46148</v>
      </c>
      <c r="E536" s="1" t="n">
        <v>46313</v>
      </c>
      <c r="F536" t="inlineStr">
        <is>
          <t>GÄVLEBORGS LÄN</t>
        </is>
      </c>
      <c r="G536" t="inlineStr">
        <is>
          <t>BOLLNÄS</t>
        </is>
      </c>
      <c r="H536" t="inlineStr">
        <is>
          <t>Bergvik skog väst AB</t>
        </is>
      </c>
      <c r="I536" t="n">
        <v>1.6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45947-2025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45924</v>
      </c>
      <c r="E537" s="1" t="n">
        <v>46313</v>
      </c>
      <c r="F537" t="inlineStr">
        <is>
          <t>GÄVLEBORGS LÄN</t>
        </is>
      </c>
      <c r="G537" t="inlineStr">
        <is>
          <t>BOLLNÄS</t>
        </is>
      </c>
      <c r="I537" t="n">
        <v>3.3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21715-2026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46149</v>
      </c>
      <c r="E538" s="1" t="n">
        <v>46313</v>
      </c>
      <c r="F538" t="inlineStr">
        <is>
          <t>GÄVLEBORGS LÄN</t>
        </is>
      </c>
      <c r="G538" t="inlineStr">
        <is>
          <t>BOLLNÄS</t>
        </is>
      </c>
      <c r="I538" t="n">
        <v>5.3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45951-2025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45924</v>
      </c>
      <c r="E539" s="1" t="n">
        <v>46313</v>
      </c>
      <c r="F539" t="inlineStr">
        <is>
          <t>GÄVLEBORGS LÄN</t>
        </is>
      </c>
      <c r="G539" t="inlineStr">
        <is>
          <t>BOLLNÄS</t>
        </is>
      </c>
      <c r="I539" t="n">
        <v>0.7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21633-2026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46149</v>
      </c>
      <c r="E540" s="1" t="n">
        <v>46313</v>
      </c>
      <c r="F540" t="inlineStr">
        <is>
          <t>GÄVLEBORGS LÄN</t>
        </is>
      </c>
      <c r="G540" t="inlineStr">
        <is>
          <t>BOLLNÄS</t>
        </is>
      </c>
      <c r="H540" t="inlineStr">
        <is>
          <t>Bergvik skog väst AB</t>
        </is>
      </c>
      <c r="I540" t="n">
        <v>0.7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21681-2026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46149</v>
      </c>
      <c r="E541" s="1" t="n">
        <v>46313</v>
      </c>
      <c r="F541" t="inlineStr">
        <is>
          <t>GÄVLEBORGS LÄN</t>
        </is>
      </c>
      <c r="G541" t="inlineStr">
        <is>
          <t>BOLLNÄS</t>
        </is>
      </c>
      <c r="I541" t="n">
        <v>1.8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48141-2022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44858</v>
      </c>
      <c r="E542" s="1" t="n">
        <v>46313</v>
      </c>
      <c r="F542" t="inlineStr">
        <is>
          <t>GÄVLEBORGS LÄN</t>
        </is>
      </c>
      <c r="G542" t="inlineStr">
        <is>
          <t>BOLLNÄS</t>
        </is>
      </c>
      <c r="H542" t="inlineStr">
        <is>
          <t>Bergvik skog väst AB</t>
        </is>
      </c>
      <c r="I542" t="n">
        <v>1.5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35208-2025</t>
        </is>
      </c>
      <c r="B543" t="inlineStr">
        <is>
          <t>avverkningsanmälan</t>
        </is>
      </c>
      <c r="C543" t="inlineStr">
        <is>
          <t>Avverkning för att bevara och utveckla /försöksver</t>
        </is>
      </c>
      <c r="D543" s="1" t="n">
        <v>45853</v>
      </c>
      <c r="E543" s="1" t="n">
        <v>46313</v>
      </c>
      <c r="F543" t="inlineStr">
        <is>
          <t>GÄVLEBORGS LÄN</t>
        </is>
      </c>
      <c r="G543" t="inlineStr">
        <is>
          <t>BOLLNÄS</t>
        </is>
      </c>
      <c r="H543" t="inlineStr">
        <is>
          <t>Bergvik skog väst AB</t>
        </is>
      </c>
      <c r="I543" t="n">
        <v>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21741-2026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46149</v>
      </c>
      <c r="E544" s="1" t="n">
        <v>46313</v>
      </c>
      <c r="F544" t="inlineStr">
        <is>
          <t>GÄVLEBORGS LÄN</t>
        </is>
      </c>
      <c r="G544" t="inlineStr">
        <is>
          <t>BOLLNÄS</t>
        </is>
      </c>
      <c r="I544" t="n">
        <v>0.9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21520-2026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46148</v>
      </c>
      <c r="E545" s="1" t="n">
        <v>46313</v>
      </c>
      <c r="F545" t="inlineStr">
        <is>
          <t>GÄVLEBORGS LÄN</t>
        </is>
      </c>
      <c r="G545" t="inlineStr">
        <is>
          <t>BOLLNÄS</t>
        </is>
      </c>
      <c r="I545" t="n">
        <v>0.5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21521-2026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46148</v>
      </c>
      <c r="E546" s="1" t="n">
        <v>46313</v>
      </c>
      <c r="F546" t="inlineStr">
        <is>
          <t>GÄVLEBORGS LÄN</t>
        </is>
      </c>
      <c r="G546" t="inlineStr">
        <is>
          <t>BOLLNÄS</t>
        </is>
      </c>
      <c r="I546" t="n">
        <v>1.6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21399-2026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46148</v>
      </c>
      <c r="E547" s="1" t="n">
        <v>46313</v>
      </c>
      <c r="F547" t="inlineStr">
        <is>
          <t>GÄVLEBORGS LÄN</t>
        </is>
      </c>
      <c r="G547" t="inlineStr">
        <is>
          <t>BOLLNÄS</t>
        </is>
      </c>
      <c r="H547" t="inlineStr">
        <is>
          <t>Bergvik skog väst AB</t>
        </is>
      </c>
      <c r="I547" t="n">
        <v>0.6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21639-2026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46149</v>
      </c>
      <c r="E548" s="1" t="n">
        <v>46313</v>
      </c>
      <c r="F548" t="inlineStr">
        <is>
          <t>GÄVLEBORGS LÄN</t>
        </is>
      </c>
      <c r="G548" t="inlineStr">
        <is>
          <t>BOLLNÄS</t>
        </is>
      </c>
      <c r="I548" t="n">
        <v>1.8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21474-2026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46148</v>
      </c>
      <c r="E549" s="1" t="n">
        <v>46313</v>
      </c>
      <c r="F549" t="inlineStr">
        <is>
          <t>GÄVLEBORGS LÄN</t>
        </is>
      </c>
      <c r="G549" t="inlineStr">
        <is>
          <t>BOLLNÄS</t>
        </is>
      </c>
      <c r="H549" t="inlineStr">
        <is>
          <t>Bergvik skog väst AB</t>
        </is>
      </c>
      <c r="I549" t="n">
        <v>2.7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46675-2025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45926</v>
      </c>
      <c r="E550" s="1" t="n">
        <v>46313</v>
      </c>
      <c r="F550" t="inlineStr">
        <is>
          <t>GÄVLEBORGS LÄN</t>
        </is>
      </c>
      <c r="G550" t="inlineStr">
        <is>
          <t>BOLLNÄS</t>
        </is>
      </c>
      <c r="I550" t="n">
        <v>1.6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10805-2026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46078</v>
      </c>
      <c r="E551" s="1" t="n">
        <v>46313</v>
      </c>
      <c r="F551" t="inlineStr">
        <is>
          <t>GÄVLEBORGS LÄN</t>
        </is>
      </c>
      <c r="G551" t="inlineStr">
        <is>
          <t>BOLLNÄS</t>
        </is>
      </c>
      <c r="I551" t="n">
        <v>9.6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21698-2026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46149</v>
      </c>
      <c r="E552" s="1" t="n">
        <v>46313</v>
      </c>
      <c r="F552" t="inlineStr">
        <is>
          <t>GÄVLEBORGS LÄN</t>
        </is>
      </c>
      <c r="G552" t="inlineStr">
        <is>
          <t>BOLLNÄS</t>
        </is>
      </c>
      <c r="I552" t="n">
        <v>2.1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47108-2025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45929</v>
      </c>
      <c r="E553" s="1" t="n">
        <v>46313</v>
      </c>
      <c r="F553" t="inlineStr">
        <is>
          <t>GÄVLEBORGS LÄN</t>
        </is>
      </c>
      <c r="G553" t="inlineStr">
        <is>
          <t>BOLLNÄS</t>
        </is>
      </c>
      <c r="I553" t="n">
        <v>5.3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21614-2026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46149</v>
      </c>
      <c r="E554" s="1" t="n">
        <v>46313</v>
      </c>
      <c r="F554" t="inlineStr">
        <is>
          <t>GÄVLEBORGS LÄN</t>
        </is>
      </c>
      <c r="G554" t="inlineStr">
        <is>
          <t>BOLLNÄS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21637-2026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46149</v>
      </c>
      <c r="E555" s="1" t="n">
        <v>46313</v>
      </c>
      <c r="F555" t="inlineStr">
        <is>
          <t>GÄVLEBORGS LÄN</t>
        </is>
      </c>
      <c r="G555" t="inlineStr">
        <is>
          <t>BOLLNÄS</t>
        </is>
      </c>
      <c r="I555" t="n">
        <v>1.4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46883-2025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45929</v>
      </c>
      <c r="E556" s="1" t="n">
        <v>46313</v>
      </c>
      <c r="F556" t="inlineStr">
        <is>
          <t>GÄVLEBORGS LÄN</t>
        </is>
      </c>
      <c r="G556" t="inlineStr">
        <is>
          <t>BOLLNÄS</t>
        </is>
      </c>
      <c r="I556" t="n">
        <v>1.5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21510-2026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46148</v>
      </c>
      <c r="E557" s="1" t="n">
        <v>46313</v>
      </c>
      <c r="F557" t="inlineStr">
        <is>
          <t>GÄVLEBORGS LÄN</t>
        </is>
      </c>
      <c r="G557" t="inlineStr">
        <is>
          <t>BOLLNÄS</t>
        </is>
      </c>
      <c r="I557" t="n">
        <v>4.3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21600-2026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46149</v>
      </c>
      <c r="E558" s="1" t="n">
        <v>46313</v>
      </c>
      <c r="F558" t="inlineStr">
        <is>
          <t>GÄVLEBORGS LÄN</t>
        </is>
      </c>
      <c r="G558" t="inlineStr">
        <is>
          <t>BOLLNÄS</t>
        </is>
      </c>
      <c r="I558" t="n">
        <v>0.9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21485-2026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46148</v>
      </c>
      <c r="E559" s="1" t="n">
        <v>46313</v>
      </c>
      <c r="F559" t="inlineStr">
        <is>
          <t>GÄVLEBORGS LÄN</t>
        </is>
      </c>
      <c r="G559" t="inlineStr">
        <is>
          <t>BOLLNÄS</t>
        </is>
      </c>
      <c r="H559" t="inlineStr">
        <is>
          <t>Bergvik skog väst AB</t>
        </is>
      </c>
      <c r="I559" t="n">
        <v>3.3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47061-2025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45929</v>
      </c>
      <c r="E560" s="1" t="n">
        <v>46313</v>
      </c>
      <c r="F560" t="inlineStr">
        <is>
          <t>GÄVLEBORGS LÄN</t>
        </is>
      </c>
      <c r="G560" t="inlineStr">
        <is>
          <t>BOLLNÄS</t>
        </is>
      </c>
      <c r="I560" t="n">
        <v>0.8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47639-2025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45931</v>
      </c>
      <c r="E561" s="1" t="n">
        <v>46313</v>
      </c>
      <c r="F561" t="inlineStr">
        <is>
          <t>GÄVLEBORGS LÄN</t>
        </is>
      </c>
      <c r="G561" t="inlineStr">
        <is>
          <t>BOLLNÄS</t>
        </is>
      </c>
      <c r="I561" t="n">
        <v>1.3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21791-2026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46150</v>
      </c>
      <c r="E562" s="1" t="n">
        <v>46313</v>
      </c>
      <c r="F562" t="inlineStr">
        <is>
          <t>GÄVLEBORGS LÄN</t>
        </is>
      </c>
      <c r="G562" t="inlineStr">
        <is>
          <t>BOLLNÄS</t>
        </is>
      </c>
      <c r="I562" t="n">
        <v>1.3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20451-2026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46140</v>
      </c>
      <c r="E563" s="1" t="n">
        <v>46313</v>
      </c>
      <c r="F563" t="inlineStr">
        <is>
          <t>GÄVLEBORGS LÄN</t>
        </is>
      </c>
      <c r="G563" t="inlineStr">
        <is>
          <t>BOLLNÄS</t>
        </is>
      </c>
      <c r="H563" t="inlineStr">
        <is>
          <t>Bergvik skog väst AB</t>
        </is>
      </c>
      <c r="I563" t="n">
        <v>3.5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13596-2026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46097</v>
      </c>
      <c r="E564" s="1" t="n">
        <v>46313</v>
      </c>
      <c r="F564" t="inlineStr">
        <is>
          <t>GÄVLEBORGS LÄN</t>
        </is>
      </c>
      <c r="G564" t="inlineStr">
        <is>
          <t>BOLLNÄS</t>
        </is>
      </c>
      <c r="I564" t="n">
        <v>3.3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16049-2026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46108</v>
      </c>
      <c r="E565" s="1" t="n">
        <v>46313</v>
      </c>
      <c r="F565" t="inlineStr">
        <is>
          <t>GÄVLEBORGS LÄN</t>
        </is>
      </c>
      <c r="G565" t="inlineStr">
        <is>
          <t>BOLLNÄS</t>
        </is>
      </c>
      <c r="I565" t="n">
        <v>13.8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11561-2026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46084</v>
      </c>
      <c r="E566" s="1" t="n">
        <v>46313</v>
      </c>
      <c r="F566" t="inlineStr">
        <is>
          <t>GÄVLEBORGS LÄN</t>
        </is>
      </c>
      <c r="G566" t="inlineStr">
        <is>
          <t>BOLLNÄS</t>
        </is>
      </c>
      <c r="I566" t="n">
        <v>8.199999999999999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16453-2026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46112</v>
      </c>
      <c r="E567" s="1" t="n">
        <v>46313</v>
      </c>
      <c r="F567" t="inlineStr">
        <is>
          <t>GÄVLEBORGS LÄN</t>
        </is>
      </c>
      <c r="G567" t="inlineStr">
        <is>
          <t>BOLLNÄS</t>
        </is>
      </c>
      <c r="H567" t="inlineStr">
        <is>
          <t>Bergvik skog väst AB</t>
        </is>
      </c>
      <c r="I567" t="n">
        <v>4.9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21764-2026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46150</v>
      </c>
      <c r="E568" s="1" t="n">
        <v>46313</v>
      </c>
      <c r="F568" t="inlineStr">
        <is>
          <t>GÄVLEBORGS LÄN</t>
        </is>
      </c>
      <c r="G568" t="inlineStr">
        <is>
          <t>BOLLNÄS</t>
        </is>
      </c>
      <c r="H568" t="inlineStr">
        <is>
          <t>Bergvik skog väst AB</t>
        </is>
      </c>
      <c r="I568" t="n">
        <v>0.6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21793-2026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46150</v>
      </c>
      <c r="E569" s="1" t="n">
        <v>46313</v>
      </c>
      <c r="F569" t="inlineStr">
        <is>
          <t>GÄVLEBORGS LÄN</t>
        </is>
      </c>
      <c r="G569" t="inlineStr">
        <is>
          <t>BOLLNÄS</t>
        </is>
      </c>
      <c r="H569" t="inlineStr">
        <is>
          <t>Bergvik skog väst AB</t>
        </is>
      </c>
      <c r="I569" t="n">
        <v>2.7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21920-2026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46150</v>
      </c>
      <c r="E570" s="1" t="n">
        <v>46313</v>
      </c>
      <c r="F570" t="inlineStr">
        <is>
          <t>GÄVLEBORGS LÄN</t>
        </is>
      </c>
      <c r="G570" t="inlineStr">
        <is>
          <t>BOLLNÄS</t>
        </is>
      </c>
      <c r="I570" t="n">
        <v>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21767-2026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46150</v>
      </c>
      <c r="E571" s="1" t="n">
        <v>46313</v>
      </c>
      <c r="F571" t="inlineStr">
        <is>
          <t>GÄVLEBORGS LÄN</t>
        </is>
      </c>
      <c r="G571" t="inlineStr">
        <is>
          <t>BOLLNÄS</t>
        </is>
      </c>
      <c r="I571" t="n">
        <v>1.7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15812-2026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46107</v>
      </c>
      <c r="E572" s="1" t="n">
        <v>46313</v>
      </c>
      <c r="F572" t="inlineStr">
        <is>
          <t>GÄVLEBORGS LÄN</t>
        </is>
      </c>
      <c r="G572" t="inlineStr">
        <is>
          <t>BOLLNÄS</t>
        </is>
      </c>
      <c r="I572" t="n">
        <v>2.1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22195-2026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46153</v>
      </c>
      <c r="E573" s="1" t="n">
        <v>46313</v>
      </c>
      <c r="F573" t="inlineStr">
        <is>
          <t>GÄVLEBORGS LÄN</t>
        </is>
      </c>
      <c r="G573" t="inlineStr">
        <is>
          <t>BOLLNÄS</t>
        </is>
      </c>
      <c r="I573" t="n">
        <v>2.2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22065-2026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46153</v>
      </c>
      <c r="E574" s="1" t="n">
        <v>46313</v>
      </c>
      <c r="F574" t="inlineStr">
        <is>
          <t>GÄVLEBORGS LÄN</t>
        </is>
      </c>
      <c r="G574" t="inlineStr">
        <is>
          <t>BOLLNÄS</t>
        </is>
      </c>
      <c r="I574" t="n">
        <v>1.5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7100-2026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46058</v>
      </c>
      <c r="E575" s="1" t="n">
        <v>46313</v>
      </c>
      <c r="F575" t="inlineStr">
        <is>
          <t>GÄVLEBORGS LÄN</t>
        </is>
      </c>
      <c r="G575" t="inlineStr">
        <is>
          <t>BOLLNÄS</t>
        </is>
      </c>
      <c r="H575" t="inlineStr">
        <is>
          <t>Bergvik skog väst AB</t>
        </is>
      </c>
      <c r="I575" t="n">
        <v>0.9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22187-2026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46153</v>
      </c>
      <c r="E576" s="1" t="n">
        <v>46313</v>
      </c>
      <c r="F576" t="inlineStr">
        <is>
          <t>GÄVLEBORGS LÄN</t>
        </is>
      </c>
      <c r="G576" t="inlineStr">
        <is>
          <t>BOLLNÄS</t>
        </is>
      </c>
      <c r="I576" t="n">
        <v>0.6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16964-2026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46114</v>
      </c>
      <c r="E577" s="1" t="n">
        <v>46313</v>
      </c>
      <c r="F577" t="inlineStr">
        <is>
          <t>GÄVLEBORGS LÄN</t>
        </is>
      </c>
      <c r="G577" t="inlineStr">
        <is>
          <t>BOLLNÄS</t>
        </is>
      </c>
      <c r="I577" t="n">
        <v>1.1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16965-2026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46114</v>
      </c>
      <c r="E578" s="1" t="n">
        <v>46313</v>
      </c>
      <c r="F578" t="inlineStr">
        <is>
          <t>GÄVLEBORGS LÄN</t>
        </is>
      </c>
      <c r="G578" t="inlineStr">
        <is>
          <t>BOLLNÄS</t>
        </is>
      </c>
      <c r="I578" t="n">
        <v>0.5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22058-2026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46153</v>
      </c>
      <c r="E579" s="1" t="n">
        <v>46313</v>
      </c>
      <c r="F579" t="inlineStr">
        <is>
          <t>GÄVLEBORGS LÄN</t>
        </is>
      </c>
      <c r="G579" t="inlineStr">
        <is>
          <t>BOLLNÄS</t>
        </is>
      </c>
      <c r="I579" t="n">
        <v>1.5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22179-2026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46153</v>
      </c>
      <c r="E580" s="1" t="n">
        <v>46313</v>
      </c>
      <c r="F580" t="inlineStr">
        <is>
          <t>GÄVLEBORGS LÄN</t>
        </is>
      </c>
      <c r="G580" t="inlineStr">
        <is>
          <t>BOLLNÄS</t>
        </is>
      </c>
      <c r="I580" t="n">
        <v>0.5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8036-2026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46063</v>
      </c>
      <c r="E581" s="1" t="n">
        <v>46313</v>
      </c>
      <c r="F581" t="inlineStr">
        <is>
          <t>GÄVLEBORGS LÄN</t>
        </is>
      </c>
      <c r="G581" t="inlineStr">
        <is>
          <t>BOLLNÄS</t>
        </is>
      </c>
      <c r="I581" t="n">
        <v>1.2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16966-2026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46114</v>
      </c>
      <c r="E582" s="1" t="n">
        <v>46313</v>
      </c>
      <c r="F582" t="inlineStr">
        <is>
          <t>GÄVLEBORGS LÄN</t>
        </is>
      </c>
      <c r="G582" t="inlineStr">
        <is>
          <t>BOLLNÄS</t>
        </is>
      </c>
      <c r="I582" t="n">
        <v>0.4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16971-2026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46114</v>
      </c>
      <c r="E583" s="1" t="n">
        <v>46313</v>
      </c>
      <c r="F583" t="inlineStr">
        <is>
          <t>GÄVLEBORGS LÄN</t>
        </is>
      </c>
      <c r="G583" t="inlineStr">
        <is>
          <t>BOLLNÄS</t>
        </is>
      </c>
      <c r="I583" t="n">
        <v>2.2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50053-2022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44865</v>
      </c>
      <c r="E584" s="1" t="n">
        <v>46313</v>
      </c>
      <c r="F584" t="inlineStr">
        <is>
          <t>GÄVLEBORGS LÄN</t>
        </is>
      </c>
      <c r="G584" t="inlineStr">
        <is>
          <t>BOLLNÄS</t>
        </is>
      </c>
      <c r="I584" t="n">
        <v>0.9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1542-2026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46034</v>
      </c>
      <c r="E585" s="1" t="n">
        <v>46313</v>
      </c>
      <c r="F585" t="inlineStr">
        <is>
          <t>GÄVLEBORGS LÄN</t>
        </is>
      </c>
      <c r="G585" t="inlineStr">
        <is>
          <t>BOLLNÄS</t>
        </is>
      </c>
      <c r="I585" t="n">
        <v>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22206-2026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46153</v>
      </c>
      <c r="E586" s="1" t="n">
        <v>46313</v>
      </c>
      <c r="F586" t="inlineStr">
        <is>
          <t>GÄVLEBORGS LÄN</t>
        </is>
      </c>
      <c r="G586" t="inlineStr">
        <is>
          <t>BOLLNÄS</t>
        </is>
      </c>
      <c r="I586" t="n">
        <v>3.8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8119-2024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45351</v>
      </c>
      <c r="E587" s="1" t="n">
        <v>46313</v>
      </c>
      <c r="F587" t="inlineStr">
        <is>
          <t>GÄVLEBORGS LÄN</t>
        </is>
      </c>
      <c r="G587" t="inlineStr">
        <is>
          <t>BOLLNÄS</t>
        </is>
      </c>
      <c r="I587" t="n">
        <v>1.1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22185-2026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46153</v>
      </c>
      <c r="E588" s="1" t="n">
        <v>46313</v>
      </c>
      <c r="F588" t="inlineStr">
        <is>
          <t>GÄVLEBORGS LÄN</t>
        </is>
      </c>
      <c r="G588" t="inlineStr">
        <is>
          <t>BOLLNÄS</t>
        </is>
      </c>
      <c r="I588" t="n">
        <v>1.6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22190-2026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46153</v>
      </c>
      <c r="E589" s="1" t="n">
        <v>46313</v>
      </c>
      <c r="F589" t="inlineStr">
        <is>
          <t>GÄVLEBORGS LÄN</t>
        </is>
      </c>
      <c r="G589" t="inlineStr">
        <is>
          <t>BOLLNÄS</t>
        </is>
      </c>
      <c r="I589" t="n">
        <v>0.9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8156-2026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46064</v>
      </c>
      <c r="E590" s="1" t="n">
        <v>46313</v>
      </c>
      <c r="F590" t="inlineStr">
        <is>
          <t>GÄVLEBORGS LÄN</t>
        </is>
      </c>
      <c r="G590" t="inlineStr">
        <is>
          <t>BOLLNÄS</t>
        </is>
      </c>
      <c r="I590" t="n">
        <v>6.8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60759-2024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45644</v>
      </c>
      <c r="E591" s="1" t="n">
        <v>46313</v>
      </c>
      <c r="F591" t="inlineStr">
        <is>
          <t>GÄVLEBORGS LÄN</t>
        </is>
      </c>
      <c r="G591" t="inlineStr">
        <is>
          <t>BOLLNÄS</t>
        </is>
      </c>
      <c r="I591" t="n">
        <v>1.9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2022-2025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45672</v>
      </c>
      <c r="E592" s="1" t="n">
        <v>46313</v>
      </c>
      <c r="F592" t="inlineStr">
        <is>
          <t>GÄVLEBORGS LÄN</t>
        </is>
      </c>
      <c r="G592" t="inlineStr">
        <is>
          <t>BOLLNÄS</t>
        </is>
      </c>
      <c r="I592" t="n">
        <v>1.8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28981-2022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44749</v>
      </c>
      <c r="E593" s="1" t="n">
        <v>46313</v>
      </c>
      <c r="F593" t="inlineStr">
        <is>
          <t>GÄVLEBORGS LÄN</t>
        </is>
      </c>
      <c r="G593" t="inlineStr">
        <is>
          <t>BOLLNÄS</t>
        </is>
      </c>
      <c r="I593" t="n">
        <v>0.4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60956-2022</t>
        </is>
      </c>
      <c r="B594" t="inlineStr">
        <is>
          <t>avverkningsanmälan</t>
        </is>
      </c>
      <c r="C594" t="inlineStr">
        <is>
          <t>Avverkning för annat ändamål</t>
        </is>
      </c>
      <c r="D594" s="1" t="n">
        <v>44914</v>
      </c>
      <c r="E594" s="1" t="n">
        <v>46313</v>
      </c>
      <c r="F594" t="inlineStr">
        <is>
          <t>GÄVLEBORGS LÄN</t>
        </is>
      </c>
      <c r="G594" t="inlineStr">
        <is>
          <t>BOLLNÄS</t>
        </is>
      </c>
      <c r="I594" t="n">
        <v>0.5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50130-2025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45943</v>
      </c>
      <c r="E595" s="1" t="n">
        <v>46313</v>
      </c>
      <c r="F595" t="inlineStr">
        <is>
          <t>GÄVLEBORGS LÄN</t>
        </is>
      </c>
      <c r="G595" t="inlineStr">
        <is>
          <t>BOLLNÄS</t>
        </is>
      </c>
      <c r="H595" t="inlineStr">
        <is>
          <t>Bergvik skog väst AB</t>
        </is>
      </c>
      <c r="I595" t="n">
        <v>3.1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49811-2025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45940</v>
      </c>
      <c r="E596" s="1" t="n">
        <v>46313</v>
      </c>
      <c r="F596" t="inlineStr">
        <is>
          <t>GÄVLEBORGS LÄN</t>
        </is>
      </c>
      <c r="G596" t="inlineStr">
        <is>
          <t>BOLLNÄS</t>
        </is>
      </c>
      <c r="H596" t="inlineStr">
        <is>
          <t>Bergvik skog väst AB</t>
        </is>
      </c>
      <c r="I596" t="n">
        <v>1.2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22002-2026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46153</v>
      </c>
      <c r="E597" s="1" t="n">
        <v>46313</v>
      </c>
      <c r="F597" t="inlineStr">
        <is>
          <t>GÄVLEBORGS LÄN</t>
        </is>
      </c>
      <c r="G597" t="inlineStr">
        <is>
          <t>BOLLNÄS</t>
        </is>
      </c>
      <c r="H597" t="inlineStr">
        <is>
          <t>Bergvik skog väst AB</t>
        </is>
      </c>
      <c r="I597" t="n">
        <v>9.199999999999999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50157-2025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45943</v>
      </c>
      <c r="E598" s="1" t="n">
        <v>46313</v>
      </c>
      <c r="F598" t="inlineStr">
        <is>
          <t>GÄVLEBORGS LÄN</t>
        </is>
      </c>
      <c r="G598" t="inlineStr">
        <is>
          <t>BOLLNÄS</t>
        </is>
      </c>
      <c r="I598" t="n">
        <v>1.2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43152-2023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45183</v>
      </c>
      <c r="E599" s="1" t="n">
        <v>46313</v>
      </c>
      <c r="F599" t="inlineStr">
        <is>
          <t>GÄVLEBORGS LÄN</t>
        </is>
      </c>
      <c r="G599" t="inlineStr">
        <is>
          <t>BOLLNÄS</t>
        </is>
      </c>
      <c r="I599" t="n">
        <v>0.7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49848-2025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45940</v>
      </c>
      <c r="E600" s="1" t="n">
        <v>46313</v>
      </c>
      <c r="F600" t="inlineStr">
        <is>
          <t>GÄVLEBORGS LÄN</t>
        </is>
      </c>
      <c r="G600" t="inlineStr">
        <is>
          <t>BOLLNÄS</t>
        </is>
      </c>
      <c r="H600" t="inlineStr">
        <is>
          <t>Bergvik skog väst AB</t>
        </is>
      </c>
      <c r="I600" t="n">
        <v>4.2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50218-2025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45943</v>
      </c>
      <c r="E601" s="1" t="n">
        <v>46313</v>
      </c>
      <c r="F601" t="inlineStr">
        <is>
          <t>GÄVLEBORGS LÄN</t>
        </is>
      </c>
      <c r="G601" t="inlineStr">
        <is>
          <t>BOLLNÄS</t>
        </is>
      </c>
      <c r="I601" t="n">
        <v>1.1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49742-2025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45940</v>
      </c>
      <c r="E602" s="1" t="n">
        <v>46313</v>
      </c>
      <c r="F602" t="inlineStr">
        <is>
          <t>GÄVLEBORGS LÄN</t>
        </is>
      </c>
      <c r="G602" t="inlineStr">
        <is>
          <t>BOLLNÄS</t>
        </is>
      </c>
      <c r="I602" t="n">
        <v>3.2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22494-2026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46155</v>
      </c>
      <c r="E603" s="1" t="n">
        <v>46313</v>
      </c>
      <c r="F603" t="inlineStr">
        <is>
          <t>GÄVLEBORGS LÄN</t>
        </is>
      </c>
      <c r="G603" t="inlineStr">
        <is>
          <t>BOLLNÄS</t>
        </is>
      </c>
      <c r="I603" t="n">
        <v>0.5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22554-2026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46155</v>
      </c>
      <c r="E604" s="1" t="n">
        <v>46313</v>
      </c>
      <c r="F604" t="inlineStr">
        <is>
          <t>GÄVLEBORGS LÄN</t>
        </is>
      </c>
      <c r="G604" t="inlineStr">
        <is>
          <t>BOLLNÄS</t>
        </is>
      </c>
      <c r="I604" t="n">
        <v>29.4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22394-2026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46154</v>
      </c>
      <c r="E605" s="1" t="n">
        <v>46313</v>
      </c>
      <c r="F605" t="inlineStr">
        <is>
          <t>GÄVLEBORGS LÄN</t>
        </is>
      </c>
      <c r="G605" t="inlineStr">
        <is>
          <t>BOLLNÄS</t>
        </is>
      </c>
      <c r="I605" t="n">
        <v>2.7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12763-2026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46091</v>
      </c>
      <c r="E606" s="1" t="n">
        <v>46313</v>
      </c>
      <c r="F606" t="inlineStr">
        <is>
          <t>GÄVLEBORGS LÄN</t>
        </is>
      </c>
      <c r="G606" t="inlineStr">
        <is>
          <t>BOLLNÄS</t>
        </is>
      </c>
      <c r="I606" t="n">
        <v>3.3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12487-2026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46090</v>
      </c>
      <c r="E607" s="1" t="n">
        <v>46313</v>
      </c>
      <c r="F607" t="inlineStr">
        <is>
          <t>GÄVLEBORGS LÄN</t>
        </is>
      </c>
      <c r="G607" t="inlineStr">
        <is>
          <t>BOLLNÄS</t>
        </is>
      </c>
      <c r="H607" t="inlineStr">
        <is>
          <t>Holmen skog AB</t>
        </is>
      </c>
      <c r="I607" t="n">
        <v>8.199999999999999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5579-2022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44595</v>
      </c>
      <c r="E608" s="1" t="n">
        <v>46313</v>
      </c>
      <c r="F608" t="inlineStr">
        <is>
          <t>GÄVLEBORGS LÄN</t>
        </is>
      </c>
      <c r="G608" t="inlineStr">
        <is>
          <t>BOLLNÄS</t>
        </is>
      </c>
      <c r="I608" t="n">
        <v>0.9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22532-2026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46155</v>
      </c>
      <c r="E609" s="1" t="n">
        <v>46313</v>
      </c>
      <c r="F609" t="inlineStr">
        <is>
          <t>GÄVLEBORGS LÄN</t>
        </is>
      </c>
      <c r="G609" t="inlineStr">
        <is>
          <t>BOLLNÄS</t>
        </is>
      </c>
      <c r="I609" t="n">
        <v>10.6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12869-2026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46092</v>
      </c>
      <c r="E610" s="1" t="n">
        <v>46313</v>
      </c>
      <c r="F610" t="inlineStr">
        <is>
          <t>GÄVLEBORGS LÄN</t>
        </is>
      </c>
      <c r="G610" t="inlineStr">
        <is>
          <t>BOLLNÄS</t>
        </is>
      </c>
      <c r="I610" t="n">
        <v>3.5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8203-2026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46064</v>
      </c>
      <c r="E611" s="1" t="n">
        <v>46313</v>
      </c>
      <c r="F611" t="inlineStr">
        <is>
          <t>GÄVLEBORGS LÄN</t>
        </is>
      </c>
      <c r="G611" t="inlineStr">
        <is>
          <t>BOLLNÄS</t>
        </is>
      </c>
      <c r="I611" t="n">
        <v>1.2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59331-2022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44904</v>
      </c>
      <c r="E612" s="1" t="n">
        <v>46313</v>
      </c>
      <c r="F612" t="inlineStr">
        <is>
          <t>GÄVLEBORGS LÄN</t>
        </is>
      </c>
      <c r="G612" t="inlineStr">
        <is>
          <t>BOLLNÄS</t>
        </is>
      </c>
      <c r="I612" t="n">
        <v>2.3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51563-2025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45951</v>
      </c>
      <c r="E613" s="1" t="n">
        <v>46313</v>
      </c>
      <c r="F613" t="inlineStr">
        <is>
          <t>GÄVLEBORGS LÄN</t>
        </is>
      </c>
      <c r="G613" t="inlineStr">
        <is>
          <t>BOLLNÄS</t>
        </is>
      </c>
      <c r="I613" t="n">
        <v>3.5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13540-2026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46094</v>
      </c>
      <c r="E614" s="1" t="n">
        <v>46313</v>
      </c>
      <c r="F614" t="inlineStr">
        <is>
          <t>GÄVLEBORGS LÄN</t>
        </is>
      </c>
      <c r="G614" t="inlineStr">
        <is>
          <t>BOLLNÄS</t>
        </is>
      </c>
      <c r="I614" t="n">
        <v>2.9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22540-2026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46155</v>
      </c>
      <c r="E615" s="1" t="n">
        <v>46313</v>
      </c>
      <c r="F615" t="inlineStr">
        <is>
          <t>GÄVLEBORGS LÄN</t>
        </is>
      </c>
      <c r="G615" t="inlineStr">
        <is>
          <t>BOLLNÄS</t>
        </is>
      </c>
      <c r="I615" t="n">
        <v>1.2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22549-2026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46155</v>
      </c>
      <c r="E616" s="1" t="n">
        <v>46313</v>
      </c>
      <c r="F616" t="inlineStr">
        <is>
          <t>GÄVLEBORGS LÄN</t>
        </is>
      </c>
      <c r="G616" t="inlineStr">
        <is>
          <t>BOLLNÄS</t>
        </is>
      </c>
      <c r="I616" t="n">
        <v>10.8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22513-2026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46155</v>
      </c>
      <c r="E617" s="1" t="n">
        <v>46313</v>
      </c>
      <c r="F617" t="inlineStr">
        <is>
          <t>GÄVLEBORGS LÄN</t>
        </is>
      </c>
      <c r="G617" t="inlineStr">
        <is>
          <t>BOLLNÄS</t>
        </is>
      </c>
      <c r="I617" t="n">
        <v>1.1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52303-2025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45953</v>
      </c>
      <c r="E618" s="1" t="n">
        <v>46313</v>
      </c>
      <c r="F618" t="inlineStr">
        <is>
          <t>GÄVLEBORGS LÄN</t>
        </is>
      </c>
      <c r="G618" t="inlineStr">
        <is>
          <t>BOLLNÄS</t>
        </is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732-2026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46029</v>
      </c>
      <c r="E619" s="1" t="n">
        <v>46313</v>
      </c>
      <c r="F619" t="inlineStr">
        <is>
          <t>GÄVLEBORGS LÄN</t>
        </is>
      </c>
      <c r="G619" t="inlineStr">
        <is>
          <t>BOLLNÄS</t>
        </is>
      </c>
      <c r="I619" t="n">
        <v>0.9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51878-2025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45952</v>
      </c>
      <c r="E620" s="1" t="n">
        <v>46313</v>
      </c>
      <c r="F620" t="inlineStr">
        <is>
          <t>GÄVLEBORGS LÄN</t>
        </is>
      </c>
      <c r="G620" t="inlineStr">
        <is>
          <t>BOLLNÄS</t>
        </is>
      </c>
      <c r="I620" t="n">
        <v>1.5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9336-2026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46070</v>
      </c>
      <c r="E621" s="1" t="n">
        <v>46313</v>
      </c>
      <c r="F621" t="inlineStr">
        <is>
          <t>GÄVLEBORGS LÄN</t>
        </is>
      </c>
      <c r="G621" t="inlineStr">
        <is>
          <t>BOLLNÄS</t>
        </is>
      </c>
      <c r="I621" t="n">
        <v>6.2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51884-2025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45952</v>
      </c>
      <c r="E622" s="1" t="n">
        <v>46313</v>
      </c>
      <c r="F622" t="inlineStr">
        <is>
          <t>GÄVLEBORGS LÄN</t>
        </is>
      </c>
      <c r="G622" t="inlineStr">
        <is>
          <t>BOLLNÄS</t>
        </is>
      </c>
      <c r="I622" t="n">
        <v>2.2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51853-2025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45952</v>
      </c>
      <c r="E623" s="1" t="n">
        <v>46313</v>
      </c>
      <c r="F623" t="inlineStr">
        <is>
          <t>GÄVLEBORGS LÄN</t>
        </is>
      </c>
      <c r="G623" t="inlineStr">
        <is>
          <t>BOLLNÄS</t>
        </is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1546-2026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46034</v>
      </c>
      <c r="E624" s="1" t="n">
        <v>46313</v>
      </c>
      <c r="F624" t="inlineStr">
        <is>
          <t>GÄVLEBORGS LÄN</t>
        </is>
      </c>
      <c r="G624" t="inlineStr">
        <is>
          <t>BOLLNÄS</t>
        </is>
      </c>
      <c r="I624" t="n">
        <v>3.5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6473-2026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46056</v>
      </c>
      <c r="E625" s="1" t="n">
        <v>46313</v>
      </c>
      <c r="F625" t="inlineStr">
        <is>
          <t>GÄVLEBORGS LÄN</t>
        </is>
      </c>
      <c r="G625" t="inlineStr">
        <is>
          <t>BOLLNÄS</t>
        </is>
      </c>
      <c r="I625" t="n">
        <v>7.3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22254-2026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46154</v>
      </c>
      <c r="E626" s="1" t="n">
        <v>46313</v>
      </c>
      <c r="F626" t="inlineStr">
        <is>
          <t>GÄVLEBORGS LÄN</t>
        </is>
      </c>
      <c r="G626" t="inlineStr">
        <is>
          <t>BOLLNÄS</t>
        </is>
      </c>
      <c r="I626" t="n">
        <v>5.8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22303-2026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46154</v>
      </c>
      <c r="E627" s="1" t="n">
        <v>46313</v>
      </c>
      <c r="F627" t="inlineStr">
        <is>
          <t>GÄVLEBORGS LÄN</t>
        </is>
      </c>
      <c r="G627" t="inlineStr">
        <is>
          <t>BOLLNÄS</t>
        </is>
      </c>
      <c r="I627" t="n">
        <v>0.6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18486-2022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44686</v>
      </c>
      <c r="E628" s="1" t="n">
        <v>46313</v>
      </c>
      <c r="F628" t="inlineStr">
        <is>
          <t>GÄVLEBORGS LÄN</t>
        </is>
      </c>
      <c r="G628" t="inlineStr">
        <is>
          <t>BOLLNÄS</t>
        </is>
      </c>
      <c r="I628" t="n">
        <v>1.2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51862-2025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45952</v>
      </c>
      <c r="E629" s="1" t="n">
        <v>46313</v>
      </c>
      <c r="F629" t="inlineStr">
        <is>
          <t>GÄVLEBORGS LÄN</t>
        </is>
      </c>
      <c r="G629" t="inlineStr">
        <is>
          <t>BOLLNÄS</t>
        </is>
      </c>
      <c r="I629" t="n">
        <v>0.7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22311-2026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46154</v>
      </c>
      <c r="E630" s="1" t="n">
        <v>46313</v>
      </c>
      <c r="F630" t="inlineStr">
        <is>
          <t>GÄVLEBORGS LÄN</t>
        </is>
      </c>
      <c r="G630" t="inlineStr">
        <is>
          <t>BOLLNÄS</t>
        </is>
      </c>
      <c r="I630" t="n">
        <v>0.9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14271-2026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46099</v>
      </c>
      <c r="E631" s="1" t="n">
        <v>46313</v>
      </c>
      <c r="F631" t="inlineStr">
        <is>
          <t>GÄVLEBORGS LÄN</t>
        </is>
      </c>
      <c r="G631" t="inlineStr">
        <is>
          <t>BOLLNÄS</t>
        </is>
      </c>
      <c r="I631" t="n">
        <v>3.8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4955-2026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46049</v>
      </c>
      <c r="E632" s="1" t="n">
        <v>46313</v>
      </c>
      <c r="F632" t="inlineStr">
        <is>
          <t>GÄVLEBORGS LÄN</t>
        </is>
      </c>
      <c r="G632" t="inlineStr">
        <is>
          <t>BOLLNÄS</t>
        </is>
      </c>
      <c r="I632" t="n">
        <v>7.1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21503-2026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46148</v>
      </c>
      <c r="E633" s="1" t="n">
        <v>46313</v>
      </c>
      <c r="F633" t="inlineStr">
        <is>
          <t>GÄVLEBORGS LÄN</t>
        </is>
      </c>
      <c r="G633" t="inlineStr">
        <is>
          <t>BOLLNÄS</t>
        </is>
      </c>
      <c r="I633" t="n">
        <v>2.4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12992-2026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46092</v>
      </c>
      <c r="E634" s="1" t="n">
        <v>46313</v>
      </c>
      <c r="F634" t="inlineStr">
        <is>
          <t>GÄVLEBORGS LÄN</t>
        </is>
      </c>
      <c r="G634" t="inlineStr">
        <is>
          <t>BOLLNÄS</t>
        </is>
      </c>
      <c r="I634" t="n">
        <v>2.7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13680-2026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46097</v>
      </c>
      <c r="E635" s="1" t="n">
        <v>46313</v>
      </c>
      <c r="F635" t="inlineStr">
        <is>
          <t>GÄVLEBORGS LÄN</t>
        </is>
      </c>
      <c r="G635" t="inlineStr">
        <is>
          <t>BOLLNÄS</t>
        </is>
      </c>
      <c r="H635" t="inlineStr">
        <is>
          <t>Bergvik skog väst AB</t>
        </is>
      </c>
      <c r="I635" t="n">
        <v>6.1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52447-2025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45954</v>
      </c>
      <c r="E636" s="1" t="n">
        <v>46313</v>
      </c>
      <c r="F636" t="inlineStr">
        <is>
          <t>GÄVLEBORGS LÄN</t>
        </is>
      </c>
      <c r="G636" t="inlineStr">
        <is>
          <t>BOLLNÄS</t>
        </is>
      </c>
      <c r="I636" t="n">
        <v>2.7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9420-2026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46071</v>
      </c>
      <c r="E637" s="1" t="n">
        <v>46313</v>
      </c>
      <c r="F637" t="inlineStr">
        <is>
          <t>GÄVLEBORGS LÄN</t>
        </is>
      </c>
      <c r="G637" t="inlineStr">
        <is>
          <t>BOLLNÄS</t>
        </is>
      </c>
      <c r="H637" t="inlineStr">
        <is>
          <t>Bergvik skog väst AB</t>
        </is>
      </c>
      <c r="I637" t="n">
        <v>1.6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22599-2026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46155</v>
      </c>
      <c r="E638" s="1" t="n">
        <v>46313</v>
      </c>
      <c r="F638" t="inlineStr">
        <is>
          <t>GÄVLEBORGS LÄN</t>
        </is>
      </c>
      <c r="G638" t="inlineStr">
        <is>
          <t>BOLLNÄS</t>
        </is>
      </c>
      <c r="I638" t="n">
        <v>0.3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9612-2026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46072</v>
      </c>
      <c r="E639" s="1" t="n">
        <v>46313</v>
      </c>
      <c r="F639" t="inlineStr">
        <is>
          <t>GÄVLEBORGS LÄN</t>
        </is>
      </c>
      <c r="G639" t="inlineStr">
        <is>
          <t>BOLLNÄS</t>
        </is>
      </c>
      <c r="I639" t="n">
        <v>7.9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22510-2026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46155</v>
      </c>
      <c r="E640" s="1" t="n">
        <v>46313</v>
      </c>
      <c r="F640" t="inlineStr">
        <is>
          <t>GÄVLEBORGS LÄN</t>
        </is>
      </c>
      <c r="G640" t="inlineStr">
        <is>
          <t>BOLLNÄS</t>
        </is>
      </c>
      <c r="I640" t="n">
        <v>6.1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6001-2026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46052</v>
      </c>
      <c r="E641" s="1" t="n">
        <v>46313</v>
      </c>
      <c r="F641" t="inlineStr">
        <is>
          <t>GÄVLEBORGS LÄN</t>
        </is>
      </c>
      <c r="G641" t="inlineStr">
        <is>
          <t>BOLLNÄS</t>
        </is>
      </c>
      <c r="I641" t="n">
        <v>6.3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22609-2026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46155</v>
      </c>
      <c r="E642" s="1" t="n">
        <v>46313</v>
      </c>
      <c r="F642" t="inlineStr">
        <is>
          <t>GÄVLEBORGS LÄN</t>
        </is>
      </c>
      <c r="G642" t="inlineStr">
        <is>
          <t>BOLLNÄS</t>
        </is>
      </c>
      <c r="I642" t="n">
        <v>1.4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22305-2026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46154</v>
      </c>
      <c r="E643" s="1" t="n">
        <v>46313</v>
      </c>
      <c r="F643" t="inlineStr">
        <is>
          <t>GÄVLEBORGS LÄN</t>
        </is>
      </c>
      <c r="G643" t="inlineStr">
        <is>
          <t>BOLLNÄS</t>
        </is>
      </c>
      <c r="I643" t="n">
        <v>1.1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22316-2026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46154</v>
      </c>
      <c r="E644" s="1" t="n">
        <v>46313</v>
      </c>
      <c r="F644" t="inlineStr">
        <is>
          <t>GÄVLEBORGS LÄN</t>
        </is>
      </c>
      <c r="G644" t="inlineStr">
        <is>
          <t>BOLLNÄS</t>
        </is>
      </c>
      <c r="I644" t="n">
        <v>0.7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50746-2025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45946</v>
      </c>
      <c r="E645" s="1" t="n">
        <v>46313</v>
      </c>
      <c r="F645" t="inlineStr">
        <is>
          <t>GÄVLEBORGS LÄN</t>
        </is>
      </c>
      <c r="G645" t="inlineStr">
        <is>
          <t>BOLLNÄS</t>
        </is>
      </c>
      <c r="H645" t="inlineStr">
        <is>
          <t>Bergvik skog väst AB</t>
        </is>
      </c>
      <c r="I645" t="n">
        <v>2.2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22761-2026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46157</v>
      </c>
      <c r="E646" s="1" t="n">
        <v>46313</v>
      </c>
      <c r="F646" t="inlineStr">
        <is>
          <t>GÄVLEBORGS LÄN</t>
        </is>
      </c>
      <c r="G646" t="inlineStr">
        <is>
          <t>BOLLNÄS</t>
        </is>
      </c>
      <c r="I646" t="n">
        <v>6.1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53195-2025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45958</v>
      </c>
      <c r="E647" s="1" t="n">
        <v>46313</v>
      </c>
      <c r="F647" t="inlineStr">
        <is>
          <t>GÄVLEBORGS LÄN</t>
        </is>
      </c>
      <c r="G647" t="inlineStr">
        <is>
          <t>BOLLNÄS</t>
        </is>
      </c>
      <c r="I647" t="n">
        <v>0.9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22746-2026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46157</v>
      </c>
      <c r="E648" s="1" t="n">
        <v>46313</v>
      </c>
      <c r="F648" t="inlineStr">
        <is>
          <t>GÄVLEBORGS LÄN</t>
        </is>
      </c>
      <c r="G648" t="inlineStr">
        <is>
          <t>BOLLNÄS</t>
        </is>
      </c>
      <c r="I648" t="n">
        <v>0.9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53063-2025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45958</v>
      </c>
      <c r="E649" s="1" t="n">
        <v>46313</v>
      </c>
      <c r="F649" t="inlineStr">
        <is>
          <t>GÄVLEBORGS LÄN</t>
        </is>
      </c>
      <c r="G649" t="inlineStr">
        <is>
          <t>BOLLNÄS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53444-2025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45959</v>
      </c>
      <c r="E650" s="1" t="n">
        <v>46313</v>
      </c>
      <c r="F650" t="inlineStr">
        <is>
          <t>GÄVLEBORGS LÄN</t>
        </is>
      </c>
      <c r="G650" t="inlineStr">
        <is>
          <t>BOLLNÄS</t>
        </is>
      </c>
      <c r="I650" t="n">
        <v>1.6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53198-2025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45958</v>
      </c>
      <c r="E651" s="1" t="n">
        <v>46313</v>
      </c>
      <c r="F651" t="inlineStr">
        <is>
          <t>GÄVLEBORGS LÄN</t>
        </is>
      </c>
      <c r="G651" t="inlineStr">
        <is>
          <t>BOLLNÄS</t>
        </is>
      </c>
      <c r="I651" t="n">
        <v>0.5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20036-2026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46136</v>
      </c>
      <c r="E652" s="1" t="n">
        <v>46313</v>
      </c>
      <c r="F652" t="inlineStr">
        <is>
          <t>GÄVLEBORGS LÄN</t>
        </is>
      </c>
      <c r="G652" t="inlineStr">
        <is>
          <t>BOLLNÄS</t>
        </is>
      </c>
      <c r="H652" t="inlineStr">
        <is>
          <t>Bergvik skog öst AB</t>
        </is>
      </c>
      <c r="I652" t="n">
        <v>23.8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53037-2025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45958</v>
      </c>
      <c r="E653" s="1" t="n">
        <v>46313</v>
      </c>
      <c r="F653" t="inlineStr">
        <is>
          <t>GÄVLEBORGS LÄN</t>
        </is>
      </c>
      <c r="G653" t="inlineStr">
        <is>
          <t>BOLLNÄS</t>
        </is>
      </c>
      <c r="I653" t="n">
        <v>0.5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53067-2025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45958</v>
      </c>
      <c r="E654" s="1" t="n">
        <v>46313</v>
      </c>
      <c r="F654" t="inlineStr">
        <is>
          <t>GÄVLEBORGS LÄN</t>
        </is>
      </c>
      <c r="G654" t="inlineStr">
        <is>
          <t>BOLLNÄS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53599-2025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45960</v>
      </c>
      <c r="E655" s="1" t="n">
        <v>46313</v>
      </c>
      <c r="F655" t="inlineStr">
        <is>
          <t>GÄVLEBORGS LÄN</t>
        </is>
      </c>
      <c r="G655" t="inlineStr">
        <is>
          <t>BOLLNÄS</t>
        </is>
      </c>
      <c r="H655" t="inlineStr">
        <is>
          <t>Bergvik skog väst AB</t>
        </is>
      </c>
      <c r="I655" t="n">
        <v>3.2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54013-2025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45961</v>
      </c>
      <c r="E656" s="1" t="n">
        <v>46313</v>
      </c>
      <c r="F656" t="inlineStr">
        <is>
          <t>GÄVLEBORGS LÄN</t>
        </is>
      </c>
      <c r="G656" t="inlineStr">
        <is>
          <t>BOLLNÄS</t>
        </is>
      </c>
      <c r="I656" t="n">
        <v>0.7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21616-2022</t>
        </is>
      </c>
      <c r="B657" t="inlineStr">
        <is>
          <t>avverkningsanmälan</t>
        </is>
      </c>
      <c r="C657" t="inlineStr">
        <is>
          <t>Avverkning för annat ändamål</t>
        </is>
      </c>
      <c r="D657" s="1" t="n">
        <v>44706</v>
      </c>
      <c r="E657" s="1" t="n">
        <v>46313</v>
      </c>
      <c r="F657" t="inlineStr">
        <is>
          <t>GÄVLEBORGS LÄN</t>
        </is>
      </c>
      <c r="G657" t="inlineStr">
        <is>
          <t>BOLLNÄS</t>
        </is>
      </c>
      <c r="I657" t="n">
        <v>0.7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22905-2026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46160</v>
      </c>
      <c r="E658" s="1" t="n">
        <v>46313</v>
      </c>
      <c r="F658" t="inlineStr">
        <is>
          <t>GÄVLEBORGS LÄN</t>
        </is>
      </c>
      <c r="G658" t="inlineStr">
        <is>
          <t>BOLLNÄS</t>
        </is>
      </c>
      <c r="I658" t="n">
        <v>12.3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53818-2025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45961</v>
      </c>
      <c r="E659" s="1" t="n">
        <v>46313</v>
      </c>
      <c r="F659" t="inlineStr">
        <is>
          <t>GÄVLEBORGS LÄN</t>
        </is>
      </c>
      <c r="G659" t="inlineStr">
        <is>
          <t>BOLLNÄS</t>
        </is>
      </c>
      <c r="I659" t="n">
        <v>1.6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23084-2026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46161</v>
      </c>
      <c r="E660" s="1" t="n">
        <v>46313</v>
      </c>
      <c r="F660" t="inlineStr">
        <is>
          <t>GÄVLEBORGS LÄN</t>
        </is>
      </c>
      <c r="G660" t="inlineStr">
        <is>
          <t>BOLLNÄS</t>
        </is>
      </c>
      <c r="I660" t="n">
        <v>1.1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23085-2026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46161</v>
      </c>
      <c r="E661" s="1" t="n">
        <v>46313</v>
      </c>
      <c r="F661" t="inlineStr">
        <is>
          <t>GÄVLEBORGS LÄN</t>
        </is>
      </c>
      <c r="G661" t="inlineStr">
        <is>
          <t>BOLLNÄS</t>
        </is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23083-2026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46161</v>
      </c>
      <c r="E662" s="1" t="n">
        <v>46313</v>
      </c>
      <c r="F662" t="inlineStr">
        <is>
          <t>GÄVLEBORGS LÄN</t>
        </is>
      </c>
      <c r="G662" t="inlineStr">
        <is>
          <t>BOLLNÄS</t>
        </is>
      </c>
      <c r="I662" t="n">
        <v>3.4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11645-2022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44631</v>
      </c>
      <c r="E663" s="1" t="n">
        <v>46313</v>
      </c>
      <c r="F663" t="inlineStr">
        <is>
          <t>GÄVLEBORGS LÄN</t>
        </is>
      </c>
      <c r="G663" t="inlineStr">
        <is>
          <t>BOLLNÄS</t>
        </is>
      </c>
      <c r="I663" t="n">
        <v>1.7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53817-2025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45961</v>
      </c>
      <c r="E664" s="1" t="n">
        <v>46313</v>
      </c>
      <c r="F664" t="inlineStr">
        <is>
          <t>GÄVLEBORGS LÄN</t>
        </is>
      </c>
      <c r="G664" t="inlineStr">
        <is>
          <t>BOLLNÄS</t>
        </is>
      </c>
      <c r="I664" t="n">
        <v>0.7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53692-2025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45960</v>
      </c>
      <c r="E665" s="1" t="n">
        <v>46313</v>
      </c>
      <c r="F665" t="inlineStr">
        <is>
          <t>GÄVLEBORGS LÄN</t>
        </is>
      </c>
      <c r="G665" t="inlineStr">
        <is>
          <t>BOLLNÄS</t>
        </is>
      </c>
      <c r="I665" t="n">
        <v>3.8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54149-2025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45964</v>
      </c>
      <c r="E666" s="1" t="n">
        <v>46313</v>
      </c>
      <c r="F666" t="inlineStr">
        <is>
          <t>GÄVLEBORGS LÄN</t>
        </is>
      </c>
      <c r="G666" t="inlineStr">
        <is>
          <t>BOLLNÄS</t>
        </is>
      </c>
      <c r="I666" t="n">
        <v>2.3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23089-2026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46161</v>
      </c>
      <c r="E667" s="1" t="n">
        <v>46313</v>
      </c>
      <c r="F667" t="inlineStr">
        <is>
          <t>GÄVLEBORGS LÄN</t>
        </is>
      </c>
      <c r="G667" t="inlineStr">
        <is>
          <t>BOLLNÄS</t>
        </is>
      </c>
      <c r="I667" t="n">
        <v>3.9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23090-2026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46161</v>
      </c>
      <c r="E668" s="1" t="n">
        <v>46313</v>
      </c>
      <c r="F668" t="inlineStr">
        <is>
          <t>GÄVLEBORGS LÄN</t>
        </is>
      </c>
      <c r="G668" t="inlineStr">
        <is>
          <t>BOLLNÄS</t>
        </is>
      </c>
      <c r="I668" t="n">
        <v>0.8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54423-2025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45965</v>
      </c>
      <c r="E669" s="1" t="n">
        <v>46313</v>
      </c>
      <c r="F669" t="inlineStr">
        <is>
          <t>GÄVLEBORGS LÄN</t>
        </is>
      </c>
      <c r="G669" t="inlineStr">
        <is>
          <t>BOLLNÄS</t>
        </is>
      </c>
      <c r="H669" t="inlineStr">
        <is>
          <t>Bergvik skog väst AB</t>
        </is>
      </c>
      <c r="I669" t="n">
        <v>5.3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23091-2026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46161</v>
      </c>
      <c r="E670" s="1" t="n">
        <v>46313</v>
      </c>
      <c r="F670" t="inlineStr">
        <is>
          <t>GÄVLEBORGS LÄN</t>
        </is>
      </c>
      <c r="G670" t="inlineStr">
        <is>
          <t>BOLLNÄS</t>
        </is>
      </c>
      <c r="I670" t="n">
        <v>1.1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54097-2025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45964</v>
      </c>
      <c r="E671" s="1" t="n">
        <v>46313</v>
      </c>
      <c r="F671" t="inlineStr">
        <is>
          <t>GÄVLEBORGS LÄN</t>
        </is>
      </c>
      <c r="G671" t="inlineStr">
        <is>
          <t>BOLLNÄS</t>
        </is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25631-2022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44732</v>
      </c>
      <c r="E672" s="1" t="n">
        <v>46313</v>
      </c>
      <c r="F672" t="inlineStr">
        <is>
          <t>GÄVLEBORGS LÄN</t>
        </is>
      </c>
      <c r="G672" t="inlineStr">
        <is>
          <t>BOLLNÄS</t>
        </is>
      </c>
      <c r="I672" t="n">
        <v>1.5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54253-2025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45964</v>
      </c>
      <c r="E673" s="1" t="n">
        <v>46313</v>
      </c>
      <c r="F673" t="inlineStr">
        <is>
          <t>GÄVLEBORGS LÄN</t>
        </is>
      </c>
      <c r="G673" t="inlineStr">
        <is>
          <t>BOLLNÄS</t>
        </is>
      </c>
      <c r="I673" t="n">
        <v>0.7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16365-2026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46111</v>
      </c>
      <c r="E674" s="1" t="n">
        <v>46313</v>
      </c>
      <c r="F674" t="inlineStr">
        <is>
          <t>GÄVLEBORGS LÄN</t>
        </is>
      </c>
      <c r="G674" t="inlineStr">
        <is>
          <t>BOLLNÄS</t>
        </is>
      </c>
      <c r="I674" t="n">
        <v>1.1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37071-2022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44806</v>
      </c>
      <c r="E675" s="1" t="n">
        <v>46313</v>
      </c>
      <c r="F675" t="inlineStr">
        <is>
          <t>GÄVLEBORGS LÄN</t>
        </is>
      </c>
      <c r="G675" t="inlineStr">
        <is>
          <t>BOLLNÄS</t>
        </is>
      </c>
      <c r="I675" t="n">
        <v>1.4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54370-2025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45965</v>
      </c>
      <c r="E676" s="1" t="n">
        <v>46313</v>
      </c>
      <c r="F676" t="inlineStr">
        <is>
          <t>GÄVLEBORGS LÄN</t>
        </is>
      </c>
      <c r="G676" t="inlineStr">
        <is>
          <t>BOLLNÄS</t>
        </is>
      </c>
      <c r="I676" t="n">
        <v>1.5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54229-2025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45964</v>
      </c>
      <c r="E677" s="1" t="n">
        <v>46313</v>
      </c>
      <c r="F677" t="inlineStr">
        <is>
          <t>GÄVLEBORGS LÄN</t>
        </is>
      </c>
      <c r="G677" t="inlineStr">
        <is>
          <t>BOLLNÄS</t>
        </is>
      </c>
      <c r="I677" t="n">
        <v>6.2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22815-2026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46160</v>
      </c>
      <c r="E678" s="1" t="n">
        <v>46313</v>
      </c>
      <c r="F678" t="inlineStr">
        <is>
          <t>GÄVLEBORGS LÄN</t>
        </is>
      </c>
      <c r="G678" t="inlineStr">
        <is>
          <t>BOLLNÄS</t>
        </is>
      </c>
      <c r="I678" t="n">
        <v>0.8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23172-2026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46161</v>
      </c>
      <c r="E679" s="1" t="n">
        <v>46313</v>
      </c>
      <c r="F679" t="inlineStr">
        <is>
          <t>GÄVLEBORGS LÄN</t>
        </is>
      </c>
      <c r="G679" t="inlineStr">
        <is>
          <t>BOLLNÄS</t>
        </is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22646-2022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44714</v>
      </c>
      <c r="E680" s="1" t="n">
        <v>46313</v>
      </c>
      <c r="F680" t="inlineStr">
        <is>
          <t>GÄVLEBORGS LÄN</t>
        </is>
      </c>
      <c r="G680" t="inlineStr">
        <is>
          <t>BOLLNÄS</t>
        </is>
      </c>
      <c r="H680" t="inlineStr">
        <is>
          <t>Bergvik skog väst AB</t>
        </is>
      </c>
      <c r="I680" t="n">
        <v>2.3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22982-2026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46160</v>
      </c>
      <c r="E681" s="1" t="n">
        <v>46313</v>
      </c>
      <c r="F681" t="inlineStr">
        <is>
          <t>GÄVLEBORGS LÄN</t>
        </is>
      </c>
      <c r="G681" t="inlineStr">
        <is>
          <t>BOLLNÄS</t>
        </is>
      </c>
      <c r="I681" t="n">
        <v>1.4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22985-2026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46160</v>
      </c>
      <c r="E682" s="1" t="n">
        <v>46313</v>
      </c>
      <c r="F682" t="inlineStr">
        <is>
          <t>GÄVLEBORGS LÄN</t>
        </is>
      </c>
      <c r="G682" t="inlineStr">
        <is>
          <t>BOLLNÄS</t>
        </is>
      </c>
      <c r="I682" t="n">
        <v>4.6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55191-2025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45968</v>
      </c>
      <c r="E683" s="1" t="n">
        <v>46313</v>
      </c>
      <c r="F683" t="inlineStr">
        <is>
          <t>GÄVLEBORGS LÄN</t>
        </is>
      </c>
      <c r="G683" t="inlineStr">
        <is>
          <t>BOLLNÄS</t>
        </is>
      </c>
      <c r="I683" t="n">
        <v>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55164-2025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45968</v>
      </c>
      <c r="E684" s="1" t="n">
        <v>46313</v>
      </c>
      <c r="F684" t="inlineStr">
        <is>
          <t>GÄVLEBORGS LÄN</t>
        </is>
      </c>
      <c r="G684" t="inlineStr">
        <is>
          <t>BOLLNÄS</t>
        </is>
      </c>
      <c r="I684" t="n">
        <v>2.2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53384-2023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45223</v>
      </c>
      <c r="E685" s="1" t="n">
        <v>46313</v>
      </c>
      <c r="F685" t="inlineStr">
        <is>
          <t>GÄVLEBORGS LÄN</t>
        </is>
      </c>
      <c r="G685" t="inlineStr">
        <is>
          <t>BOLLNÄS</t>
        </is>
      </c>
      <c r="I685" t="n">
        <v>2.8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23092-2026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46161</v>
      </c>
      <c r="E686" s="1" t="n">
        <v>46313</v>
      </c>
      <c r="F686" t="inlineStr">
        <is>
          <t>GÄVLEBORGS LÄN</t>
        </is>
      </c>
      <c r="G686" t="inlineStr">
        <is>
          <t>BOLLNÄS</t>
        </is>
      </c>
      <c r="I686" t="n">
        <v>2.8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23093-2026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46161</v>
      </c>
      <c r="E687" s="1" t="n">
        <v>46313</v>
      </c>
      <c r="F687" t="inlineStr">
        <is>
          <t>GÄVLEBORGS LÄN</t>
        </is>
      </c>
      <c r="G687" t="inlineStr">
        <is>
          <t>BOLLNÄS</t>
        </is>
      </c>
      <c r="I687" t="n">
        <v>1.7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23544-2026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46163</v>
      </c>
      <c r="E688" s="1" t="n">
        <v>46313</v>
      </c>
      <c r="F688" t="inlineStr">
        <is>
          <t>GÄVLEBORGS LÄN</t>
        </is>
      </c>
      <c r="G688" t="inlineStr">
        <is>
          <t>BOLLNÄS</t>
        </is>
      </c>
      <c r="H688" t="inlineStr">
        <is>
          <t>Bergvik skog väst AB</t>
        </is>
      </c>
      <c r="I688" t="n">
        <v>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23478-2026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46163</v>
      </c>
      <c r="E689" s="1" t="n">
        <v>46313</v>
      </c>
      <c r="F689" t="inlineStr">
        <is>
          <t>GÄVLEBORGS LÄN</t>
        </is>
      </c>
      <c r="G689" t="inlineStr">
        <is>
          <t>BOLLNÄS</t>
        </is>
      </c>
      <c r="H689" t="inlineStr">
        <is>
          <t>Bergvik skog väst AB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23523-2026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46163</v>
      </c>
      <c r="E690" s="1" t="n">
        <v>46313</v>
      </c>
      <c r="F690" t="inlineStr">
        <is>
          <t>GÄVLEBORGS LÄN</t>
        </is>
      </c>
      <c r="G690" t="inlineStr">
        <is>
          <t>BOLLNÄS</t>
        </is>
      </c>
      <c r="H690" t="inlineStr">
        <is>
          <t>Bergvik skog väst AB</t>
        </is>
      </c>
      <c r="I690" t="n">
        <v>0.8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55930-2025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45973</v>
      </c>
      <c r="E691" s="1" t="n">
        <v>46313</v>
      </c>
      <c r="F691" t="inlineStr">
        <is>
          <t>GÄVLEBORGS LÄN</t>
        </is>
      </c>
      <c r="G691" t="inlineStr">
        <is>
          <t>BOLLNÄS</t>
        </is>
      </c>
      <c r="I691" t="n">
        <v>2.9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32859-2024</t>
        </is>
      </c>
      <c r="B692" t="inlineStr">
        <is>
          <t>avverkningsanmälan</t>
        </is>
      </c>
      <c r="C692" t="inlineStr">
        <is>
          <t>Avverkning för annat ändamål</t>
        </is>
      </c>
      <c r="D692" s="1" t="n">
        <v>45516</v>
      </c>
      <c r="E692" s="1" t="n">
        <v>46313</v>
      </c>
      <c r="F692" t="inlineStr">
        <is>
          <t>GÄVLEBORGS LÄN</t>
        </is>
      </c>
      <c r="G692" t="inlineStr">
        <is>
          <t>BOLLNÄS</t>
        </is>
      </c>
      <c r="H692" t="inlineStr">
        <is>
          <t>Sveaskog</t>
        </is>
      </c>
      <c r="I692" t="n">
        <v>0.3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56328-2025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45974</v>
      </c>
      <c r="E693" s="1" t="n">
        <v>46313</v>
      </c>
      <c r="F693" t="inlineStr">
        <is>
          <t>GÄVLEBORGS LÄN</t>
        </is>
      </c>
      <c r="G693" t="inlineStr">
        <is>
          <t>BOLLNÄS</t>
        </is>
      </c>
      <c r="I693" t="n">
        <v>2.7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56188-2025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45974</v>
      </c>
      <c r="E694" s="1" t="n">
        <v>46313</v>
      </c>
      <c r="F694" t="inlineStr">
        <is>
          <t>GÄVLEBORGS LÄN</t>
        </is>
      </c>
      <c r="G694" t="inlineStr">
        <is>
          <t>BOLLNÄS</t>
        </is>
      </c>
      <c r="I694" t="n">
        <v>1.7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23289-2026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46162</v>
      </c>
      <c r="E695" s="1" t="n">
        <v>46313</v>
      </c>
      <c r="F695" t="inlineStr">
        <is>
          <t>GÄVLEBORGS LÄN</t>
        </is>
      </c>
      <c r="G695" t="inlineStr">
        <is>
          <t>BOLLNÄS</t>
        </is>
      </c>
      <c r="I695" t="n">
        <v>9.9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56481-2025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45975</v>
      </c>
      <c r="E696" s="1" t="n">
        <v>46313</v>
      </c>
      <c r="F696" t="inlineStr">
        <is>
          <t>GÄVLEBORGS LÄN</t>
        </is>
      </c>
      <c r="G696" t="inlineStr">
        <is>
          <t>BOLLNÄS</t>
        </is>
      </c>
      <c r="I696" t="n">
        <v>2.7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23251-2026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46162</v>
      </c>
      <c r="E697" s="1" t="n">
        <v>46313</v>
      </c>
      <c r="F697" t="inlineStr">
        <is>
          <t>GÄVLEBORGS LÄN</t>
        </is>
      </c>
      <c r="G697" t="inlineStr">
        <is>
          <t>BOLLNÄS</t>
        </is>
      </c>
      <c r="I697" t="n">
        <v>0.8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23586-2026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46163</v>
      </c>
      <c r="E698" s="1" t="n">
        <v>46313</v>
      </c>
      <c r="F698" t="inlineStr">
        <is>
          <t>GÄVLEBORGS LÄN</t>
        </is>
      </c>
      <c r="G698" t="inlineStr">
        <is>
          <t>BOLLNÄS</t>
        </is>
      </c>
      <c r="H698" t="inlineStr">
        <is>
          <t>Bergvik skog väst AB</t>
        </is>
      </c>
      <c r="I698" t="n">
        <v>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56596-2025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45975</v>
      </c>
      <c r="E699" s="1" t="n">
        <v>46313</v>
      </c>
      <c r="F699" t="inlineStr">
        <is>
          <t>GÄVLEBORGS LÄN</t>
        </is>
      </c>
      <c r="G699" t="inlineStr">
        <is>
          <t>BOLLNÄS</t>
        </is>
      </c>
      <c r="I699" t="n">
        <v>1.3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56609-2025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45975</v>
      </c>
      <c r="E700" s="1" t="n">
        <v>46313</v>
      </c>
      <c r="F700" t="inlineStr">
        <is>
          <t>GÄVLEBORGS LÄN</t>
        </is>
      </c>
      <c r="G700" t="inlineStr">
        <is>
          <t>BOLLNÄS</t>
        </is>
      </c>
      <c r="I700" t="n">
        <v>0.8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57214-2025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45979</v>
      </c>
      <c r="E701" s="1" t="n">
        <v>46313</v>
      </c>
      <c r="F701" t="inlineStr">
        <is>
          <t>GÄVLEBORGS LÄN</t>
        </is>
      </c>
      <c r="G701" t="inlineStr">
        <is>
          <t>BOLLNÄS</t>
        </is>
      </c>
      <c r="I701" t="n">
        <v>0.9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57054-2025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45979</v>
      </c>
      <c r="E702" s="1" t="n">
        <v>46313</v>
      </c>
      <c r="F702" t="inlineStr">
        <is>
          <t>GÄVLEBORGS LÄN</t>
        </is>
      </c>
      <c r="G702" t="inlineStr">
        <is>
          <t>BOLLNÄS</t>
        </is>
      </c>
      <c r="I702" t="n">
        <v>1.2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55860-2025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45973</v>
      </c>
      <c r="E703" s="1" t="n">
        <v>46313</v>
      </c>
      <c r="F703" t="inlineStr">
        <is>
          <t>GÄVLEBORGS LÄN</t>
        </is>
      </c>
      <c r="G703" t="inlineStr">
        <is>
          <t>BOLLNÄS</t>
        </is>
      </c>
      <c r="I703" t="n">
        <v>0.7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56958-2025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45978</v>
      </c>
      <c r="E704" s="1" t="n">
        <v>46313</v>
      </c>
      <c r="F704" t="inlineStr">
        <is>
          <t>GÄVLEBORGS LÄN</t>
        </is>
      </c>
      <c r="G704" t="inlineStr">
        <is>
          <t>BOLLNÄS</t>
        </is>
      </c>
      <c r="I704" t="n">
        <v>10.8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23387-2026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46162</v>
      </c>
      <c r="E705" s="1" t="n">
        <v>46313</v>
      </c>
      <c r="F705" t="inlineStr">
        <is>
          <t>GÄVLEBORGS LÄN</t>
        </is>
      </c>
      <c r="G705" t="inlineStr">
        <is>
          <t>BOLLNÄS</t>
        </is>
      </c>
      <c r="I705" t="n">
        <v>7.5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57151-2025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45979</v>
      </c>
      <c r="E706" s="1" t="n">
        <v>46313</v>
      </c>
      <c r="F706" t="inlineStr">
        <is>
          <t>GÄVLEBORGS LÄN</t>
        </is>
      </c>
      <c r="G706" t="inlineStr">
        <is>
          <t>BOLLNÄS</t>
        </is>
      </c>
      <c r="I706" t="n">
        <v>1.2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22448-2026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46155</v>
      </c>
      <c r="E707" s="1" t="n">
        <v>46313</v>
      </c>
      <c r="F707" t="inlineStr">
        <is>
          <t>GÄVLEBORGS LÄN</t>
        </is>
      </c>
      <c r="G707" t="inlineStr">
        <is>
          <t>BOLLNÄS</t>
        </is>
      </c>
      <c r="H707" t="inlineStr">
        <is>
          <t>Bergvik skog väst AB</t>
        </is>
      </c>
      <c r="I707" t="n">
        <v>1.5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23206-2026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46162</v>
      </c>
      <c r="E708" s="1" t="n">
        <v>46313</v>
      </c>
      <c r="F708" t="inlineStr">
        <is>
          <t>GÄVLEBORGS LÄN</t>
        </is>
      </c>
      <c r="G708" t="inlineStr">
        <is>
          <t>BOLLNÄS</t>
        </is>
      </c>
      <c r="H708" t="inlineStr">
        <is>
          <t>Bergvik skog väst AB</t>
        </is>
      </c>
      <c r="I708" t="n">
        <v>2.2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23331-2026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46162</v>
      </c>
      <c r="E709" s="1" t="n">
        <v>46313</v>
      </c>
      <c r="F709" t="inlineStr">
        <is>
          <t>GÄVLEBORGS LÄN</t>
        </is>
      </c>
      <c r="G709" t="inlineStr">
        <is>
          <t>BOLLNÄS</t>
        </is>
      </c>
      <c r="H709" t="inlineStr">
        <is>
          <t>Bergvik skog väst AB</t>
        </is>
      </c>
      <c r="I709" t="n">
        <v>2.3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26126-2023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45091</v>
      </c>
      <c r="E710" s="1" t="n">
        <v>46313</v>
      </c>
      <c r="F710" t="inlineStr">
        <is>
          <t>GÄVLEBORGS LÄN</t>
        </is>
      </c>
      <c r="G710" t="inlineStr">
        <is>
          <t>BOLLNÄS</t>
        </is>
      </c>
      <c r="I710" t="n">
        <v>1.7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23594-2026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46163</v>
      </c>
      <c r="E711" s="1" t="n">
        <v>46313</v>
      </c>
      <c r="F711" t="inlineStr">
        <is>
          <t>GÄVLEBORGS LÄN</t>
        </is>
      </c>
      <c r="G711" t="inlineStr">
        <is>
          <t>BOLLNÄS</t>
        </is>
      </c>
      <c r="H711" t="inlineStr">
        <is>
          <t>Bergvik skog väst AB</t>
        </is>
      </c>
      <c r="I711" t="n">
        <v>0.7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9758-2026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46072</v>
      </c>
      <c r="E712" s="1" t="n">
        <v>46313</v>
      </c>
      <c r="F712" t="inlineStr">
        <is>
          <t>GÄVLEBORGS LÄN</t>
        </is>
      </c>
      <c r="G712" t="inlineStr">
        <is>
          <t>BOLLNÄS</t>
        </is>
      </c>
      <c r="H712" t="inlineStr">
        <is>
          <t>Sveaskog</t>
        </is>
      </c>
      <c r="I712" t="n">
        <v>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5262-2025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45692</v>
      </c>
      <c r="E713" s="1" t="n">
        <v>46313</v>
      </c>
      <c r="F713" t="inlineStr">
        <is>
          <t>GÄVLEBORGS LÄN</t>
        </is>
      </c>
      <c r="G713" t="inlineStr">
        <is>
          <t>BOLLNÄS</t>
        </is>
      </c>
      <c r="H713" t="inlineStr">
        <is>
          <t>Bergvik skog öst AB</t>
        </is>
      </c>
      <c r="I713" t="n">
        <v>0.5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23881-2026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46167</v>
      </c>
      <c r="E714" s="1" t="n">
        <v>46313</v>
      </c>
      <c r="F714" t="inlineStr">
        <is>
          <t>GÄVLEBORGS LÄN</t>
        </is>
      </c>
      <c r="G714" t="inlineStr">
        <is>
          <t>BOLLNÄS</t>
        </is>
      </c>
      <c r="I714" t="n">
        <v>5.9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57706-2025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45981</v>
      </c>
      <c r="E715" s="1" t="n">
        <v>46313</v>
      </c>
      <c r="F715" t="inlineStr">
        <is>
          <t>GÄVLEBORGS LÄN</t>
        </is>
      </c>
      <c r="G715" t="inlineStr">
        <is>
          <t>BOLLNÄS</t>
        </is>
      </c>
      <c r="I715" t="n">
        <v>2.4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36877-2022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44805</v>
      </c>
      <c r="E716" s="1" t="n">
        <v>46313</v>
      </c>
      <c r="F716" t="inlineStr">
        <is>
          <t>GÄVLEBORGS LÄN</t>
        </is>
      </c>
      <c r="G716" t="inlineStr">
        <is>
          <t>BOLLNÄS</t>
        </is>
      </c>
      <c r="I716" t="n">
        <v>0.8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57707-2025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45981</v>
      </c>
      <c r="E717" s="1" t="n">
        <v>46313</v>
      </c>
      <c r="F717" t="inlineStr">
        <is>
          <t>GÄVLEBORGS LÄN</t>
        </is>
      </c>
      <c r="G717" t="inlineStr">
        <is>
          <t>BOLLNÄS</t>
        </is>
      </c>
      <c r="I717" t="n">
        <v>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23719-2026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46164</v>
      </c>
      <c r="E718" s="1" t="n">
        <v>46313</v>
      </c>
      <c r="F718" t="inlineStr">
        <is>
          <t>GÄVLEBORGS LÄN</t>
        </is>
      </c>
      <c r="G718" t="inlineStr">
        <is>
          <t>BOLLNÄS</t>
        </is>
      </c>
      <c r="H718" t="inlineStr">
        <is>
          <t>Bergvik skog väst AB</t>
        </is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23891-2026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46167</v>
      </c>
      <c r="E719" s="1" t="n">
        <v>46313</v>
      </c>
      <c r="F719" t="inlineStr">
        <is>
          <t>GÄVLEBORGS LÄN</t>
        </is>
      </c>
      <c r="G719" t="inlineStr">
        <is>
          <t>BOLLNÄS</t>
        </is>
      </c>
      <c r="I719" t="n">
        <v>0.9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57708-2025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45981</v>
      </c>
      <c r="E720" s="1" t="n">
        <v>46313</v>
      </c>
      <c r="F720" t="inlineStr">
        <is>
          <t>GÄVLEBORGS LÄN</t>
        </is>
      </c>
      <c r="G720" t="inlineStr">
        <is>
          <t>BOLLNÄS</t>
        </is>
      </c>
      <c r="I720" t="n">
        <v>3.4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57387-2024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45629</v>
      </c>
      <c r="E721" s="1" t="n">
        <v>46313</v>
      </c>
      <c r="F721" t="inlineStr">
        <is>
          <t>GÄVLEBORGS LÄN</t>
        </is>
      </c>
      <c r="G721" t="inlineStr">
        <is>
          <t>BOLLNÄS</t>
        </is>
      </c>
      <c r="I721" t="n">
        <v>0.4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57443-2025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45980</v>
      </c>
      <c r="E722" s="1" t="n">
        <v>46313</v>
      </c>
      <c r="F722" t="inlineStr">
        <is>
          <t>GÄVLEBORGS LÄN</t>
        </is>
      </c>
      <c r="G722" t="inlineStr">
        <is>
          <t>BOLLNÄS</t>
        </is>
      </c>
      <c r="I722" t="n">
        <v>2.8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56453-2023</t>
        </is>
      </c>
      <c r="B723" t="inlineStr">
        <is>
          <t>avverkningsanmälan</t>
        </is>
      </c>
      <c r="C723" t="inlineStr">
        <is>
          <t>Avverkning för annat ändamål</t>
        </is>
      </c>
      <c r="D723" s="1" t="n">
        <v>45243</v>
      </c>
      <c r="E723" s="1" t="n">
        <v>46313</v>
      </c>
      <c r="F723" t="inlineStr">
        <is>
          <t>GÄVLEBORGS LÄN</t>
        </is>
      </c>
      <c r="G723" t="inlineStr">
        <is>
          <t>BOLLNÄS</t>
        </is>
      </c>
      <c r="I723" t="n">
        <v>0.8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23378-2022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44720</v>
      </c>
      <c r="E724" s="1" t="n">
        <v>46313</v>
      </c>
      <c r="F724" t="inlineStr">
        <is>
          <t>GÄVLEBORGS LÄN</t>
        </is>
      </c>
      <c r="G724" t="inlineStr">
        <is>
          <t>BOLLNÄS</t>
        </is>
      </c>
      <c r="I724" t="n">
        <v>5.2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24039-2026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46167</v>
      </c>
      <c r="E725" s="1" t="n">
        <v>46313</v>
      </c>
      <c r="F725" t="inlineStr">
        <is>
          <t>GÄVLEBORGS LÄN</t>
        </is>
      </c>
      <c r="G725" t="inlineStr">
        <is>
          <t>BOLLNÄS</t>
        </is>
      </c>
      <c r="H725" t="inlineStr">
        <is>
          <t>Bergvik skog väst AB</t>
        </is>
      </c>
      <c r="I725" t="n">
        <v>27.5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51306-2023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45219</v>
      </c>
      <c r="E726" s="1" t="n">
        <v>46313</v>
      </c>
      <c r="F726" t="inlineStr">
        <is>
          <t>GÄVLEBORGS LÄN</t>
        </is>
      </c>
      <c r="G726" t="inlineStr">
        <is>
          <t>BOLLNÄS</t>
        </is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7609-2026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46062</v>
      </c>
      <c r="E727" s="1" t="n">
        <v>46313</v>
      </c>
      <c r="F727" t="inlineStr">
        <is>
          <t>GÄVLEBORGS LÄN</t>
        </is>
      </c>
      <c r="G727" t="inlineStr">
        <is>
          <t>BOLLNÄS</t>
        </is>
      </c>
      <c r="I727" t="n">
        <v>4.9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58333-2022</t>
        </is>
      </c>
      <c r="B728" t="inlineStr">
        <is>
          <t>avverkningsanmälan</t>
        </is>
      </c>
      <c r="C728" t="inlineStr">
        <is>
          <t>Avverkning för annat ändamål</t>
        </is>
      </c>
      <c r="D728" s="1" t="n">
        <v>44901</v>
      </c>
      <c r="E728" s="1" t="n">
        <v>46313</v>
      </c>
      <c r="F728" t="inlineStr">
        <is>
          <t>GÄVLEBORGS LÄN</t>
        </is>
      </c>
      <c r="G728" t="inlineStr">
        <is>
          <t>BOLLNÄS</t>
        </is>
      </c>
      <c r="I728" t="n">
        <v>1.8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58119-2025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45982</v>
      </c>
      <c r="E729" s="1" t="n">
        <v>46313</v>
      </c>
      <c r="F729" t="inlineStr">
        <is>
          <t>GÄVLEBORGS LÄN</t>
        </is>
      </c>
      <c r="G729" t="inlineStr">
        <is>
          <t>BOLLNÄS</t>
        </is>
      </c>
      <c r="I729" t="n">
        <v>2.2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58127-2025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45982</v>
      </c>
      <c r="E730" s="1" t="n">
        <v>46313</v>
      </c>
      <c r="F730" t="inlineStr">
        <is>
          <t>GÄVLEBORGS LÄN</t>
        </is>
      </c>
      <c r="G730" t="inlineStr">
        <is>
          <t>BOLLNÄS</t>
        </is>
      </c>
      <c r="I730" t="n">
        <v>3.7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23856-2026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46167</v>
      </c>
      <c r="E731" s="1" t="n">
        <v>46313</v>
      </c>
      <c r="F731" t="inlineStr">
        <is>
          <t>GÄVLEBORGS LÄN</t>
        </is>
      </c>
      <c r="G731" t="inlineStr">
        <is>
          <t>BOLLNÄS</t>
        </is>
      </c>
      <c r="I731" t="n">
        <v>2.1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23857-2026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46167</v>
      </c>
      <c r="E732" s="1" t="n">
        <v>46313</v>
      </c>
      <c r="F732" t="inlineStr">
        <is>
          <t>GÄVLEBORGS LÄN</t>
        </is>
      </c>
      <c r="G732" t="inlineStr">
        <is>
          <t>BOLLNÄS</t>
        </is>
      </c>
      <c r="I732" t="n">
        <v>1.4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58121-2025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45982</v>
      </c>
      <c r="E733" s="1" t="n">
        <v>46313</v>
      </c>
      <c r="F733" t="inlineStr">
        <is>
          <t>GÄVLEBORGS LÄN</t>
        </is>
      </c>
      <c r="G733" t="inlineStr">
        <is>
          <t>BOLLNÄS</t>
        </is>
      </c>
      <c r="I733" t="n">
        <v>0.7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61769-2024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45649</v>
      </c>
      <c r="E734" s="1" t="n">
        <v>46313</v>
      </c>
      <c r="F734" t="inlineStr">
        <is>
          <t>GÄVLEBORGS LÄN</t>
        </is>
      </c>
      <c r="G734" t="inlineStr">
        <is>
          <t>BOLLNÄS</t>
        </is>
      </c>
      <c r="I734" t="n">
        <v>6.2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23673-2026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46164</v>
      </c>
      <c r="E735" s="1" t="n">
        <v>46313</v>
      </c>
      <c r="F735" t="inlineStr">
        <is>
          <t>GÄVLEBORGS LÄN</t>
        </is>
      </c>
      <c r="G735" t="inlineStr">
        <is>
          <t>BOLLNÄS</t>
        </is>
      </c>
      <c r="I735" t="n">
        <v>20.9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58697-2025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45986</v>
      </c>
      <c r="E736" s="1" t="n">
        <v>46313</v>
      </c>
      <c r="F736" t="inlineStr">
        <is>
          <t>GÄVLEBORGS LÄN</t>
        </is>
      </c>
      <c r="G736" t="inlineStr">
        <is>
          <t>BOLLNÄS</t>
        </is>
      </c>
      <c r="I736" t="n">
        <v>1.7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20665-2026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46141</v>
      </c>
      <c r="E737" s="1" t="n">
        <v>46313</v>
      </c>
      <c r="F737" t="inlineStr">
        <is>
          <t>GÄVLEBORGS LÄN</t>
        </is>
      </c>
      <c r="G737" t="inlineStr">
        <is>
          <t>BOLLNÄS</t>
        </is>
      </c>
      <c r="H737" t="inlineStr">
        <is>
          <t>Bergvik skog väst AB</t>
        </is>
      </c>
      <c r="I737" t="n">
        <v>7.6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22551-2026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46155</v>
      </c>
      <c r="E738" s="1" t="n">
        <v>46313</v>
      </c>
      <c r="F738" t="inlineStr">
        <is>
          <t>GÄVLEBORGS LÄN</t>
        </is>
      </c>
      <c r="G738" t="inlineStr">
        <is>
          <t>BOLLNÄS</t>
        </is>
      </c>
      <c r="I738" t="n">
        <v>7.9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58808-2025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45987</v>
      </c>
      <c r="E739" s="1" t="n">
        <v>46313</v>
      </c>
      <c r="F739" t="inlineStr">
        <is>
          <t>GÄVLEBORGS LÄN</t>
        </is>
      </c>
      <c r="G739" t="inlineStr">
        <is>
          <t>BOLLNÄS</t>
        </is>
      </c>
      <c r="I739" t="n">
        <v>1.1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58819-2025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45987</v>
      </c>
      <c r="E740" s="1" t="n">
        <v>46313</v>
      </c>
      <c r="F740" t="inlineStr">
        <is>
          <t>GÄVLEBORGS LÄN</t>
        </is>
      </c>
      <c r="G740" t="inlineStr">
        <is>
          <t>BOLLNÄS</t>
        </is>
      </c>
      <c r="I740" t="n">
        <v>8.699999999999999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23664-2026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46164</v>
      </c>
      <c r="E741" s="1" t="n">
        <v>46313</v>
      </c>
      <c r="F741" t="inlineStr">
        <is>
          <t>GÄVLEBORGS LÄN</t>
        </is>
      </c>
      <c r="G741" t="inlineStr">
        <is>
          <t>BOLLNÄS</t>
        </is>
      </c>
      <c r="I741" t="n">
        <v>6.3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17394-2022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44678</v>
      </c>
      <c r="E742" s="1" t="n">
        <v>46313</v>
      </c>
      <c r="F742" t="inlineStr">
        <is>
          <t>GÄVLEBORGS LÄN</t>
        </is>
      </c>
      <c r="G742" t="inlineStr">
        <is>
          <t>BOLLNÄS</t>
        </is>
      </c>
      <c r="I742" t="n">
        <v>4.8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20690-2026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46141</v>
      </c>
      <c r="E743" s="1" t="n">
        <v>46313</v>
      </c>
      <c r="F743" t="inlineStr">
        <is>
          <t>GÄVLEBORGS LÄN</t>
        </is>
      </c>
      <c r="G743" t="inlineStr">
        <is>
          <t>BOLLNÄS</t>
        </is>
      </c>
      <c r="H743" t="inlineStr">
        <is>
          <t>Bergvik skog väst AB</t>
        </is>
      </c>
      <c r="I743" t="n">
        <v>5.2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59362-2025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45989</v>
      </c>
      <c r="E744" s="1" t="n">
        <v>46313</v>
      </c>
      <c r="F744" t="inlineStr">
        <is>
          <t>GÄVLEBORGS LÄN</t>
        </is>
      </c>
      <c r="G744" t="inlineStr">
        <is>
          <t>BOLLNÄS</t>
        </is>
      </c>
      <c r="H744" t="inlineStr">
        <is>
          <t>Sveaskog</t>
        </is>
      </c>
      <c r="I744" t="n">
        <v>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28523-2023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45103</v>
      </c>
      <c r="E745" s="1" t="n">
        <v>46313</v>
      </c>
      <c r="F745" t="inlineStr">
        <is>
          <t>GÄVLEBORGS LÄN</t>
        </is>
      </c>
      <c r="G745" t="inlineStr">
        <is>
          <t>BOLLNÄS</t>
        </is>
      </c>
      <c r="I745" t="n">
        <v>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24034-2026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46167</v>
      </c>
      <c r="E746" s="1" t="n">
        <v>46313</v>
      </c>
      <c r="F746" t="inlineStr">
        <is>
          <t>GÄVLEBORGS LÄN</t>
        </is>
      </c>
      <c r="G746" t="inlineStr">
        <is>
          <t>BOLLNÄS</t>
        </is>
      </c>
      <c r="H746" t="inlineStr">
        <is>
          <t>Bergvik skog väst AB</t>
        </is>
      </c>
      <c r="I746" t="n">
        <v>2.1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23703-2026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46164</v>
      </c>
      <c r="E747" s="1" t="n">
        <v>46313</v>
      </c>
      <c r="F747" t="inlineStr">
        <is>
          <t>GÄVLEBORGS LÄN</t>
        </is>
      </c>
      <c r="G747" t="inlineStr">
        <is>
          <t>BOLLNÄS</t>
        </is>
      </c>
      <c r="H747" t="inlineStr">
        <is>
          <t>Bergvik skog väst AB</t>
        </is>
      </c>
      <c r="I747" t="n">
        <v>1.3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9403-2026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46071</v>
      </c>
      <c r="E748" s="1" t="n">
        <v>46313</v>
      </c>
      <c r="F748" t="inlineStr">
        <is>
          <t>GÄVLEBORGS LÄN</t>
        </is>
      </c>
      <c r="G748" t="inlineStr">
        <is>
          <t>BOLLNÄS</t>
        </is>
      </c>
      <c r="H748" t="inlineStr">
        <is>
          <t>Bergvik skog väst AB</t>
        </is>
      </c>
      <c r="I748" t="n">
        <v>10.6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63953-2025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46020</v>
      </c>
      <c r="E749" s="1" t="n">
        <v>46313</v>
      </c>
      <c r="F749" t="inlineStr">
        <is>
          <t>GÄVLEBORGS LÄN</t>
        </is>
      </c>
      <c r="G749" t="inlineStr">
        <is>
          <t>BOLLNÄS</t>
        </is>
      </c>
      <c r="I749" t="n">
        <v>2.4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59441-2025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45989</v>
      </c>
      <c r="E750" s="1" t="n">
        <v>46313</v>
      </c>
      <c r="F750" t="inlineStr">
        <is>
          <t>GÄVLEBORGS LÄN</t>
        </is>
      </c>
      <c r="G750" t="inlineStr">
        <is>
          <t>BOLLNÄS</t>
        </is>
      </c>
      <c r="I750" t="n">
        <v>1.2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53234-2024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45613</v>
      </c>
      <c r="E751" s="1" t="n">
        <v>46313</v>
      </c>
      <c r="F751" t="inlineStr">
        <is>
          <t>GÄVLEBORGS LÄN</t>
        </is>
      </c>
      <c r="G751" t="inlineStr">
        <is>
          <t>BOLLNÄS</t>
        </is>
      </c>
      <c r="I751" t="n">
        <v>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46151-2024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45581</v>
      </c>
      <c r="E752" s="1" t="n">
        <v>46313</v>
      </c>
      <c r="F752" t="inlineStr">
        <is>
          <t>GÄVLEBORGS LÄN</t>
        </is>
      </c>
      <c r="G752" t="inlineStr">
        <is>
          <t>BOLLNÄS</t>
        </is>
      </c>
      <c r="I752" t="n">
        <v>0.5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29219-2024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45482</v>
      </c>
      <c r="E753" s="1" t="n">
        <v>46313</v>
      </c>
      <c r="F753" t="inlineStr">
        <is>
          <t>GÄVLEBORGS LÄN</t>
        </is>
      </c>
      <c r="G753" t="inlineStr">
        <is>
          <t>BOLLNÄS</t>
        </is>
      </c>
      <c r="I753" t="n">
        <v>0.5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10620-2026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46077</v>
      </c>
      <c r="E754" s="1" t="n">
        <v>46313</v>
      </c>
      <c r="F754" t="inlineStr">
        <is>
          <t>GÄVLEBORGS LÄN</t>
        </is>
      </c>
      <c r="G754" t="inlineStr">
        <is>
          <t>BOLLNÄS</t>
        </is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59427-2025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45989</v>
      </c>
      <c r="E755" s="1" t="n">
        <v>46313</v>
      </c>
      <c r="F755" t="inlineStr">
        <is>
          <t>GÄVLEBORGS LÄN</t>
        </is>
      </c>
      <c r="G755" t="inlineStr">
        <is>
          <t>BOLLNÄS</t>
        </is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24136-2026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46168</v>
      </c>
      <c r="E756" s="1" t="n">
        <v>46313</v>
      </c>
      <c r="F756" t="inlineStr">
        <is>
          <t>GÄVLEBORGS LÄN</t>
        </is>
      </c>
      <c r="G756" t="inlineStr">
        <is>
          <t>BOLLNÄS</t>
        </is>
      </c>
      <c r="H756" t="inlineStr">
        <is>
          <t>Bergvik skog väst AB</t>
        </is>
      </c>
      <c r="I756" t="n">
        <v>0.6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24147-2026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46168</v>
      </c>
      <c r="E757" s="1" t="n">
        <v>46313</v>
      </c>
      <c r="F757" t="inlineStr">
        <is>
          <t>GÄVLEBORGS LÄN</t>
        </is>
      </c>
      <c r="G757" t="inlineStr">
        <is>
          <t>BOLLNÄS</t>
        </is>
      </c>
      <c r="I757" t="n">
        <v>1.9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58506-2023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45251</v>
      </c>
      <c r="E758" s="1" t="n">
        <v>46313</v>
      </c>
      <c r="F758" t="inlineStr">
        <is>
          <t>GÄVLEBORGS LÄN</t>
        </is>
      </c>
      <c r="G758" t="inlineStr">
        <is>
          <t>BOLLNÄS</t>
        </is>
      </c>
      <c r="I758" t="n">
        <v>1.2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11799-2025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45727</v>
      </c>
      <c r="E759" s="1" t="n">
        <v>46313</v>
      </c>
      <c r="F759" t="inlineStr">
        <is>
          <t>GÄVLEBORGS LÄN</t>
        </is>
      </c>
      <c r="G759" t="inlineStr">
        <is>
          <t>BOLLNÄS</t>
        </is>
      </c>
      <c r="I759" t="n">
        <v>9.5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12005-2026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46085</v>
      </c>
      <c r="E760" s="1" t="n">
        <v>46313</v>
      </c>
      <c r="F760" t="inlineStr">
        <is>
          <t>GÄVLEBORGS LÄN</t>
        </is>
      </c>
      <c r="G760" t="inlineStr">
        <is>
          <t>BOLLNÄS</t>
        </is>
      </c>
      <c r="I760" t="n">
        <v>5.6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16061-2026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46108</v>
      </c>
      <c r="E761" s="1" t="n">
        <v>46313</v>
      </c>
      <c r="F761" t="inlineStr">
        <is>
          <t>GÄVLEBORGS LÄN</t>
        </is>
      </c>
      <c r="G761" t="inlineStr">
        <is>
          <t>BOLLNÄS</t>
        </is>
      </c>
      <c r="I761" t="n">
        <v>0.8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59844-2025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45992</v>
      </c>
      <c r="E762" s="1" t="n">
        <v>46313</v>
      </c>
      <c r="F762" t="inlineStr">
        <is>
          <t>GÄVLEBORGS LÄN</t>
        </is>
      </c>
      <c r="G762" t="inlineStr">
        <is>
          <t>BOLLNÄS</t>
        </is>
      </c>
      <c r="I762" t="n">
        <v>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10077-2026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46073</v>
      </c>
      <c r="E763" s="1" t="n">
        <v>46313</v>
      </c>
      <c r="F763" t="inlineStr">
        <is>
          <t>GÄVLEBORGS LÄN</t>
        </is>
      </c>
      <c r="G763" t="inlineStr">
        <is>
          <t>BOLLNÄS</t>
        </is>
      </c>
      <c r="I763" t="n">
        <v>2.4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10798-2026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46078</v>
      </c>
      <c r="E764" s="1" t="n">
        <v>46313</v>
      </c>
      <c r="F764" t="inlineStr">
        <is>
          <t>GÄVLEBORGS LÄN</t>
        </is>
      </c>
      <c r="G764" t="inlineStr">
        <is>
          <t>BOLLNÄS</t>
        </is>
      </c>
      <c r="I764" t="n">
        <v>2.1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24231-2026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46168</v>
      </c>
      <c r="E765" s="1" t="n">
        <v>46313</v>
      </c>
      <c r="F765" t="inlineStr">
        <is>
          <t>GÄVLEBORGS LÄN</t>
        </is>
      </c>
      <c r="G765" t="inlineStr">
        <is>
          <t>BOLLNÄS</t>
        </is>
      </c>
      <c r="I765" t="n">
        <v>4.5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12275-2026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46087</v>
      </c>
      <c r="E766" s="1" t="n">
        <v>46313</v>
      </c>
      <c r="F766" t="inlineStr">
        <is>
          <t>GÄVLEBORGS LÄN</t>
        </is>
      </c>
      <c r="G766" t="inlineStr">
        <is>
          <t>BOLLNÄS</t>
        </is>
      </c>
      <c r="H766" t="inlineStr">
        <is>
          <t>Kyrkan</t>
        </is>
      </c>
      <c r="I766" t="n">
        <v>3.5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45557-2023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45194</v>
      </c>
      <c r="E767" s="1" t="n">
        <v>46313</v>
      </c>
      <c r="F767" t="inlineStr">
        <is>
          <t>GÄVLEBORGS LÄN</t>
        </is>
      </c>
      <c r="G767" t="inlineStr">
        <is>
          <t>BOLLNÄS</t>
        </is>
      </c>
      <c r="I767" t="n">
        <v>2.1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24076-2026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46168</v>
      </c>
      <c r="E768" s="1" t="n">
        <v>46313</v>
      </c>
      <c r="F768" t="inlineStr">
        <is>
          <t>GÄVLEBORGS LÄN</t>
        </is>
      </c>
      <c r="G768" t="inlineStr">
        <is>
          <t>BOLLNÄS</t>
        </is>
      </c>
      <c r="I768" t="n">
        <v>3.3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24083-2026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46168</v>
      </c>
      <c r="E769" s="1" t="n">
        <v>46313</v>
      </c>
      <c r="F769" t="inlineStr">
        <is>
          <t>GÄVLEBORGS LÄN</t>
        </is>
      </c>
      <c r="G769" t="inlineStr">
        <is>
          <t>BOLLNÄS</t>
        </is>
      </c>
      <c r="I769" t="n">
        <v>2.4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16641-2024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45408</v>
      </c>
      <c r="E770" s="1" t="n">
        <v>46313</v>
      </c>
      <c r="F770" t="inlineStr">
        <is>
          <t>GÄVLEBORGS LÄN</t>
        </is>
      </c>
      <c r="G770" t="inlineStr">
        <is>
          <t>BOLLNÄS</t>
        </is>
      </c>
      <c r="H770" t="inlineStr">
        <is>
          <t>Bergvik skog öst AB</t>
        </is>
      </c>
      <c r="I770" t="n">
        <v>4.5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19839-2026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46135</v>
      </c>
      <c r="E771" s="1" t="n">
        <v>46313</v>
      </c>
      <c r="F771" t="inlineStr">
        <is>
          <t>GÄVLEBORGS LÄN</t>
        </is>
      </c>
      <c r="G771" t="inlineStr">
        <is>
          <t>BOLLNÄS</t>
        </is>
      </c>
      <c r="I771" t="n">
        <v>2.7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18664-2026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46128</v>
      </c>
      <c r="E772" s="1" t="n">
        <v>46313</v>
      </c>
      <c r="F772" t="inlineStr">
        <is>
          <t>GÄVLEBORGS LÄN</t>
        </is>
      </c>
      <c r="G772" t="inlineStr">
        <is>
          <t>BOLLNÄS</t>
        </is>
      </c>
      <c r="I772" t="n">
        <v>7.9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24081-2026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46168</v>
      </c>
      <c r="E773" s="1" t="n">
        <v>46313</v>
      </c>
      <c r="F773" t="inlineStr">
        <is>
          <t>GÄVLEBORGS LÄN</t>
        </is>
      </c>
      <c r="G773" t="inlineStr">
        <is>
          <t>BOLLNÄS</t>
        </is>
      </c>
      <c r="I773" t="n">
        <v>1.4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14521-2026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46100</v>
      </c>
      <c r="E774" s="1" t="n">
        <v>46313</v>
      </c>
      <c r="F774" t="inlineStr">
        <is>
          <t>GÄVLEBORGS LÄN</t>
        </is>
      </c>
      <c r="G774" t="inlineStr">
        <is>
          <t>BOLLNÄS</t>
        </is>
      </c>
      <c r="I774" t="n">
        <v>9.6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58279-2025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45985</v>
      </c>
      <c r="E775" s="1" t="n">
        <v>46313</v>
      </c>
      <c r="F775" t="inlineStr">
        <is>
          <t>GÄVLEBORGS LÄN</t>
        </is>
      </c>
      <c r="G775" t="inlineStr">
        <is>
          <t>BOLLNÄS</t>
        </is>
      </c>
      <c r="I775" t="n">
        <v>1.5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30561-2024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45492</v>
      </c>
      <c r="E776" s="1" t="n">
        <v>46313</v>
      </c>
      <c r="F776" t="inlineStr">
        <is>
          <t>GÄVLEBORGS LÄN</t>
        </is>
      </c>
      <c r="G776" t="inlineStr">
        <is>
          <t>BOLLNÄS</t>
        </is>
      </c>
      <c r="I776" t="n">
        <v>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60757-2025</t>
        </is>
      </c>
      <c r="B777" t="inlineStr">
        <is>
          <t>avverkningsanmälan</t>
        </is>
      </c>
      <c r="C777" t="inlineStr">
        <is>
          <t>Avverkning för annat ändamål</t>
        </is>
      </c>
      <c r="D777" s="1" t="n">
        <v>45999</v>
      </c>
      <c r="E777" s="1" t="n">
        <v>46313</v>
      </c>
      <c r="F777" t="inlineStr">
        <is>
          <t>GÄVLEBORGS LÄN</t>
        </is>
      </c>
      <c r="G777" t="inlineStr">
        <is>
          <t>BOLLNÄS</t>
        </is>
      </c>
      <c r="H777" t="inlineStr">
        <is>
          <t>Bergvik skog väst AB</t>
        </is>
      </c>
      <c r="I777" t="n">
        <v>1.3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9816-2026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46072</v>
      </c>
      <c r="E778" s="1" t="n">
        <v>46313</v>
      </c>
      <c r="F778" t="inlineStr">
        <is>
          <t>GÄVLEBORGS LÄN</t>
        </is>
      </c>
      <c r="G778" t="inlineStr">
        <is>
          <t>BOLLNÄS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60779-2025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45999</v>
      </c>
      <c r="E779" s="1" t="n">
        <v>46313</v>
      </c>
      <c r="F779" t="inlineStr">
        <is>
          <t>GÄVLEBORGS LÄN</t>
        </is>
      </c>
      <c r="G779" t="inlineStr">
        <is>
          <t>BOLLNÄS</t>
        </is>
      </c>
      <c r="I779" t="n">
        <v>0.5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60707-2025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45996</v>
      </c>
      <c r="E780" s="1" t="n">
        <v>46313</v>
      </c>
      <c r="F780" t="inlineStr">
        <is>
          <t>GÄVLEBORGS LÄN</t>
        </is>
      </c>
      <c r="G780" t="inlineStr">
        <is>
          <t>BOLLNÄS</t>
        </is>
      </c>
      <c r="I780" t="n">
        <v>1.7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60810-2025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45999</v>
      </c>
      <c r="E781" s="1" t="n">
        <v>46313</v>
      </c>
      <c r="F781" t="inlineStr">
        <is>
          <t>GÄVLEBORGS LÄN</t>
        </is>
      </c>
      <c r="G781" t="inlineStr">
        <is>
          <t>BOLLNÄS</t>
        </is>
      </c>
      <c r="I781" t="n">
        <v>3.2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60573-2025</t>
        </is>
      </c>
      <c r="B782" t="inlineStr">
        <is>
          <t>avverkningsanmälan</t>
        </is>
      </c>
      <c r="C782" t="inlineStr">
        <is>
          <t>Avverkning för att bevara och utveckla /försöksver</t>
        </is>
      </c>
      <c r="D782" s="1" t="n">
        <v>45996</v>
      </c>
      <c r="E782" s="1" t="n">
        <v>46313</v>
      </c>
      <c r="F782" t="inlineStr">
        <is>
          <t>GÄVLEBORGS LÄN</t>
        </is>
      </c>
      <c r="G782" t="inlineStr">
        <is>
          <t>BOLLNÄS</t>
        </is>
      </c>
      <c r="I782" t="n">
        <v>2.2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6067-2026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46052</v>
      </c>
      <c r="E783" s="1" t="n">
        <v>46313</v>
      </c>
      <c r="F783" t="inlineStr">
        <is>
          <t>GÄVLEBORGS LÄN</t>
        </is>
      </c>
      <c r="G783" t="inlineStr">
        <is>
          <t>BOLLNÄS</t>
        </is>
      </c>
      <c r="I783" t="n">
        <v>1.6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7067-2026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46058</v>
      </c>
      <c r="E784" s="1" t="n">
        <v>46313</v>
      </c>
      <c r="F784" t="inlineStr">
        <is>
          <t>GÄVLEBORGS LÄN</t>
        </is>
      </c>
      <c r="G784" t="inlineStr">
        <is>
          <t>BOLLNÄS</t>
        </is>
      </c>
      <c r="I784" t="n">
        <v>3.9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61043-2025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46000</v>
      </c>
      <c r="E785" s="1" t="n">
        <v>46313</v>
      </c>
      <c r="F785" t="inlineStr">
        <is>
          <t>GÄVLEBORGS LÄN</t>
        </is>
      </c>
      <c r="G785" t="inlineStr">
        <is>
          <t>BOLLNÄS</t>
        </is>
      </c>
      <c r="I785" t="n">
        <v>1.5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5388-2024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45331</v>
      </c>
      <c r="E786" s="1" t="n">
        <v>46313</v>
      </c>
      <c r="F786" t="inlineStr">
        <is>
          <t>GÄVLEBORGS LÄN</t>
        </is>
      </c>
      <c r="G786" t="inlineStr">
        <is>
          <t>BOLLNÄS</t>
        </is>
      </c>
      <c r="I786" t="n">
        <v>0.6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5135-2022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44594</v>
      </c>
      <c r="E787" s="1" t="n">
        <v>46313</v>
      </c>
      <c r="F787" t="inlineStr">
        <is>
          <t>GÄVLEBORGS LÄN</t>
        </is>
      </c>
      <c r="G787" t="inlineStr">
        <is>
          <t>BOLLNÄS</t>
        </is>
      </c>
      <c r="I787" t="n">
        <v>1.7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17648-2026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46121</v>
      </c>
      <c r="E788" s="1" t="n">
        <v>46313</v>
      </c>
      <c r="F788" t="inlineStr">
        <is>
          <t>GÄVLEBORGS LÄN</t>
        </is>
      </c>
      <c r="G788" t="inlineStr">
        <is>
          <t>BOLLNÄS</t>
        </is>
      </c>
      <c r="I788" t="n">
        <v>5.6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24461-2026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46170</v>
      </c>
      <c r="E789" s="1" t="n">
        <v>46313</v>
      </c>
      <c r="F789" t="inlineStr">
        <is>
          <t>GÄVLEBORGS LÄN</t>
        </is>
      </c>
      <c r="G789" t="inlineStr">
        <is>
          <t>BOLLNÄS</t>
        </is>
      </c>
      <c r="I789" t="n">
        <v>1.1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24557-2026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46170</v>
      </c>
      <c r="E790" s="1" t="n">
        <v>46313</v>
      </c>
      <c r="F790" t="inlineStr">
        <is>
          <t>GÄVLEBORGS LÄN</t>
        </is>
      </c>
      <c r="G790" t="inlineStr">
        <is>
          <t>BOLLNÄS</t>
        </is>
      </c>
      <c r="I790" t="n">
        <v>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61835-2025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46003</v>
      </c>
      <c r="E791" s="1" t="n">
        <v>46313</v>
      </c>
      <c r="F791" t="inlineStr">
        <is>
          <t>GÄVLEBORGS LÄN</t>
        </is>
      </c>
      <c r="G791" t="inlineStr">
        <is>
          <t>BOLLNÄS</t>
        </is>
      </c>
      <c r="I791" t="n">
        <v>0.5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5561-2022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44595</v>
      </c>
      <c r="E792" s="1" t="n">
        <v>46313</v>
      </c>
      <c r="F792" t="inlineStr">
        <is>
          <t>GÄVLEBORGS LÄN</t>
        </is>
      </c>
      <c r="G792" t="inlineStr">
        <is>
          <t>BOLLNÄS</t>
        </is>
      </c>
      <c r="I792" t="n">
        <v>2.8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16423-2026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46111</v>
      </c>
      <c r="E793" s="1" t="n">
        <v>46313</v>
      </c>
      <c r="F793" t="inlineStr">
        <is>
          <t>GÄVLEBORGS LÄN</t>
        </is>
      </c>
      <c r="G793" t="inlineStr">
        <is>
          <t>BOLLNÄS</t>
        </is>
      </c>
      <c r="H793" t="inlineStr">
        <is>
          <t>Bergvik skog öst AB</t>
        </is>
      </c>
      <c r="I793" t="n">
        <v>4.7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61689-2025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46002</v>
      </c>
      <c r="E794" s="1" t="n">
        <v>46313</v>
      </c>
      <c r="F794" t="inlineStr">
        <is>
          <t>GÄVLEBORGS LÄN</t>
        </is>
      </c>
      <c r="G794" t="inlineStr">
        <is>
          <t>BOLLNÄS</t>
        </is>
      </c>
      <c r="I794" t="n">
        <v>2.2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61568-2025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46002</v>
      </c>
      <c r="E795" s="1" t="n">
        <v>46313</v>
      </c>
      <c r="F795" t="inlineStr">
        <is>
          <t>GÄVLEBORGS LÄN</t>
        </is>
      </c>
      <c r="G795" t="inlineStr">
        <is>
          <t>BOLLNÄS</t>
        </is>
      </c>
      <c r="I795" t="n">
        <v>4.2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61686-2025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46002</v>
      </c>
      <c r="E796" s="1" t="n">
        <v>46313</v>
      </c>
      <c r="F796" t="inlineStr">
        <is>
          <t>GÄVLEBORGS LÄN</t>
        </is>
      </c>
      <c r="G796" t="inlineStr">
        <is>
          <t>BOLLNÄS</t>
        </is>
      </c>
      <c r="I796" t="n">
        <v>1.6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13346-2026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46094</v>
      </c>
      <c r="E797" s="1" t="n">
        <v>46313</v>
      </c>
      <c r="F797" t="inlineStr">
        <is>
          <t>GÄVLEBORGS LÄN</t>
        </is>
      </c>
      <c r="G797" t="inlineStr">
        <is>
          <t>BOLLNÄS</t>
        </is>
      </c>
      <c r="I797" t="n">
        <v>1.1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26377-2023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45092</v>
      </c>
      <c r="E798" s="1" t="n">
        <v>46313</v>
      </c>
      <c r="F798" t="inlineStr">
        <is>
          <t>GÄVLEBORGS LÄN</t>
        </is>
      </c>
      <c r="G798" t="inlineStr">
        <is>
          <t>BOLLNÄS</t>
        </is>
      </c>
      <c r="I798" t="n">
        <v>2.8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63865-2023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45278</v>
      </c>
      <c r="E799" s="1" t="n">
        <v>46313</v>
      </c>
      <c r="F799" t="inlineStr">
        <is>
          <t>GÄVLEBORGS LÄN</t>
        </is>
      </c>
      <c r="G799" t="inlineStr">
        <is>
          <t>BOLLNÄS</t>
        </is>
      </c>
      <c r="I799" t="n">
        <v>0.4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63868-2023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45278</v>
      </c>
      <c r="E800" s="1" t="n">
        <v>46313</v>
      </c>
      <c r="F800" t="inlineStr">
        <is>
          <t>GÄVLEBORGS LÄN</t>
        </is>
      </c>
      <c r="G800" t="inlineStr">
        <is>
          <t>BOLLNÄS</t>
        </is>
      </c>
      <c r="I800" t="n">
        <v>0.3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30877-2023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45113</v>
      </c>
      <c r="E801" s="1" t="n">
        <v>46313</v>
      </c>
      <c r="F801" t="inlineStr">
        <is>
          <t>GÄVLEBORGS LÄN</t>
        </is>
      </c>
      <c r="G801" t="inlineStr">
        <is>
          <t>BOLLNÄS</t>
        </is>
      </c>
      <c r="I801" t="n">
        <v>3.1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62272-2025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46006</v>
      </c>
      <c r="E802" s="1" t="n">
        <v>46313</v>
      </c>
      <c r="F802" t="inlineStr">
        <is>
          <t>GÄVLEBORGS LÄN</t>
        </is>
      </c>
      <c r="G802" t="inlineStr">
        <is>
          <t>BOLLNÄS</t>
        </is>
      </c>
      <c r="I802" t="n">
        <v>0.7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24747-2026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46171</v>
      </c>
      <c r="E803" s="1" t="n">
        <v>46313</v>
      </c>
      <c r="F803" t="inlineStr">
        <is>
          <t>GÄVLEBORGS LÄN</t>
        </is>
      </c>
      <c r="G803" t="inlineStr">
        <is>
          <t>BOLLNÄS</t>
        </is>
      </c>
      <c r="I803" t="n">
        <v>2.9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24753-2026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46171</v>
      </c>
      <c r="E804" s="1" t="n">
        <v>46313</v>
      </c>
      <c r="F804" t="inlineStr">
        <is>
          <t>GÄVLEBORGS LÄN</t>
        </is>
      </c>
      <c r="G804" t="inlineStr">
        <is>
          <t>BOLLNÄS</t>
        </is>
      </c>
      <c r="I804" t="n">
        <v>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62355-2025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46007</v>
      </c>
      <c r="E805" s="1" t="n">
        <v>46313</v>
      </c>
      <c r="F805" t="inlineStr">
        <is>
          <t>GÄVLEBORGS LÄN</t>
        </is>
      </c>
      <c r="G805" t="inlineStr">
        <is>
          <t>BOLLNÄS</t>
        </is>
      </c>
      <c r="I805" t="n">
        <v>1.7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23939-2026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46167</v>
      </c>
      <c r="E806" s="1" t="n">
        <v>46313</v>
      </c>
      <c r="F806" t="inlineStr">
        <is>
          <t>GÄVLEBORGS LÄN</t>
        </is>
      </c>
      <c r="G806" t="inlineStr">
        <is>
          <t>BOLLNÄS</t>
        </is>
      </c>
      <c r="I806" t="n">
        <v>3.6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56120-2024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45624</v>
      </c>
      <c r="E807" s="1" t="n">
        <v>46313</v>
      </c>
      <c r="F807" t="inlineStr">
        <is>
          <t>GÄVLEBORGS LÄN</t>
        </is>
      </c>
      <c r="G807" t="inlineStr">
        <is>
          <t>BOLLNÄS</t>
        </is>
      </c>
      <c r="I807" t="n">
        <v>0.7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24897-2026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46174</v>
      </c>
      <c r="E808" s="1" t="n">
        <v>46313</v>
      </c>
      <c r="F808" t="inlineStr">
        <is>
          <t>GÄVLEBORGS LÄN</t>
        </is>
      </c>
      <c r="G808" t="inlineStr">
        <is>
          <t>BOLLNÄS</t>
        </is>
      </c>
      <c r="I808" t="n">
        <v>9.9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63027-2025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46009</v>
      </c>
      <c r="E809" s="1" t="n">
        <v>46313</v>
      </c>
      <c r="F809" t="inlineStr">
        <is>
          <t>GÄVLEBORGS LÄN</t>
        </is>
      </c>
      <c r="G809" t="inlineStr">
        <is>
          <t>BOLLNÄS</t>
        </is>
      </c>
      <c r="I809" t="n">
        <v>0.7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62656-2025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46008</v>
      </c>
      <c r="E810" s="1" t="n">
        <v>46313</v>
      </c>
      <c r="F810" t="inlineStr">
        <is>
          <t>GÄVLEBORGS LÄN</t>
        </is>
      </c>
      <c r="G810" t="inlineStr">
        <is>
          <t>BOLLNÄS</t>
        </is>
      </c>
      <c r="I810" t="n">
        <v>3.3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24885-2026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46174</v>
      </c>
      <c r="E811" s="1" t="n">
        <v>46313</v>
      </c>
      <c r="F811" t="inlineStr">
        <is>
          <t>GÄVLEBORGS LÄN</t>
        </is>
      </c>
      <c r="G811" t="inlineStr">
        <is>
          <t>BOLLNÄS</t>
        </is>
      </c>
      <c r="I811" t="n">
        <v>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63326-2025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46010</v>
      </c>
      <c r="E812" s="1" t="n">
        <v>46313</v>
      </c>
      <c r="F812" t="inlineStr">
        <is>
          <t>GÄVLEBORGS LÄN</t>
        </is>
      </c>
      <c r="G812" t="inlineStr">
        <is>
          <t>BOLLNÄS</t>
        </is>
      </c>
      <c r="I812" t="n">
        <v>6.8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64109-2025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46013</v>
      </c>
      <c r="E813" s="1" t="n">
        <v>46313</v>
      </c>
      <c r="F813" t="inlineStr">
        <is>
          <t>GÄVLEBORGS LÄN</t>
        </is>
      </c>
      <c r="G813" t="inlineStr">
        <is>
          <t>BOLLNÄS</t>
        </is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63200-2025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46010</v>
      </c>
      <c r="E814" s="1" t="n">
        <v>46313</v>
      </c>
      <c r="F814" t="inlineStr">
        <is>
          <t>GÄVLEBORGS LÄN</t>
        </is>
      </c>
      <c r="G814" t="inlineStr">
        <is>
          <t>BOLLNÄS</t>
        </is>
      </c>
      <c r="I814" t="n">
        <v>0.7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10180-2022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44622</v>
      </c>
      <c r="E815" s="1" t="n">
        <v>46313</v>
      </c>
      <c r="F815" t="inlineStr">
        <is>
          <t>GÄVLEBORGS LÄN</t>
        </is>
      </c>
      <c r="G815" t="inlineStr">
        <is>
          <t>BOLLNÄS</t>
        </is>
      </c>
      <c r="I815" t="n">
        <v>0.2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17401-2025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45757</v>
      </c>
      <c r="E816" s="1" t="n">
        <v>46313</v>
      </c>
      <c r="F816" t="inlineStr">
        <is>
          <t>GÄVLEBORGS LÄN</t>
        </is>
      </c>
      <c r="G816" t="inlineStr">
        <is>
          <t>BOLLNÄS</t>
        </is>
      </c>
      <c r="I816" t="n">
        <v>2.6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63312-2025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46010</v>
      </c>
      <c r="E817" s="1" t="n">
        <v>46313</v>
      </c>
      <c r="F817" t="inlineStr">
        <is>
          <t>GÄVLEBORGS LÄN</t>
        </is>
      </c>
      <c r="G817" t="inlineStr">
        <is>
          <t>BOLLNÄS</t>
        </is>
      </c>
      <c r="I817" t="n">
        <v>2.9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63214-2025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46010</v>
      </c>
      <c r="E818" s="1" t="n">
        <v>46313</v>
      </c>
      <c r="F818" t="inlineStr">
        <is>
          <t>GÄVLEBORGS LÄN</t>
        </is>
      </c>
      <c r="G818" t="inlineStr">
        <is>
          <t>BOLLNÄS</t>
        </is>
      </c>
      <c r="I818" t="n">
        <v>4.3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63272-2025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46010</v>
      </c>
      <c r="E819" s="1" t="n">
        <v>46313</v>
      </c>
      <c r="F819" t="inlineStr">
        <is>
          <t>GÄVLEBORGS LÄN</t>
        </is>
      </c>
      <c r="G819" t="inlineStr">
        <is>
          <t>BOLLNÄS</t>
        </is>
      </c>
      <c r="I819" t="n">
        <v>1.6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14811-2026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46104</v>
      </c>
      <c r="E820" s="1" t="n">
        <v>46313</v>
      </c>
      <c r="F820" t="inlineStr">
        <is>
          <t>GÄVLEBORGS LÄN</t>
        </is>
      </c>
      <c r="G820" t="inlineStr">
        <is>
          <t>BOLLNÄS</t>
        </is>
      </c>
      <c r="I820" t="n">
        <v>1.2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16379-2022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44671</v>
      </c>
      <c r="E821" s="1" t="n">
        <v>46313</v>
      </c>
      <c r="F821" t="inlineStr">
        <is>
          <t>GÄVLEBORGS LÄN</t>
        </is>
      </c>
      <c r="G821" t="inlineStr">
        <is>
          <t>BOLLNÄS</t>
        </is>
      </c>
      <c r="I821" t="n">
        <v>1.2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63270-2025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46010</v>
      </c>
      <c r="E822" s="1" t="n">
        <v>46313</v>
      </c>
      <c r="F822" t="inlineStr">
        <is>
          <t>GÄVLEBORGS LÄN</t>
        </is>
      </c>
      <c r="G822" t="inlineStr">
        <is>
          <t>BOLLNÄS</t>
        </is>
      </c>
      <c r="I822" t="n">
        <v>1.7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63286-2025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46010</v>
      </c>
      <c r="E823" s="1" t="n">
        <v>46313</v>
      </c>
      <c r="F823" t="inlineStr">
        <is>
          <t>GÄVLEBORGS LÄN</t>
        </is>
      </c>
      <c r="G823" t="inlineStr">
        <is>
          <t>BOLLNÄS</t>
        </is>
      </c>
      <c r="I823" t="n">
        <v>3.3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15668-2025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45748</v>
      </c>
      <c r="E824" s="1" t="n">
        <v>46313</v>
      </c>
      <c r="F824" t="inlineStr">
        <is>
          <t>GÄVLEBORGS LÄN</t>
        </is>
      </c>
      <c r="G824" t="inlineStr">
        <is>
          <t>BOLLNÄS</t>
        </is>
      </c>
      <c r="I824" t="n">
        <v>0.8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15687-2025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45748</v>
      </c>
      <c r="E825" s="1" t="n">
        <v>46313</v>
      </c>
      <c r="F825" t="inlineStr">
        <is>
          <t>GÄVLEBORGS LÄN</t>
        </is>
      </c>
      <c r="G825" t="inlineStr">
        <is>
          <t>BOLLNÄS</t>
        </is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61711-2023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45265</v>
      </c>
      <c r="E826" s="1" t="n">
        <v>46313</v>
      </c>
      <c r="F826" t="inlineStr">
        <is>
          <t>GÄVLEBORGS LÄN</t>
        </is>
      </c>
      <c r="G826" t="inlineStr">
        <is>
          <t>BOLLNÄS</t>
        </is>
      </c>
      <c r="I826" t="n">
        <v>7.1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2932-2024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45315</v>
      </c>
      <c r="E827" s="1" t="n">
        <v>46313</v>
      </c>
      <c r="F827" t="inlineStr">
        <is>
          <t>GÄVLEBORGS LÄN</t>
        </is>
      </c>
      <c r="G827" t="inlineStr">
        <is>
          <t>BOLLNÄS</t>
        </is>
      </c>
      <c r="I827" t="n">
        <v>2.2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8130-2026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46064</v>
      </c>
      <c r="E828" s="1" t="n">
        <v>46313</v>
      </c>
      <c r="F828" t="inlineStr">
        <is>
          <t>GÄVLEBORGS LÄN</t>
        </is>
      </c>
      <c r="G828" t="inlineStr">
        <is>
          <t>BOLLNÄS</t>
        </is>
      </c>
      <c r="I828" t="n">
        <v>1.8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57196-2025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45979</v>
      </c>
      <c r="E829" s="1" t="n">
        <v>46313</v>
      </c>
      <c r="F829" t="inlineStr">
        <is>
          <t>GÄVLEBORGS LÄN</t>
        </is>
      </c>
      <c r="G829" t="inlineStr">
        <is>
          <t>BOLLNÄS</t>
        </is>
      </c>
      <c r="I829" t="n">
        <v>1.6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22877-2024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45448</v>
      </c>
      <c r="E830" s="1" t="n">
        <v>46313</v>
      </c>
      <c r="F830" t="inlineStr">
        <is>
          <t>GÄVLEBORGS LÄN</t>
        </is>
      </c>
      <c r="G830" t="inlineStr">
        <is>
          <t>BOLLNÄS</t>
        </is>
      </c>
      <c r="I830" t="n">
        <v>0.7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24749-2026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46171</v>
      </c>
      <c r="E831" s="1" t="n">
        <v>46313</v>
      </c>
      <c r="F831" t="inlineStr">
        <is>
          <t>GÄVLEBORGS LÄN</t>
        </is>
      </c>
      <c r="G831" t="inlineStr">
        <is>
          <t>BOLLNÄS</t>
        </is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24652-2026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46171</v>
      </c>
      <c r="E832" s="1" t="n">
        <v>46313</v>
      </c>
      <c r="F832" t="inlineStr">
        <is>
          <t>GÄVLEBORGS LÄN</t>
        </is>
      </c>
      <c r="G832" t="inlineStr">
        <is>
          <t>BOLLNÄS</t>
        </is>
      </c>
      <c r="H832" t="inlineStr">
        <is>
          <t>Bergvik skog väst AB</t>
        </is>
      </c>
      <c r="I832" t="n">
        <v>15.7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24658-2026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46171</v>
      </c>
      <c r="E833" s="1" t="n">
        <v>46313</v>
      </c>
      <c r="F833" t="inlineStr">
        <is>
          <t>GÄVLEBORGS LÄN</t>
        </is>
      </c>
      <c r="G833" t="inlineStr">
        <is>
          <t>BOLLNÄS</t>
        </is>
      </c>
      <c r="H833" t="inlineStr">
        <is>
          <t>Bergvik skog väst AB</t>
        </is>
      </c>
      <c r="I833" t="n">
        <v>15.5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63876-2025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46020</v>
      </c>
      <c r="E834" s="1" t="n">
        <v>46313</v>
      </c>
      <c r="F834" t="inlineStr">
        <is>
          <t>GÄVLEBORGS LÄN</t>
        </is>
      </c>
      <c r="G834" t="inlineStr">
        <is>
          <t>BOLLNÄS</t>
        </is>
      </c>
      <c r="I834" t="n">
        <v>12.2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63976-2025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46021</v>
      </c>
      <c r="E835" s="1" t="n">
        <v>46313</v>
      </c>
      <c r="F835" t="inlineStr">
        <is>
          <t>GÄVLEBORGS LÄN</t>
        </is>
      </c>
      <c r="G835" t="inlineStr">
        <is>
          <t>BOLLNÄS</t>
        </is>
      </c>
      <c r="I835" t="n">
        <v>1.5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63870-2025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46020</v>
      </c>
      <c r="E836" s="1" t="n">
        <v>46313</v>
      </c>
      <c r="F836" t="inlineStr">
        <is>
          <t>GÄVLEBORGS LÄN</t>
        </is>
      </c>
      <c r="G836" t="inlineStr">
        <is>
          <t>BOLLNÄS</t>
        </is>
      </c>
      <c r="I836" t="n">
        <v>9.4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253-2026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46027</v>
      </c>
      <c r="E837" s="1" t="n">
        <v>46313</v>
      </c>
      <c r="F837" t="inlineStr">
        <is>
          <t>GÄVLEBORGS LÄN</t>
        </is>
      </c>
      <c r="G837" t="inlineStr">
        <is>
          <t>BOLLNÄS</t>
        </is>
      </c>
      <c r="I837" t="n">
        <v>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24925-2026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46174</v>
      </c>
      <c r="E838" s="1" t="n">
        <v>46313</v>
      </c>
      <c r="F838" t="inlineStr">
        <is>
          <t>GÄVLEBORGS LÄN</t>
        </is>
      </c>
      <c r="G838" t="inlineStr">
        <is>
          <t>BOLLNÄS</t>
        </is>
      </c>
      <c r="I838" t="n">
        <v>1.6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27-2026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46024</v>
      </c>
      <c r="E839" s="1" t="n">
        <v>46313</v>
      </c>
      <c r="F839" t="inlineStr">
        <is>
          <t>GÄVLEBORGS LÄN</t>
        </is>
      </c>
      <c r="G839" t="inlineStr">
        <is>
          <t>BOLLNÄS</t>
        </is>
      </c>
      <c r="I839" t="n">
        <v>2.6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24743-2026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46171</v>
      </c>
      <c r="E840" s="1" t="n">
        <v>46313</v>
      </c>
      <c r="F840" t="inlineStr">
        <is>
          <t>GÄVLEBORGS LÄN</t>
        </is>
      </c>
      <c r="G840" t="inlineStr">
        <is>
          <t>BOLLNÄS</t>
        </is>
      </c>
      <c r="I840" t="n">
        <v>0.9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24748-2026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46171</v>
      </c>
      <c r="E841" s="1" t="n">
        <v>46313</v>
      </c>
      <c r="F841" t="inlineStr">
        <is>
          <t>GÄVLEBORGS LÄN</t>
        </is>
      </c>
      <c r="G841" t="inlineStr">
        <is>
          <t>BOLLNÄS</t>
        </is>
      </c>
      <c r="I841" t="n">
        <v>7.2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24751-2026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46171</v>
      </c>
      <c r="E842" s="1" t="n">
        <v>46313</v>
      </c>
      <c r="F842" t="inlineStr">
        <is>
          <t>GÄVLEBORGS LÄN</t>
        </is>
      </c>
      <c r="G842" t="inlineStr">
        <is>
          <t>BOLLNÄS</t>
        </is>
      </c>
      <c r="I842" t="n">
        <v>1.4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62825-2025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46008</v>
      </c>
      <c r="E843" s="1" t="n">
        <v>46313</v>
      </c>
      <c r="F843" t="inlineStr">
        <is>
          <t>GÄVLEBORGS LÄN</t>
        </is>
      </c>
      <c r="G843" t="inlineStr">
        <is>
          <t>BOLLNÄS</t>
        </is>
      </c>
      <c r="I843" t="n">
        <v>3.1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9341-2026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46070</v>
      </c>
      <c r="E844" s="1" t="n">
        <v>46313</v>
      </c>
      <c r="F844" t="inlineStr">
        <is>
          <t>GÄVLEBORGS LÄN</t>
        </is>
      </c>
      <c r="G844" t="inlineStr">
        <is>
          <t>BOLLNÄS</t>
        </is>
      </c>
      <c r="I844" t="n">
        <v>2.4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25-2026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46024</v>
      </c>
      <c r="E845" s="1" t="n">
        <v>46313</v>
      </c>
      <c r="F845" t="inlineStr">
        <is>
          <t>GÄVLEBORGS LÄN</t>
        </is>
      </c>
      <c r="G845" t="inlineStr">
        <is>
          <t>BOLLNÄS</t>
        </is>
      </c>
      <c r="I845" t="n">
        <v>1.2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533-2026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46029</v>
      </c>
      <c r="E846" s="1" t="n">
        <v>46313</v>
      </c>
      <c r="F846" t="inlineStr">
        <is>
          <t>GÄVLEBORGS LÄN</t>
        </is>
      </c>
      <c r="G846" t="inlineStr">
        <is>
          <t>BOLLNÄS</t>
        </is>
      </c>
      <c r="I846" t="n">
        <v>0.6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551-2026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46029</v>
      </c>
      <c r="E847" s="1" t="n">
        <v>46313</v>
      </c>
      <c r="F847" t="inlineStr">
        <is>
          <t>GÄVLEBORGS LÄN</t>
        </is>
      </c>
      <c r="G847" t="inlineStr">
        <is>
          <t>BOLLNÄS</t>
        </is>
      </c>
      <c r="I847" t="n">
        <v>2.5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25474-2026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46177</v>
      </c>
      <c r="E848" s="1" t="n">
        <v>46313</v>
      </c>
      <c r="F848" t="inlineStr">
        <is>
          <t>GÄVLEBORGS LÄN</t>
        </is>
      </c>
      <c r="G848" t="inlineStr">
        <is>
          <t>BOLLNÄS</t>
        </is>
      </c>
      <c r="I848" t="n">
        <v>0.9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82-2026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46024</v>
      </c>
      <c r="E849" s="1" t="n">
        <v>46313</v>
      </c>
      <c r="F849" t="inlineStr">
        <is>
          <t>GÄVLEBORGS LÄN</t>
        </is>
      </c>
      <c r="G849" t="inlineStr">
        <is>
          <t>BOLLNÄS</t>
        </is>
      </c>
      <c r="I849" t="n">
        <v>1.7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439-2026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46029</v>
      </c>
      <c r="E850" s="1" t="n">
        <v>46313</v>
      </c>
      <c r="F850" t="inlineStr">
        <is>
          <t>GÄVLEBORGS LÄN</t>
        </is>
      </c>
      <c r="G850" t="inlineStr">
        <is>
          <t>BOLLNÄS</t>
        </is>
      </c>
      <c r="I850" t="n">
        <v>0.3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507-2026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46029</v>
      </c>
      <c r="E851" s="1" t="n">
        <v>46313</v>
      </c>
      <c r="F851" t="inlineStr">
        <is>
          <t>GÄVLEBORGS LÄN</t>
        </is>
      </c>
      <c r="G851" t="inlineStr">
        <is>
          <t>BOLLNÄS</t>
        </is>
      </c>
      <c r="I851" t="n">
        <v>3.9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652-2026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46029</v>
      </c>
      <c r="E852" s="1" t="n">
        <v>46313</v>
      </c>
      <c r="F852" t="inlineStr">
        <is>
          <t>GÄVLEBORGS LÄN</t>
        </is>
      </c>
      <c r="G852" t="inlineStr">
        <is>
          <t>BOLLNÄS</t>
        </is>
      </c>
      <c r="I852" t="n">
        <v>0.7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438-2026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46029</v>
      </c>
      <c r="E853" s="1" t="n">
        <v>46313</v>
      </c>
      <c r="F853" t="inlineStr">
        <is>
          <t>GÄVLEBORGS LÄN</t>
        </is>
      </c>
      <c r="G853" t="inlineStr">
        <is>
          <t>BOLLNÄS</t>
        </is>
      </c>
      <c r="I853" t="n">
        <v>0.6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762-2026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46029</v>
      </c>
      <c r="E854" s="1" t="n">
        <v>46313</v>
      </c>
      <c r="F854" t="inlineStr">
        <is>
          <t>GÄVLEBORGS LÄN</t>
        </is>
      </c>
      <c r="G854" t="inlineStr">
        <is>
          <t>BOLLNÄS</t>
        </is>
      </c>
      <c r="I854" t="n">
        <v>3.9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42575-2024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45565</v>
      </c>
      <c r="E855" s="1" t="n">
        <v>46313</v>
      </c>
      <c r="F855" t="inlineStr">
        <is>
          <t>GÄVLEBORGS LÄN</t>
        </is>
      </c>
      <c r="G855" t="inlineStr">
        <is>
          <t>BOLLNÄS</t>
        </is>
      </c>
      <c r="I855" t="n">
        <v>2.8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1213-2026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46031</v>
      </c>
      <c r="E856" s="1" t="n">
        <v>46313</v>
      </c>
      <c r="F856" t="inlineStr">
        <is>
          <t>GÄVLEBORGS LÄN</t>
        </is>
      </c>
      <c r="G856" t="inlineStr">
        <is>
          <t>BOLLNÄS</t>
        </is>
      </c>
      <c r="I856" t="n">
        <v>15.2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811-2026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46030</v>
      </c>
      <c r="E857" s="1" t="n">
        <v>46313</v>
      </c>
      <c r="F857" t="inlineStr">
        <is>
          <t>GÄVLEBORGS LÄN</t>
        </is>
      </c>
      <c r="G857" t="inlineStr">
        <is>
          <t>BOLLNÄS</t>
        </is>
      </c>
      <c r="I857" t="n">
        <v>3.2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51247-2023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45219</v>
      </c>
      <c r="E858" s="1" t="n">
        <v>46313</v>
      </c>
      <c r="F858" t="inlineStr">
        <is>
          <t>GÄVLEBORGS LÄN</t>
        </is>
      </c>
      <c r="G858" t="inlineStr">
        <is>
          <t>BOLLNÄS</t>
        </is>
      </c>
      <c r="I858" t="n">
        <v>0.5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12853-2025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45733</v>
      </c>
      <c r="E859" s="1" t="n">
        <v>46313</v>
      </c>
      <c r="F859" t="inlineStr">
        <is>
          <t>GÄVLEBORGS LÄN</t>
        </is>
      </c>
      <c r="G859" t="inlineStr">
        <is>
          <t>BOLLNÄS</t>
        </is>
      </c>
      <c r="I859" t="n">
        <v>1.9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31574-2024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45506</v>
      </c>
      <c r="E860" s="1" t="n">
        <v>46313</v>
      </c>
      <c r="F860" t="inlineStr">
        <is>
          <t>GÄVLEBORGS LÄN</t>
        </is>
      </c>
      <c r="G860" t="inlineStr">
        <is>
          <t>BOLLNÄS</t>
        </is>
      </c>
      <c r="H860" t="inlineStr">
        <is>
          <t>Sveaskog</t>
        </is>
      </c>
      <c r="I860" t="n">
        <v>2.8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25204-2026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46175</v>
      </c>
      <c r="E861" s="1" t="n">
        <v>46313</v>
      </c>
      <c r="F861" t="inlineStr">
        <is>
          <t>GÄVLEBORGS LÄN</t>
        </is>
      </c>
      <c r="G861" t="inlineStr">
        <is>
          <t>BOLLNÄS</t>
        </is>
      </c>
      <c r="I861" t="n">
        <v>10.1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1027-2026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46030</v>
      </c>
      <c r="E862" s="1" t="n">
        <v>46313</v>
      </c>
      <c r="F862" t="inlineStr">
        <is>
          <t>GÄVLEBORGS LÄN</t>
        </is>
      </c>
      <c r="G862" t="inlineStr">
        <is>
          <t>BOLLNÄS</t>
        </is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1093-2026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46030</v>
      </c>
      <c r="E863" s="1" t="n">
        <v>46313</v>
      </c>
      <c r="F863" t="inlineStr">
        <is>
          <t>GÄVLEBORGS LÄN</t>
        </is>
      </c>
      <c r="G863" t="inlineStr">
        <is>
          <t>BOLLNÄS</t>
        </is>
      </c>
      <c r="I863" t="n">
        <v>16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3281-2026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46041</v>
      </c>
      <c r="E864" s="1" t="n">
        <v>46313</v>
      </c>
      <c r="F864" t="inlineStr">
        <is>
          <t>GÄVLEBORGS LÄN</t>
        </is>
      </c>
      <c r="G864" t="inlineStr">
        <is>
          <t>BOLLNÄS</t>
        </is>
      </c>
      <c r="I864" t="n">
        <v>2.6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57378-2024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45629</v>
      </c>
      <c r="E865" s="1" t="n">
        <v>46313</v>
      </c>
      <c r="F865" t="inlineStr">
        <is>
          <t>GÄVLEBORGS LÄN</t>
        </is>
      </c>
      <c r="G865" t="inlineStr">
        <is>
          <t>BOLLNÄS</t>
        </is>
      </c>
      <c r="I865" t="n">
        <v>0.4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1805-2026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46035</v>
      </c>
      <c r="E866" s="1" t="n">
        <v>46313</v>
      </c>
      <c r="F866" t="inlineStr">
        <is>
          <t>GÄVLEBORGS LÄN</t>
        </is>
      </c>
      <c r="G866" t="inlineStr">
        <is>
          <t>BOLLNÄS</t>
        </is>
      </c>
      <c r="I866" t="n">
        <v>0.7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1948-2026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46035</v>
      </c>
      <c r="E867" s="1" t="n">
        <v>46313</v>
      </c>
      <c r="F867" t="inlineStr">
        <is>
          <t>GÄVLEBORGS LÄN</t>
        </is>
      </c>
      <c r="G867" t="inlineStr">
        <is>
          <t>BOLLNÄS</t>
        </is>
      </c>
      <c r="I867" t="n">
        <v>13.2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25269-2026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46176</v>
      </c>
      <c r="E868" s="1" t="n">
        <v>46313</v>
      </c>
      <c r="F868" t="inlineStr">
        <is>
          <t>GÄVLEBORGS LÄN</t>
        </is>
      </c>
      <c r="G868" t="inlineStr">
        <is>
          <t>BOLLNÄS</t>
        </is>
      </c>
      <c r="H868" t="inlineStr">
        <is>
          <t>Bergvik skog väst AB</t>
        </is>
      </c>
      <c r="I868" t="n">
        <v>1.3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1500-2026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46034</v>
      </c>
      <c r="E869" s="1" t="n">
        <v>46313</v>
      </c>
      <c r="F869" t="inlineStr">
        <is>
          <t>GÄVLEBORGS LÄN</t>
        </is>
      </c>
      <c r="G869" t="inlineStr">
        <is>
          <t>BOLLNÄS</t>
        </is>
      </c>
      <c r="I869" t="n">
        <v>0.6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1555-2026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46034</v>
      </c>
      <c r="E870" s="1" t="n">
        <v>46313</v>
      </c>
      <c r="F870" t="inlineStr">
        <is>
          <t>GÄVLEBORGS LÄN</t>
        </is>
      </c>
      <c r="G870" t="inlineStr">
        <is>
          <t>BOLLNÄS</t>
        </is>
      </c>
      <c r="I870" t="n">
        <v>4.9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1587-2026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46034</v>
      </c>
      <c r="E871" s="1" t="n">
        <v>46313</v>
      </c>
      <c r="F871" t="inlineStr">
        <is>
          <t>GÄVLEBORGS LÄN</t>
        </is>
      </c>
      <c r="G871" t="inlineStr">
        <is>
          <t>BOLLNÄS</t>
        </is>
      </c>
      <c r="I871" t="n">
        <v>11.8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25538-2026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46177</v>
      </c>
      <c r="E872" s="1" t="n">
        <v>46313</v>
      </c>
      <c r="F872" t="inlineStr">
        <is>
          <t>GÄVLEBORGS LÄN</t>
        </is>
      </c>
      <c r="G872" t="inlineStr">
        <is>
          <t>BOLLNÄS</t>
        </is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1492-2026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46034</v>
      </c>
      <c r="E873" s="1" t="n">
        <v>46313</v>
      </c>
      <c r="F873" t="inlineStr">
        <is>
          <t>GÄVLEBORGS LÄN</t>
        </is>
      </c>
      <c r="G873" t="inlineStr">
        <is>
          <t>BOLLNÄS</t>
        </is>
      </c>
      <c r="I873" t="n">
        <v>1.9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1502-2026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46034</v>
      </c>
      <c r="E874" s="1" t="n">
        <v>46313</v>
      </c>
      <c r="F874" t="inlineStr">
        <is>
          <t>GÄVLEBORGS LÄN</t>
        </is>
      </c>
      <c r="G874" t="inlineStr">
        <is>
          <t>BOLLNÄS</t>
        </is>
      </c>
      <c r="I874" t="n">
        <v>0.3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1675-2026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46034</v>
      </c>
      <c r="E875" s="1" t="n">
        <v>46313</v>
      </c>
      <c r="F875" t="inlineStr">
        <is>
          <t>GÄVLEBORGS LÄN</t>
        </is>
      </c>
      <c r="G875" t="inlineStr">
        <is>
          <t>BOLLNÄS</t>
        </is>
      </c>
      <c r="I875" t="n">
        <v>0.9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1797-2026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46035</v>
      </c>
      <c r="E876" s="1" t="n">
        <v>46313</v>
      </c>
      <c r="F876" t="inlineStr">
        <is>
          <t>GÄVLEBORGS LÄN</t>
        </is>
      </c>
      <c r="G876" t="inlineStr">
        <is>
          <t>BOLLNÄS</t>
        </is>
      </c>
      <c r="I876" t="n">
        <v>3.3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1669-2026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46034</v>
      </c>
      <c r="E877" s="1" t="n">
        <v>46313</v>
      </c>
      <c r="F877" t="inlineStr">
        <is>
          <t>GÄVLEBORGS LÄN</t>
        </is>
      </c>
      <c r="G877" t="inlineStr">
        <is>
          <t>BOLLNÄS</t>
        </is>
      </c>
      <c r="I877" t="n">
        <v>6.1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63268-2025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46010</v>
      </c>
      <c r="E878" s="1" t="n">
        <v>46313</v>
      </c>
      <c r="F878" t="inlineStr">
        <is>
          <t>GÄVLEBORGS LÄN</t>
        </is>
      </c>
      <c r="G878" t="inlineStr">
        <is>
          <t>BOLLNÄS</t>
        </is>
      </c>
      <c r="I878" t="n">
        <v>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2058-2026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46035</v>
      </c>
      <c r="E879" s="1" t="n">
        <v>46313</v>
      </c>
      <c r="F879" t="inlineStr">
        <is>
          <t>GÄVLEBORGS LÄN</t>
        </is>
      </c>
      <c r="G879" t="inlineStr">
        <is>
          <t>BOLLNÄS</t>
        </is>
      </c>
      <c r="I879" t="n">
        <v>9.6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63958-2025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46020</v>
      </c>
      <c r="E880" s="1" t="n">
        <v>46313</v>
      </c>
      <c r="F880" t="inlineStr">
        <is>
          <t>GÄVLEBORGS LÄN</t>
        </is>
      </c>
      <c r="G880" t="inlineStr">
        <is>
          <t>BOLLNÄS</t>
        </is>
      </c>
      <c r="I880" t="n">
        <v>2.5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18311-2025</t>
        </is>
      </c>
      <c r="B881" t="inlineStr">
        <is>
          <t>avverkningsanmälan</t>
        </is>
      </c>
      <c r="C881" t="inlineStr">
        <is>
          <t>Avverkning för annat ändamål</t>
        </is>
      </c>
      <c r="D881" s="1" t="n">
        <v>45762</v>
      </c>
      <c r="E881" s="1" t="n">
        <v>46313</v>
      </c>
      <c r="F881" t="inlineStr">
        <is>
          <t>GÄVLEBORGS LÄN</t>
        </is>
      </c>
      <c r="G881" t="inlineStr">
        <is>
          <t>BOLLNÄS</t>
        </is>
      </c>
      <c r="H881" t="inlineStr">
        <is>
          <t>Bergvik skog väst AB</t>
        </is>
      </c>
      <c r="I881" t="n">
        <v>0.3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2405-2026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46036</v>
      </c>
      <c r="E882" s="1" t="n">
        <v>46313</v>
      </c>
      <c r="F882" t="inlineStr">
        <is>
          <t>GÄVLEBORGS LÄN</t>
        </is>
      </c>
      <c r="G882" t="inlineStr">
        <is>
          <t>BOLLNÄS</t>
        </is>
      </c>
      <c r="I882" t="n">
        <v>3.8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2059-2026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46035</v>
      </c>
      <c r="E883" s="1" t="n">
        <v>46313</v>
      </c>
      <c r="F883" t="inlineStr">
        <is>
          <t>GÄVLEBORGS LÄN</t>
        </is>
      </c>
      <c r="G883" t="inlineStr">
        <is>
          <t>BOLLNÄS</t>
        </is>
      </c>
      <c r="I883" t="n">
        <v>1.8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2143-2026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46036</v>
      </c>
      <c r="E884" s="1" t="n">
        <v>46313</v>
      </c>
      <c r="F884" t="inlineStr">
        <is>
          <t>GÄVLEBORGS LÄN</t>
        </is>
      </c>
      <c r="G884" t="inlineStr">
        <is>
          <t>BOLLNÄS</t>
        </is>
      </c>
      <c r="I884" t="n">
        <v>2.5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549-2026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46029</v>
      </c>
      <c r="E885" s="1" t="n">
        <v>46313</v>
      </c>
      <c r="F885" t="inlineStr">
        <is>
          <t>GÄVLEBORGS LÄN</t>
        </is>
      </c>
      <c r="G885" t="inlineStr">
        <is>
          <t>BOLLNÄS</t>
        </is>
      </c>
      <c r="I885" t="n">
        <v>0.6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2653-2026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46037</v>
      </c>
      <c r="E886" s="1" t="n">
        <v>46313</v>
      </c>
      <c r="F886" t="inlineStr">
        <is>
          <t>GÄVLEBORGS LÄN</t>
        </is>
      </c>
      <c r="G886" t="inlineStr">
        <is>
          <t>BOLLNÄS</t>
        </is>
      </c>
      <c r="I886" t="n">
        <v>6.1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2109-2026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46036</v>
      </c>
      <c r="E887" s="1" t="n">
        <v>46313</v>
      </c>
      <c r="F887" t="inlineStr">
        <is>
          <t>GÄVLEBORGS LÄN</t>
        </is>
      </c>
      <c r="G887" t="inlineStr">
        <is>
          <t>BOLLNÄS</t>
        </is>
      </c>
      <c r="I887" t="n">
        <v>7.3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2307-2026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46036</v>
      </c>
      <c r="E888" s="1" t="n">
        <v>46313</v>
      </c>
      <c r="F888" t="inlineStr">
        <is>
          <t>GÄVLEBORGS LÄN</t>
        </is>
      </c>
      <c r="G888" t="inlineStr">
        <is>
          <t>BOLLNÄS</t>
        </is>
      </c>
      <c r="I888" t="n">
        <v>2.8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25449-2026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46177</v>
      </c>
      <c r="E889" s="1" t="n">
        <v>46313</v>
      </c>
      <c r="F889" t="inlineStr">
        <is>
          <t>GÄVLEBORGS LÄN</t>
        </is>
      </c>
      <c r="G889" t="inlineStr">
        <is>
          <t>BOLLNÄS</t>
        </is>
      </c>
      <c r="I889" t="n">
        <v>7.5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2526-2026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46037</v>
      </c>
      <c r="E890" s="1" t="n">
        <v>46313</v>
      </c>
      <c r="F890" t="inlineStr">
        <is>
          <t>GÄVLEBORGS LÄN</t>
        </is>
      </c>
      <c r="G890" t="inlineStr">
        <is>
          <t>BOLLNÄS</t>
        </is>
      </c>
      <c r="I890" t="n">
        <v>12.6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12181-2025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45729</v>
      </c>
      <c r="E891" s="1" t="n">
        <v>46313</v>
      </c>
      <c r="F891" t="inlineStr">
        <is>
          <t>GÄVLEBORGS LÄN</t>
        </is>
      </c>
      <c r="G891" t="inlineStr">
        <is>
          <t>BOLLNÄS</t>
        </is>
      </c>
      <c r="I891" t="n">
        <v>3.8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2348-2026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46036</v>
      </c>
      <c r="E892" s="1" t="n">
        <v>46313</v>
      </c>
      <c r="F892" t="inlineStr">
        <is>
          <t>GÄVLEBORGS LÄN</t>
        </is>
      </c>
      <c r="G892" t="inlineStr">
        <is>
          <t>BOLLNÄS</t>
        </is>
      </c>
      <c r="I892" t="n">
        <v>2.6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562-2026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46029</v>
      </c>
      <c r="E893" s="1" t="n">
        <v>46313</v>
      </c>
      <c r="F893" t="inlineStr">
        <is>
          <t>GÄVLEBORGS LÄN</t>
        </is>
      </c>
      <c r="G893" t="inlineStr">
        <is>
          <t>BOLLNÄS</t>
        </is>
      </c>
      <c r="I893" t="n">
        <v>24.3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3073-2026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46040</v>
      </c>
      <c r="E894" s="1" t="n">
        <v>46313</v>
      </c>
      <c r="F894" t="inlineStr">
        <is>
          <t>GÄVLEBORGS LÄN</t>
        </is>
      </c>
      <c r="G894" t="inlineStr">
        <is>
          <t>BOLLNÄS</t>
        </is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2737-2026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46038</v>
      </c>
      <c r="E895" s="1" t="n">
        <v>46313</v>
      </c>
      <c r="F895" t="inlineStr">
        <is>
          <t>GÄVLEBORGS LÄN</t>
        </is>
      </c>
      <c r="G895" t="inlineStr">
        <is>
          <t>BOLLNÄS</t>
        </is>
      </c>
      <c r="I895" t="n">
        <v>0.5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2741-2026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46038</v>
      </c>
      <c r="E896" s="1" t="n">
        <v>46313</v>
      </c>
      <c r="F896" t="inlineStr">
        <is>
          <t>GÄVLEBORGS LÄN</t>
        </is>
      </c>
      <c r="G896" t="inlineStr">
        <is>
          <t>BOLLNÄS</t>
        </is>
      </c>
      <c r="I896" t="n">
        <v>2.7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2743-2026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46038</v>
      </c>
      <c r="E897" s="1" t="n">
        <v>46313</v>
      </c>
      <c r="F897" t="inlineStr">
        <is>
          <t>GÄVLEBORGS LÄN</t>
        </is>
      </c>
      <c r="G897" t="inlineStr">
        <is>
          <t>BOLLNÄS</t>
        </is>
      </c>
      <c r="I897" t="n">
        <v>4.4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3121-2026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46041</v>
      </c>
      <c r="E898" s="1" t="n">
        <v>46313</v>
      </c>
      <c r="F898" t="inlineStr">
        <is>
          <t>GÄVLEBORGS LÄN</t>
        </is>
      </c>
      <c r="G898" t="inlineStr">
        <is>
          <t>BOLLNÄS</t>
        </is>
      </c>
      <c r="I898" t="n">
        <v>8.300000000000001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3089-2026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46040</v>
      </c>
      <c r="E899" s="1" t="n">
        <v>46313</v>
      </c>
      <c r="F899" t="inlineStr">
        <is>
          <t>GÄVLEBORGS LÄN</t>
        </is>
      </c>
      <c r="G899" t="inlineStr">
        <is>
          <t>BOLLNÄS</t>
        </is>
      </c>
      <c r="I899" t="n">
        <v>2.1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3072-2026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46040</v>
      </c>
      <c r="E900" s="1" t="n">
        <v>46313</v>
      </c>
      <c r="F900" t="inlineStr">
        <is>
          <t>GÄVLEBORGS LÄN</t>
        </is>
      </c>
      <c r="G900" t="inlineStr">
        <is>
          <t>BOLLNÄS</t>
        </is>
      </c>
      <c r="I900" t="n">
        <v>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3076-2026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46040</v>
      </c>
      <c r="E901" s="1" t="n">
        <v>46313</v>
      </c>
      <c r="F901" t="inlineStr">
        <is>
          <t>GÄVLEBORGS LÄN</t>
        </is>
      </c>
      <c r="G901" t="inlineStr">
        <is>
          <t>BOLLNÄS</t>
        </is>
      </c>
      <c r="I901" t="n">
        <v>5.6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3077-2026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46040</v>
      </c>
      <c r="E902" s="1" t="n">
        <v>46313</v>
      </c>
      <c r="F902" t="inlineStr">
        <is>
          <t>GÄVLEBORGS LÄN</t>
        </is>
      </c>
      <c r="G902" t="inlineStr">
        <is>
          <t>BOLLNÄS</t>
        </is>
      </c>
      <c r="I902" t="n">
        <v>31.3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3094-2026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46040</v>
      </c>
      <c r="E903" s="1" t="n">
        <v>46313</v>
      </c>
      <c r="F903" t="inlineStr">
        <is>
          <t>GÄVLEBORGS LÄN</t>
        </is>
      </c>
      <c r="G903" t="inlineStr">
        <is>
          <t>BOLLNÄS</t>
        </is>
      </c>
      <c r="I903" t="n">
        <v>1.5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3099-2026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46041</v>
      </c>
      <c r="E904" s="1" t="n">
        <v>46313</v>
      </c>
      <c r="F904" t="inlineStr">
        <is>
          <t>GÄVLEBORGS LÄN</t>
        </is>
      </c>
      <c r="G904" t="inlineStr">
        <is>
          <t>BOLLNÄS</t>
        </is>
      </c>
      <c r="I904" t="n">
        <v>1.7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3017-2026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46038</v>
      </c>
      <c r="E905" s="1" t="n">
        <v>46313</v>
      </c>
      <c r="F905" t="inlineStr">
        <is>
          <t>GÄVLEBORGS LÄN</t>
        </is>
      </c>
      <c r="G905" t="inlineStr">
        <is>
          <t>BOLLNÄS</t>
        </is>
      </c>
      <c r="I905" t="n">
        <v>4.2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3070-2026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46040</v>
      </c>
      <c r="E906" s="1" t="n">
        <v>46313</v>
      </c>
      <c r="F906" t="inlineStr">
        <is>
          <t>GÄVLEBORGS LÄN</t>
        </is>
      </c>
      <c r="G906" t="inlineStr">
        <is>
          <t>BOLLNÄS</t>
        </is>
      </c>
      <c r="I906" t="n">
        <v>1.3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3080-2026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46040</v>
      </c>
      <c r="E907" s="1" t="n">
        <v>46313</v>
      </c>
      <c r="F907" t="inlineStr">
        <is>
          <t>GÄVLEBORGS LÄN</t>
        </is>
      </c>
      <c r="G907" t="inlineStr">
        <is>
          <t>BOLLNÄS</t>
        </is>
      </c>
      <c r="I907" t="n">
        <v>1.2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2739-2026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46038</v>
      </c>
      <c r="E908" s="1" t="n">
        <v>46313</v>
      </c>
      <c r="F908" t="inlineStr">
        <is>
          <t>GÄVLEBORGS LÄN</t>
        </is>
      </c>
      <c r="G908" t="inlineStr">
        <is>
          <t>BOLLNÄS</t>
        </is>
      </c>
      <c r="I908" t="n">
        <v>3.8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2795-2026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46038</v>
      </c>
      <c r="E909" s="1" t="n">
        <v>46313</v>
      </c>
      <c r="F909" t="inlineStr">
        <is>
          <t>GÄVLEBORGS LÄN</t>
        </is>
      </c>
      <c r="G909" t="inlineStr">
        <is>
          <t>BOLLNÄS</t>
        </is>
      </c>
      <c r="I909" t="n">
        <v>1.7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3097-2026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46041</v>
      </c>
      <c r="E910" s="1" t="n">
        <v>46313</v>
      </c>
      <c r="F910" t="inlineStr">
        <is>
          <t>GÄVLEBORGS LÄN</t>
        </is>
      </c>
      <c r="G910" t="inlineStr">
        <is>
          <t>BOLLNÄS</t>
        </is>
      </c>
      <c r="I910" t="n">
        <v>18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3087-2026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46040</v>
      </c>
      <c r="E911" s="1" t="n">
        <v>46313</v>
      </c>
      <c r="F911" t="inlineStr">
        <is>
          <t>GÄVLEBORGS LÄN</t>
        </is>
      </c>
      <c r="G911" t="inlineStr">
        <is>
          <t>BOLLNÄS</t>
        </is>
      </c>
      <c r="I911" t="n">
        <v>7.6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3093-2026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46040</v>
      </c>
      <c r="E912" s="1" t="n">
        <v>46313</v>
      </c>
      <c r="F912" t="inlineStr">
        <is>
          <t>GÄVLEBORGS LÄN</t>
        </is>
      </c>
      <c r="G912" t="inlineStr">
        <is>
          <t>BOLLNÄS</t>
        </is>
      </c>
      <c r="I912" t="n">
        <v>4.4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3098-2026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46041</v>
      </c>
      <c r="E913" s="1" t="n">
        <v>46313</v>
      </c>
      <c r="F913" t="inlineStr">
        <is>
          <t>GÄVLEBORGS LÄN</t>
        </is>
      </c>
      <c r="G913" t="inlineStr">
        <is>
          <t>BOLLNÄS</t>
        </is>
      </c>
      <c r="I913" t="n">
        <v>34.3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2815-2026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46038</v>
      </c>
      <c r="E914" s="1" t="n">
        <v>46313</v>
      </c>
      <c r="F914" t="inlineStr">
        <is>
          <t>GÄVLEBORGS LÄN</t>
        </is>
      </c>
      <c r="G914" t="inlineStr">
        <is>
          <t>BOLLNÄS</t>
        </is>
      </c>
      <c r="I914" t="n">
        <v>8.800000000000001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559-2026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46029</v>
      </c>
      <c r="E915" s="1" t="n">
        <v>46313</v>
      </c>
      <c r="F915" t="inlineStr">
        <is>
          <t>GÄVLEBORGS LÄN</t>
        </is>
      </c>
      <c r="G915" t="inlineStr">
        <is>
          <t>BOLLNÄS</t>
        </is>
      </c>
      <c r="I915" t="n">
        <v>17.7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3074-2026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46040</v>
      </c>
      <c r="E916" s="1" t="n">
        <v>46313</v>
      </c>
      <c r="F916" t="inlineStr">
        <is>
          <t>GÄVLEBORGS LÄN</t>
        </is>
      </c>
      <c r="G916" t="inlineStr">
        <is>
          <t>BOLLNÄS</t>
        </is>
      </c>
      <c r="I916" t="n">
        <v>12.9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3069-2026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46040</v>
      </c>
      <c r="E917" s="1" t="n">
        <v>46313</v>
      </c>
      <c r="F917" t="inlineStr">
        <is>
          <t>GÄVLEBORGS LÄN</t>
        </is>
      </c>
      <c r="G917" t="inlineStr">
        <is>
          <t>BOLLNÄS</t>
        </is>
      </c>
      <c r="I917" t="n">
        <v>2.4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42350-2022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44831</v>
      </c>
      <c r="E918" s="1" t="n">
        <v>46313</v>
      </c>
      <c r="F918" t="inlineStr">
        <is>
          <t>GÄVLEBORGS LÄN</t>
        </is>
      </c>
      <c r="G918" t="inlineStr">
        <is>
          <t>BOLLNÄS</t>
        </is>
      </c>
      <c r="I918" t="n">
        <v>2.6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25497-2026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46177</v>
      </c>
      <c r="E919" s="1" t="n">
        <v>46313</v>
      </c>
      <c r="F919" t="inlineStr">
        <is>
          <t>GÄVLEBORGS LÄN</t>
        </is>
      </c>
      <c r="G919" t="inlineStr">
        <is>
          <t>BOLLNÄS</t>
        </is>
      </c>
      <c r="I919" t="n">
        <v>6.5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3356-2026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46042</v>
      </c>
      <c r="E920" s="1" t="n">
        <v>46313</v>
      </c>
      <c r="F920" t="inlineStr">
        <is>
          <t>GÄVLEBORGS LÄN</t>
        </is>
      </c>
      <c r="G920" t="inlineStr">
        <is>
          <t>BOLLNÄS</t>
        </is>
      </c>
      <c r="I920" t="n">
        <v>2.4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3355-2026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46042</v>
      </c>
      <c r="E921" s="1" t="n">
        <v>46313</v>
      </c>
      <c r="F921" t="inlineStr">
        <is>
          <t>GÄVLEBORGS LÄN</t>
        </is>
      </c>
      <c r="G921" t="inlineStr">
        <is>
          <t>BOLLNÄS</t>
        </is>
      </c>
      <c r="I921" t="n">
        <v>3.1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3487-2026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46042</v>
      </c>
      <c r="E922" s="1" t="n">
        <v>46313</v>
      </c>
      <c r="F922" t="inlineStr">
        <is>
          <t>GÄVLEBORGS LÄN</t>
        </is>
      </c>
      <c r="G922" t="inlineStr">
        <is>
          <t>BOLLNÄS</t>
        </is>
      </c>
      <c r="I922" t="n">
        <v>18.3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3354-2026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46042</v>
      </c>
      <c r="E923" s="1" t="n">
        <v>46313</v>
      </c>
      <c r="F923" t="inlineStr">
        <is>
          <t>GÄVLEBORGS LÄN</t>
        </is>
      </c>
      <c r="G923" t="inlineStr">
        <is>
          <t>BOLLNÄS</t>
        </is>
      </c>
      <c r="I923" t="n">
        <v>8.9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3502-2026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46042</v>
      </c>
      <c r="E924" s="1" t="n">
        <v>46313</v>
      </c>
      <c r="F924" t="inlineStr">
        <is>
          <t>GÄVLEBORGS LÄN</t>
        </is>
      </c>
      <c r="G924" t="inlineStr">
        <is>
          <t>BOLLNÄS</t>
        </is>
      </c>
      <c r="I924" t="n">
        <v>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3916-2026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46043</v>
      </c>
      <c r="E925" s="1" t="n">
        <v>46313</v>
      </c>
      <c r="F925" t="inlineStr">
        <is>
          <t>GÄVLEBORGS LÄN</t>
        </is>
      </c>
      <c r="G925" t="inlineStr">
        <is>
          <t>BOLLNÄS</t>
        </is>
      </c>
      <c r="I925" t="n">
        <v>7.5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3595-2026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46042</v>
      </c>
      <c r="E926" s="1" t="n">
        <v>46313</v>
      </c>
      <c r="F926" t="inlineStr">
        <is>
          <t>GÄVLEBORGS LÄN</t>
        </is>
      </c>
      <c r="G926" t="inlineStr">
        <is>
          <t>BOLLNÄS</t>
        </is>
      </c>
      <c r="I926" t="n">
        <v>36.1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16391-2026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46111</v>
      </c>
      <c r="E927" s="1" t="n">
        <v>46313</v>
      </c>
      <c r="F927" t="inlineStr">
        <is>
          <t>GÄVLEBORGS LÄN</t>
        </is>
      </c>
      <c r="G927" t="inlineStr">
        <is>
          <t>BOLLNÄS</t>
        </is>
      </c>
      <c r="H927" t="inlineStr">
        <is>
          <t>Bergvik skog öst AB</t>
        </is>
      </c>
      <c r="I927" t="n">
        <v>1.8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3888-2026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46043</v>
      </c>
      <c r="E928" s="1" t="n">
        <v>46313</v>
      </c>
      <c r="F928" t="inlineStr">
        <is>
          <t>GÄVLEBORGS LÄN</t>
        </is>
      </c>
      <c r="G928" t="inlineStr">
        <is>
          <t>BOLLNÄS</t>
        </is>
      </c>
      <c r="I928" t="n">
        <v>1.5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3919-2026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46043</v>
      </c>
      <c r="E929" s="1" t="n">
        <v>46313</v>
      </c>
      <c r="F929" t="inlineStr">
        <is>
          <t>GÄVLEBORGS LÄN</t>
        </is>
      </c>
      <c r="G929" t="inlineStr">
        <is>
          <t>BOLLNÄS</t>
        </is>
      </c>
      <c r="I929" t="n">
        <v>1.6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3639-2026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46043</v>
      </c>
      <c r="E930" s="1" t="n">
        <v>46313</v>
      </c>
      <c r="F930" t="inlineStr">
        <is>
          <t>GÄVLEBORGS LÄN</t>
        </is>
      </c>
      <c r="G930" t="inlineStr">
        <is>
          <t>BOLLNÄS</t>
        </is>
      </c>
      <c r="H930" t="inlineStr">
        <is>
          <t>Kyrkan</t>
        </is>
      </c>
      <c r="I930" t="n">
        <v>2.2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3468-2026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46042</v>
      </c>
      <c r="E931" s="1" t="n">
        <v>46313</v>
      </c>
      <c r="F931" t="inlineStr">
        <is>
          <t>GÄVLEBORGS LÄN</t>
        </is>
      </c>
      <c r="G931" t="inlineStr">
        <is>
          <t>BOLLNÄS</t>
        </is>
      </c>
      <c r="I931" t="n">
        <v>3.5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3825-2026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46043</v>
      </c>
      <c r="E932" s="1" t="n">
        <v>46313</v>
      </c>
      <c r="F932" t="inlineStr">
        <is>
          <t>GÄVLEBORGS LÄN</t>
        </is>
      </c>
      <c r="G932" t="inlineStr">
        <is>
          <t>BOLLNÄS</t>
        </is>
      </c>
      <c r="I932" t="n">
        <v>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14261-2025</t>
        </is>
      </c>
      <c r="B933" t="inlineStr">
        <is>
          <t>avverkningsanmälan</t>
        </is>
      </c>
      <c r="C933" t="inlineStr">
        <is>
          <t>Avverkning för annat ändamål</t>
        </is>
      </c>
      <c r="D933" s="1" t="n">
        <v>45740</v>
      </c>
      <c r="E933" s="1" t="n">
        <v>46313</v>
      </c>
      <c r="F933" t="inlineStr">
        <is>
          <t>GÄVLEBORGS LÄN</t>
        </is>
      </c>
      <c r="G933" t="inlineStr">
        <is>
          <t>BOLLNÄS</t>
        </is>
      </c>
      <c r="I933" t="n">
        <v>0.1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4288-2026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46045</v>
      </c>
      <c r="E934" s="1" t="n">
        <v>46313</v>
      </c>
      <c r="F934" t="inlineStr">
        <is>
          <t>GÄVLEBORGS LÄN</t>
        </is>
      </c>
      <c r="G934" t="inlineStr">
        <is>
          <t>BOLLNÄS</t>
        </is>
      </c>
      <c r="I934" t="n">
        <v>5.9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25561-2026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46177</v>
      </c>
      <c r="E935" s="1" t="n">
        <v>46313</v>
      </c>
      <c r="F935" t="inlineStr">
        <is>
          <t>GÄVLEBORGS LÄN</t>
        </is>
      </c>
      <c r="G935" t="inlineStr">
        <is>
          <t>BOLLNÄS</t>
        </is>
      </c>
      <c r="I935" t="n">
        <v>21.8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4452-2026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46045</v>
      </c>
      <c r="E936" s="1" t="n">
        <v>46313</v>
      </c>
      <c r="F936" t="inlineStr">
        <is>
          <t>GÄVLEBORGS LÄN</t>
        </is>
      </c>
      <c r="G936" t="inlineStr">
        <is>
          <t>BOLLNÄS</t>
        </is>
      </c>
      <c r="I936" t="n">
        <v>0.8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4127-2026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46044</v>
      </c>
      <c r="E937" s="1" t="n">
        <v>46313</v>
      </c>
      <c r="F937" t="inlineStr">
        <is>
          <t>GÄVLEBORGS LÄN</t>
        </is>
      </c>
      <c r="G937" t="inlineStr">
        <is>
          <t>BOLLNÄS</t>
        </is>
      </c>
      <c r="I937" t="n">
        <v>6.1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4239-2026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46045</v>
      </c>
      <c r="E938" s="1" t="n">
        <v>46313</v>
      </c>
      <c r="F938" t="inlineStr">
        <is>
          <t>GÄVLEBORGS LÄN</t>
        </is>
      </c>
      <c r="G938" t="inlineStr">
        <is>
          <t>BOLLNÄS</t>
        </is>
      </c>
      <c r="I938" t="n">
        <v>1.6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775-2026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46029</v>
      </c>
      <c r="E939" s="1" t="n">
        <v>46313</v>
      </c>
      <c r="F939" t="inlineStr">
        <is>
          <t>GÄVLEBORGS LÄN</t>
        </is>
      </c>
      <c r="G939" t="inlineStr">
        <is>
          <t>BOLLNÄS</t>
        </is>
      </c>
      <c r="I939" t="n">
        <v>7.7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4447-2026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46045</v>
      </c>
      <c r="E940" s="1" t="n">
        <v>46313</v>
      </c>
      <c r="F940" t="inlineStr">
        <is>
          <t>GÄVLEBORGS LÄN</t>
        </is>
      </c>
      <c r="G940" t="inlineStr">
        <is>
          <t>BOLLNÄS</t>
        </is>
      </c>
      <c r="I940" t="n">
        <v>3.9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4103-2026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46044</v>
      </c>
      <c r="E941" s="1" t="n">
        <v>46313</v>
      </c>
      <c r="F941" t="inlineStr">
        <is>
          <t>GÄVLEBORGS LÄN</t>
        </is>
      </c>
      <c r="G941" t="inlineStr">
        <is>
          <t>BOLLNÄS</t>
        </is>
      </c>
      <c r="I941" t="n">
        <v>1.3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4062-2026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46044</v>
      </c>
      <c r="E942" s="1" t="n">
        <v>46313</v>
      </c>
      <c r="F942" t="inlineStr">
        <is>
          <t>GÄVLEBORGS LÄN</t>
        </is>
      </c>
      <c r="G942" t="inlineStr">
        <is>
          <t>BOLLNÄS</t>
        </is>
      </c>
      <c r="I942" t="n">
        <v>1.8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4241-2026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46045</v>
      </c>
      <c r="E943" s="1" t="n">
        <v>46313</v>
      </c>
      <c r="F943" t="inlineStr">
        <is>
          <t>GÄVLEBORGS LÄN</t>
        </is>
      </c>
      <c r="G943" t="inlineStr">
        <is>
          <t>BOLLNÄS</t>
        </is>
      </c>
      <c r="I943" t="n">
        <v>1.1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3948-2026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46044</v>
      </c>
      <c r="E944" s="1" t="n">
        <v>46313</v>
      </c>
      <c r="F944" t="inlineStr">
        <is>
          <t>GÄVLEBORGS LÄN</t>
        </is>
      </c>
      <c r="G944" t="inlineStr">
        <is>
          <t>BOLLNÄS</t>
        </is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4445-2026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46045</v>
      </c>
      <c r="E945" s="1" t="n">
        <v>46313</v>
      </c>
      <c r="F945" t="inlineStr">
        <is>
          <t>GÄVLEBORGS LÄN</t>
        </is>
      </c>
      <c r="G945" t="inlineStr">
        <is>
          <t>BOLLNÄS</t>
        </is>
      </c>
      <c r="I945" t="n">
        <v>2.6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4449-2026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46045</v>
      </c>
      <c r="E946" s="1" t="n">
        <v>46313</v>
      </c>
      <c r="F946" t="inlineStr">
        <is>
          <t>GÄVLEBORGS LÄN</t>
        </is>
      </c>
      <c r="G946" t="inlineStr">
        <is>
          <t>BOLLNÄS</t>
        </is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4176-2026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46044</v>
      </c>
      <c r="E947" s="1" t="n">
        <v>46313</v>
      </c>
      <c r="F947" t="inlineStr">
        <is>
          <t>GÄVLEBORGS LÄN</t>
        </is>
      </c>
      <c r="G947" t="inlineStr">
        <is>
          <t>BOLLNÄS</t>
        </is>
      </c>
      <c r="I947" t="n">
        <v>4.6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5149-2026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46049</v>
      </c>
      <c r="E948" s="1" t="n">
        <v>46313</v>
      </c>
      <c r="F948" t="inlineStr">
        <is>
          <t>GÄVLEBORGS LÄN</t>
        </is>
      </c>
      <c r="G948" t="inlineStr">
        <is>
          <t>BOLLNÄS</t>
        </is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4952-2026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46049</v>
      </c>
      <c r="E949" s="1" t="n">
        <v>46313</v>
      </c>
      <c r="F949" t="inlineStr">
        <is>
          <t>GÄVLEBORGS LÄN</t>
        </is>
      </c>
      <c r="G949" t="inlineStr">
        <is>
          <t>BOLLNÄS</t>
        </is>
      </c>
      <c r="I949" t="n">
        <v>6.3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5047-2026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46049</v>
      </c>
      <c r="E950" s="1" t="n">
        <v>46313</v>
      </c>
      <c r="F950" t="inlineStr">
        <is>
          <t>GÄVLEBORGS LÄN</t>
        </is>
      </c>
      <c r="G950" t="inlineStr">
        <is>
          <t>BOLLNÄS</t>
        </is>
      </c>
      <c r="I950" t="n">
        <v>0.8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26069-2026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46181</v>
      </c>
      <c r="E951" s="1" t="n">
        <v>46313</v>
      </c>
      <c r="F951" t="inlineStr">
        <is>
          <t>GÄVLEBORGS LÄN</t>
        </is>
      </c>
      <c r="G951" t="inlineStr">
        <is>
          <t>BOLLNÄS</t>
        </is>
      </c>
      <c r="I951" t="n">
        <v>1.6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54908-2025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45967</v>
      </c>
      <c r="E952" s="1" t="n">
        <v>46313</v>
      </c>
      <c r="F952" t="inlineStr">
        <is>
          <t>GÄVLEBORGS LÄN</t>
        </is>
      </c>
      <c r="G952" t="inlineStr">
        <is>
          <t>BOLLNÄS</t>
        </is>
      </c>
      <c r="I952" t="n">
        <v>1.4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26041-2026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46181</v>
      </c>
      <c r="E953" s="1" t="n">
        <v>46313</v>
      </c>
      <c r="F953" t="inlineStr">
        <is>
          <t>GÄVLEBORGS LÄN</t>
        </is>
      </c>
      <c r="G953" t="inlineStr">
        <is>
          <t>BOLLNÄS</t>
        </is>
      </c>
      <c r="I953" t="n">
        <v>6.4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4763-2026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46048</v>
      </c>
      <c r="E954" s="1" t="n">
        <v>46313</v>
      </c>
      <c r="F954" t="inlineStr">
        <is>
          <t>GÄVLEBORGS LÄN</t>
        </is>
      </c>
      <c r="G954" t="inlineStr">
        <is>
          <t>BOLLNÄS</t>
        </is>
      </c>
      <c r="I954" t="n">
        <v>1.3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26068-2026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46181</v>
      </c>
      <c r="E955" s="1" t="n">
        <v>46313</v>
      </c>
      <c r="F955" t="inlineStr">
        <is>
          <t>GÄVLEBORGS LÄN</t>
        </is>
      </c>
      <c r="G955" t="inlineStr">
        <is>
          <t>BOLLNÄS</t>
        </is>
      </c>
      <c r="I955" t="n">
        <v>2.8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4693-2026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46048</v>
      </c>
      <c r="E956" s="1" t="n">
        <v>46313</v>
      </c>
      <c r="F956" t="inlineStr">
        <is>
          <t>GÄVLEBORGS LÄN</t>
        </is>
      </c>
      <c r="G956" t="inlineStr">
        <is>
          <t>BOLLNÄS</t>
        </is>
      </c>
      <c r="H956" t="inlineStr">
        <is>
          <t>Bergvik skog väst AB</t>
        </is>
      </c>
      <c r="I956" t="n">
        <v>0.4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5056-2026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46049</v>
      </c>
      <c r="E957" s="1" t="n">
        <v>46313</v>
      </c>
      <c r="F957" t="inlineStr">
        <is>
          <t>GÄVLEBORGS LÄN</t>
        </is>
      </c>
      <c r="G957" t="inlineStr">
        <is>
          <t>BOLLNÄS</t>
        </is>
      </c>
      <c r="I957" t="n">
        <v>0.9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5161-2026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46049</v>
      </c>
      <c r="E958" s="1" t="n">
        <v>46313</v>
      </c>
      <c r="F958" t="inlineStr">
        <is>
          <t>GÄVLEBORGS LÄN</t>
        </is>
      </c>
      <c r="G958" t="inlineStr">
        <is>
          <t>BOLLNÄS</t>
        </is>
      </c>
      <c r="I958" t="n">
        <v>0.8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4851-2026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46048</v>
      </c>
      <c r="E959" s="1" t="n">
        <v>46313</v>
      </c>
      <c r="F959" t="inlineStr">
        <is>
          <t>GÄVLEBORGS LÄN</t>
        </is>
      </c>
      <c r="G959" t="inlineStr">
        <is>
          <t>BOLLNÄS</t>
        </is>
      </c>
      <c r="H959" t="inlineStr">
        <is>
          <t>Kyrkan</t>
        </is>
      </c>
      <c r="I959" t="n">
        <v>1.4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26231-2026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46182</v>
      </c>
      <c r="E960" s="1" t="n">
        <v>46313</v>
      </c>
      <c r="F960" t="inlineStr">
        <is>
          <t>GÄVLEBORGS LÄN</t>
        </is>
      </c>
      <c r="G960" t="inlineStr">
        <is>
          <t>BOLLNÄS</t>
        </is>
      </c>
      <c r="I960" t="n">
        <v>1.1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4954-2026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46049</v>
      </c>
      <c r="E961" s="1" t="n">
        <v>46313</v>
      </c>
      <c r="F961" t="inlineStr">
        <is>
          <t>GÄVLEBORGS LÄN</t>
        </is>
      </c>
      <c r="G961" t="inlineStr">
        <is>
          <t>BOLLNÄS</t>
        </is>
      </c>
      <c r="I961" t="n">
        <v>5.8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5154-2026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46049</v>
      </c>
      <c r="E962" s="1" t="n">
        <v>46313</v>
      </c>
      <c r="F962" t="inlineStr">
        <is>
          <t>GÄVLEBORGS LÄN</t>
        </is>
      </c>
      <c r="G962" t="inlineStr">
        <is>
          <t>BOLLNÄS</t>
        </is>
      </c>
      <c r="I962" t="n">
        <v>1.6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4931-2026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46048</v>
      </c>
      <c r="E963" s="1" t="n">
        <v>46313</v>
      </c>
      <c r="F963" t="inlineStr">
        <is>
          <t>GÄVLEBORGS LÄN</t>
        </is>
      </c>
      <c r="G963" t="inlineStr">
        <is>
          <t>BOLLNÄS</t>
        </is>
      </c>
      <c r="I963" t="n">
        <v>2.6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4944-2026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46049</v>
      </c>
      <c r="E964" s="1" t="n">
        <v>46313</v>
      </c>
      <c r="F964" t="inlineStr">
        <is>
          <t>GÄVLEBORGS LÄN</t>
        </is>
      </c>
      <c r="G964" t="inlineStr">
        <is>
          <t>BOLLNÄS</t>
        </is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833-2026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46030</v>
      </c>
      <c r="E965" s="1" t="n">
        <v>46313</v>
      </c>
      <c r="F965" t="inlineStr">
        <is>
          <t>GÄVLEBORGS LÄN</t>
        </is>
      </c>
      <c r="G965" t="inlineStr">
        <is>
          <t>BOLLNÄS</t>
        </is>
      </c>
      <c r="I965" t="n">
        <v>10.8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4948-2026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46049</v>
      </c>
      <c r="E966" s="1" t="n">
        <v>46313</v>
      </c>
      <c r="F966" t="inlineStr">
        <is>
          <t>GÄVLEBORGS LÄN</t>
        </is>
      </c>
      <c r="G966" t="inlineStr">
        <is>
          <t>BOLLNÄS</t>
        </is>
      </c>
      <c r="I966" t="n">
        <v>1.2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5660-2026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46051</v>
      </c>
      <c r="E967" s="1" t="n">
        <v>46313</v>
      </c>
      <c r="F967" t="inlineStr">
        <is>
          <t>GÄVLEBORGS LÄN</t>
        </is>
      </c>
      <c r="G967" t="inlineStr">
        <is>
          <t>BOLLNÄS</t>
        </is>
      </c>
      <c r="I967" t="n">
        <v>2.6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5373-2026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46050</v>
      </c>
      <c r="E968" s="1" t="n">
        <v>46313</v>
      </c>
      <c r="F968" t="inlineStr">
        <is>
          <t>GÄVLEBORGS LÄN</t>
        </is>
      </c>
      <c r="G968" t="inlineStr">
        <is>
          <t>BOLLNÄS</t>
        </is>
      </c>
      <c r="H968" t="inlineStr">
        <is>
          <t>Bergvik skog väst AB</t>
        </is>
      </c>
      <c r="I968" t="n">
        <v>0.5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5777-2026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46051</v>
      </c>
      <c r="E969" s="1" t="n">
        <v>46313</v>
      </c>
      <c r="F969" t="inlineStr">
        <is>
          <t>GÄVLEBORGS LÄN</t>
        </is>
      </c>
      <c r="G969" t="inlineStr">
        <is>
          <t>BOLLNÄS</t>
        </is>
      </c>
      <c r="I969" t="n">
        <v>12.3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5796-2026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46051</v>
      </c>
      <c r="E970" s="1" t="n">
        <v>46313</v>
      </c>
      <c r="F970" t="inlineStr">
        <is>
          <t>GÄVLEBORGS LÄN</t>
        </is>
      </c>
      <c r="G970" t="inlineStr">
        <is>
          <t>BOLLNÄS</t>
        </is>
      </c>
      <c r="I970" t="n">
        <v>2.1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26039-2026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46181</v>
      </c>
      <c r="E971" s="1" t="n">
        <v>46313</v>
      </c>
      <c r="F971" t="inlineStr">
        <is>
          <t>GÄVLEBORGS LÄN</t>
        </is>
      </c>
      <c r="G971" t="inlineStr">
        <is>
          <t>BOLLNÄS</t>
        </is>
      </c>
      <c r="I971" t="n">
        <v>2.2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5571-2026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46050</v>
      </c>
      <c r="E972" s="1" t="n">
        <v>46313</v>
      </c>
      <c r="F972" t="inlineStr">
        <is>
          <t>GÄVLEBORGS LÄN</t>
        </is>
      </c>
      <c r="G972" t="inlineStr">
        <is>
          <t>BOLLNÄS</t>
        </is>
      </c>
      <c r="I972" t="n">
        <v>5.4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5678-2026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46051</v>
      </c>
      <c r="E973" s="1" t="n">
        <v>46313</v>
      </c>
      <c r="F973" t="inlineStr">
        <is>
          <t>GÄVLEBORGS LÄN</t>
        </is>
      </c>
      <c r="G973" t="inlineStr">
        <is>
          <t>BOLLNÄS</t>
        </is>
      </c>
      <c r="I973" t="n">
        <v>0.7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5255-2026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46050</v>
      </c>
      <c r="E974" s="1" t="n">
        <v>46313</v>
      </c>
      <c r="F974" t="inlineStr">
        <is>
          <t>GÄVLEBORGS LÄN</t>
        </is>
      </c>
      <c r="G974" t="inlineStr">
        <is>
          <t>BOLLNÄS</t>
        </is>
      </c>
      <c r="I974" t="n">
        <v>0.4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5449-2026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46050</v>
      </c>
      <c r="E975" s="1" t="n">
        <v>46313</v>
      </c>
      <c r="F975" t="inlineStr">
        <is>
          <t>GÄVLEBORGS LÄN</t>
        </is>
      </c>
      <c r="G975" t="inlineStr">
        <is>
          <t>BOLLNÄS</t>
        </is>
      </c>
      <c r="H975" t="inlineStr">
        <is>
          <t>Bergvik skog väst AB</t>
        </is>
      </c>
      <c r="I975" t="n">
        <v>0.4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5356-2026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46050</v>
      </c>
      <c r="E976" s="1" t="n">
        <v>46313</v>
      </c>
      <c r="F976" t="inlineStr">
        <is>
          <t>GÄVLEBORGS LÄN</t>
        </is>
      </c>
      <c r="G976" t="inlineStr">
        <is>
          <t>BOLLNÄS</t>
        </is>
      </c>
      <c r="H976" t="inlineStr">
        <is>
          <t>Bergvik skog väst AB</t>
        </is>
      </c>
      <c r="I976" t="n">
        <v>0.4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5651-2026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46051</v>
      </c>
      <c r="E977" s="1" t="n">
        <v>46313</v>
      </c>
      <c r="F977" t="inlineStr">
        <is>
          <t>GÄVLEBORGS LÄN</t>
        </is>
      </c>
      <c r="G977" t="inlineStr">
        <is>
          <t>BOLLNÄS</t>
        </is>
      </c>
      <c r="I977" t="n">
        <v>2.4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5581-2026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46051</v>
      </c>
      <c r="E978" s="1" t="n">
        <v>46313</v>
      </c>
      <c r="F978" t="inlineStr">
        <is>
          <t>GÄVLEBORGS LÄN</t>
        </is>
      </c>
      <c r="G978" t="inlineStr">
        <is>
          <t>BOLLNÄS</t>
        </is>
      </c>
      <c r="I978" t="n">
        <v>3.8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5346-2026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46050</v>
      </c>
      <c r="E979" s="1" t="n">
        <v>46313</v>
      </c>
      <c r="F979" t="inlineStr">
        <is>
          <t>GÄVLEBORGS LÄN</t>
        </is>
      </c>
      <c r="G979" t="inlineStr">
        <is>
          <t>BOLLNÄS</t>
        </is>
      </c>
      <c r="I979" t="n">
        <v>2.8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5262-2026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46050</v>
      </c>
      <c r="E980" s="1" t="n">
        <v>46313</v>
      </c>
      <c r="F980" t="inlineStr">
        <is>
          <t>GÄVLEBORGS LÄN</t>
        </is>
      </c>
      <c r="G980" t="inlineStr">
        <is>
          <t>BOLLNÄS</t>
        </is>
      </c>
      <c r="I980" t="n">
        <v>1.3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5396-2026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46050</v>
      </c>
      <c r="E981" s="1" t="n">
        <v>46313</v>
      </c>
      <c r="F981" t="inlineStr">
        <is>
          <t>GÄVLEBORGS LÄN</t>
        </is>
      </c>
      <c r="G981" t="inlineStr">
        <is>
          <t>BOLLNÄS</t>
        </is>
      </c>
      <c r="H981" t="inlineStr">
        <is>
          <t>Bergvik skog väst AB</t>
        </is>
      </c>
      <c r="I981" t="n">
        <v>0.4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5674-2026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46051</v>
      </c>
      <c r="E982" s="1" t="n">
        <v>46313</v>
      </c>
      <c r="F982" t="inlineStr">
        <is>
          <t>GÄVLEBORGS LÄN</t>
        </is>
      </c>
      <c r="G982" t="inlineStr">
        <is>
          <t>BOLLNÄS</t>
        </is>
      </c>
      <c r="I982" t="n">
        <v>0.4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5676-2026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46051</v>
      </c>
      <c r="E983" s="1" t="n">
        <v>46313</v>
      </c>
      <c r="F983" t="inlineStr">
        <is>
          <t>GÄVLEBORGS LÄN</t>
        </is>
      </c>
      <c r="G983" t="inlineStr">
        <is>
          <t>BOLLNÄS</t>
        </is>
      </c>
      <c r="I983" t="n">
        <v>0.5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6376-2026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46055</v>
      </c>
      <c r="E984" s="1" t="n">
        <v>46313</v>
      </c>
      <c r="F984" t="inlineStr">
        <is>
          <t>GÄVLEBORGS LÄN</t>
        </is>
      </c>
      <c r="G984" t="inlineStr">
        <is>
          <t>BOLLNÄS</t>
        </is>
      </c>
      <c r="H984" t="inlineStr">
        <is>
          <t>Bergvik skog väst AB</t>
        </is>
      </c>
      <c r="I984" t="n">
        <v>8.699999999999999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3163-2026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46041</v>
      </c>
      <c r="E985" s="1" t="n">
        <v>46313</v>
      </c>
      <c r="F985" t="inlineStr">
        <is>
          <t>GÄVLEBORGS LÄN</t>
        </is>
      </c>
      <c r="G985" t="inlineStr">
        <is>
          <t>BOLLNÄS</t>
        </is>
      </c>
      <c r="I985" t="n">
        <v>6.7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6153-2026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46055</v>
      </c>
      <c r="E986" s="1" t="n">
        <v>46313</v>
      </c>
      <c r="F986" t="inlineStr">
        <is>
          <t>GÄVLEBORGS LÄN</t>
        </is>
      </c>
      <c r="G986" t="inlineStr">
        <is>
          <t>BOLLNÄS</t>
        </is>
      </c>
      <c r="I986" t="n">
        <v>2.3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5824-2026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46052</v>
      </c>
      <c r="E987" s="1" t="n">
        <v>46313</v>
      </c>
      <c r="F987" t="inlineStr">
        <is>
          <t>GÄVLEBORGS LÄN</t>
        </is>
      </c>
      <c r="G987" t="inlineStr">
        <is>
          <t>BOLLNÄS</t>
        </is>
      </c>
      <c r="I987" t="n">
        <v>2.3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6172-2026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46055</v>
      </c>
      <c r="E988" s="1" t="n">
        <v>46313</v>
      </c>
      <c r="F988" t="inlineStr">
        <is>
          <t>GÄVLEBORGS LÄN</t>
        </is>
      </c>
      <c r="G988" t="inlineStr">
        <is>
          <t>BOLLNÄS</t>
        </is>
      </c>
      <c r="I988" t="n">
        <v>6.7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6026-2026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46052</v>
      </c>
      <c r="E989" s="1" t="n">
        <v>46313</v>
      </c>
      <c r="F989" t="inlineStr">
        <is>
          <t>GÄVLEBORGS LÄN</t>
        </is>
      </c>
      <c r="G989" t="inlineStr">
        <is>
          <t>BOLLNÄS</t>
        </is>
      </c>
      <c r="I989" t="n">
        <v>0.8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5968-2026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46052</v>
      </c>
      <c r="E990" s="1" t="n">
        <v>46313</v>
      </c>
      <c r="F990" t="inlineStr">
        <is>
          <t>GÄVLEBORGS LÄN</t>
        </is>
      </c>
      <c r="G990" t="inlineStr">
        <is>
          <t>BOLLNÄS</t>
        </is>
      </c>
      <c r="I990" t="n">
        <v>2.8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5864-2026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46052</v>
      </c>
      <c r="E991" s="1" t="n">
        <v>46313</v>
      </c>
      <c r="F991" t="inlineStr">
        <is>
          <t>GÄVLEBORGS LÄN</t>
        </is>
      </c>
      <c r="G991" t="inlineStr">
        <is>
          <t>BOLLNÄS</t>
        </is>
      </c>
      <c r="I991" t="n">
        <v>1.7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26192-2026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46182</v>
      </c>
      <c r="E992" s="1" t="n">
        <v>46313</v>
      </c>
      <c r="F992" t="inlineStr">
        <is>
          <t>GÄVLEBORGS LÄN</t>
        </is>
      </c>
      <c r="G992" t="inlineStr">
        <is>
          <t>BOLLNÄS</t>
        </is>
      </c>
      <c r="I992" t="n">
        <v>0.6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6008-2026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46052</v>
      </c>
      <c r="E993" s="1" t="n">
        <v>46313</v>
      </c>
      <c r="F993" t="inlineStr">
        <is>
          <t>GÄVLEBORGS LÄN</t>
        </is>
      </c>
      <c r="G993" t="inlineStr">
        <is>
          <t>BOLLNÄS</t>
        </is>
      </c>
      <c r="I993" t="n">
        <v>1.2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6017-2026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46052</v>
      </c>
      <c r="E994" s="1" t="n">
        <v>46313</v>
      </c>
      <c r="F994" t="inlineStr">
        <is>
          <t>GÄVLEBORGS LÄN</t>
        </is>
      </c>
      <c r="G994" t="inlineStr">
        <is>
          <t>BOLLNÄS</t>
        </is>
      </c>
      <c r="I994" t="n">
        <v>28.2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26065-2026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46181</v>
      </c>
      <c r="E995" s="1" t="n">
        <v>46313</v>
      </c>
      <c r="F995" t="inlineStr">
        <is>
          <t>GÄVLEBORGS LÄN</t>
        </is>
      </c>
      <c r="G995" t="inlineStr">
        <is>
          <t>BOLLNÄS</t>
        </is>
      </c>
      <c r="I995" t="n">
        <v>1.1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6005-2026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46052</v>
      </c>
      <c r="E996" s="1" t="n">
        <v>46313</v>
      </c>
      <c r="F996" t="inlineStr">
        <is>
          <t>GÄVLEBORGS LÄN</t>
        </is>
      </c>
      <c r="G996" t="inlineStr">
        <is>
          <t>BOLLNÄS</t>
        </is>
      </c>
      <c r="I996" t="n">
        <v>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6059-2026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46052</v>
      </c>
      <c r="E997" s="1" t="n">
        <v>46313</v>
      </c>
      <c r="F997" t="inlineStr">
        <is>
          <t>GÄVLEBORGS LÄN</t>
        </is>
      </c>
      <c r="G997" t="inlineStr">
        <is>
          <t>BOLLNÄS</t>
        </is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30224-2023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45110</v>
      </c>
      <c r="E998" s="1" t="n">
        <v>46313</v>
      </c>
      <c r="F998" t="inlineStr">
        <is>
          <t>GÄVLEBORGS LÄN</t>
        </is>
      </c>
      <c r="G998" t="inlineStr">
        <is>
          <t>BOLLNÄS</t>
        </is>
      </c>
      <c r="I998" t="n">
        <v>5.2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6292-2026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46055</v>
      </c>
      <c r="E999" s="1" t="n">
        <v>46313</v>
      </c>
      <c r="F999" t="inlineStr">
        <is>
          <t>GÄVLEBORGS LÄN</t>
        </is>
      </c>
      <c r="G999" t="inlineStr">
        <is>
          <t>BOLLNÄS</t>
        </is>
      </c>
      <c r="I999" t="n">
        <v>0.7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26066-2026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46181</v>
      </c>
      <c r="E1000" s="1" t="n">
        <v>46313</v>
      </c>
      <c r="F1000" t="inlineStr">
        <is>
          <t>GÄVLEBORGS LÄN</t>
        </is>
      </c>
      <c r="G1000" t="inlineStr">
        <is>
          <t>BOLLNÄS</t>
        </is>
      </c>
      <c r="I1000" t="n">
        <v>1.6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6317-2026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46055</v>
      </c>
      <c r="E1001" s="1" t="n">
        <v>46313</v>
      </c>
      <c r="F1001" t="inlineStr">
        <is>
          <t>GÄVLEBORGS LÄN</t>
        </is>
      </c>
      <c r="G1001" t="inlineStr">
        <is>
          <t>BOLLNÄS</t>
        </is>
      </c>
      <c r="I1001" t="n">
        <v>16.2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6323-2026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46055</v>
      </c>
      <c r="E1002" s="1" t="n">
        <v>46313</v>
      </c>
      <c r="F1002" t="inlineStr">
        <is>
          <t>GÄVLEBORGS LÄN</t>
        </is>
      </c>
      <c r="G1002" t="inlineStr">
        <is>
          <t>BOLLNÄS</t>
        </is>
      </c>
      <c r="I1002" t="n">
        <v>2.2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6296-2026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46055</v>
      </c>
      <c r="E1003" s="1" t="n">
        <v>46313</v>
      </c>
      <c r="F1003" t="inlineStr">
        <is>
          <t>GÄVLEBORGS LÄN</t>
        </is>
      </c>
      <c r="G1003" t="inlineStr">
        <is>
          <t>BOLLNÄS</t>
        </is>
      </c>
      <c r="I1003" t="n">
        <v>0.8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6326-2026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46055</v>
      </c>
      <c r="E1004" s="1" t="n">
        <v>46313</v>
      </c>
      <c r="F1004" t="inlineStr">
        <is>
          <t>GÄVLEBORGS LÄN</t>
        </is>
      </c>
      <c r="G1004" t="inlineStr">
        <is>
          <t>BOLLNÄS</t>
        </is>
      </c>
      <c r="I1004" t="n">
        <v>4.3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6012-2026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46052</v>
      </c>
      <c r="E1005" s="1" t="n">
        <v>46313</v>
      </c>
      <c r="F1005" t="inlineStr">
        <is>
          <t>GÄVLEBORGS LÄN</t>
        </is>
      </c>
      <c r="G1005" t="inlineStr">
        <is>
          <t>BOLLNÄS</t>
        </is>
      </c>
      <c r="I1005" t="n">
        <v>10.2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6020-2026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46052</v>
      </c>
      <c r="E1006" s="1" t="n">
        <v>46313</v>
      </c>
      <c r="F1006" t="inlineStr">
        <is>
          <t>GÄVLEBORGS LÄN</t>
        </is>
      </c>
      <c r="G1006" t="inlineStr">
        <is>
          <t>BOLLNÄS</t>
        </is>
      </c>
      <c r="I1006" t="n">
        <v>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26247-2026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46182</v>
      </c>
      <c r="E1007" s="1" t="n">
        <v>46313</v>
      </c>
      <c r="F1007" t="inlineStr">
        <is>
          <t>GÄVLEBORGS LÄN</t>
        </is>
      </c>
      <c r="G1007" t="inlineStr">
        <is>
          <t>BOLLNÄS</t>
        </is>
      </c>
      <c r="I1007" t="n">
        <v>1.8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6387-2026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46055</v>
      </c>
      <c r="E1008" s="1" t="n">
        <v>46313</v>
      </c>
      <c r="F1008" t="inlineStr">
        <is>
          <t>GÄVLEBORGS LÄN</t>
        </is>
      </c>
      <c r="G1008" t="inlineStr">
        <is>
          <t>BOLLNÄS</t>
        </is>
      </c>
      <c r="I1008" t="n">
        <v>1.8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6371-2026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46055</v>
      </c>
      <c r="E1009" s="1" t="n">
        <v>46313</v>
      </c>
      <c r="F1009" t="inlineStr">
        <is>
          <t>GÄVLEBORGS LÄN</t>
        </is>
      </c>
      <c r="G1009" t="inlineStr">
        <is>
          <t>BOLLNÄS</t>
        </is>
      </c>
      <c r="H1009" t="inlineStr">
        <is>
          <t>Bergvik skog väst AB</t>
        </is>
      </c>
      <c r="I1009" t="n">
        <v>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6063-2026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46052</v>
      </c>
      <c r="E1010" s="1" t="n">
        <v>46313</v>
      </c>
      <c r="F1010" t="inlineStr">
        <is>
          <t>GÄVLEBORGS LÄN</t>
        </is>
      </c>
      <c r="G1010" t="inlineStr">
        <is>
          <t>BOLLNÄS</t>
        </is>
      </c>
      <c r="I1010" t="n">
        <v>1.4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43131-2024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45567</v>
      </c>
      <c r="E1011" s="1" t="n">
        <v>46313</v>
      </c>
      <c r="F1011" t="inlineStr">
        <is>
          <t>GÄVLEBORGS LÄN</t>
        </is>
      </c>
      <c r="G1011" t="inlineStr">
        <is>
          <t>BOLLNÄS</t>
        </is>
      </c>
      <c r="I1011" t="n">
        <v>0.5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6666-2026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46056</v>
      </c>
      <c r="E1012" s="1" t="n">
        <v>46313</v>
      </c>
      <c r="F1012" t="inlineStr">
        <is>
          <t>GÄVLEBORGS LÄN</t>
        </is>
      </c>
      <c r="G1012" t="inlineStr">
        <is>
          <t>BOLLNÄS</t>
        </is>
      </c>
      <c r="I1012" t="n">
        <v>0.5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6769-2026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46057</v>
      </c>
      <c r="E1013" s="1" t="n">
        <v>46313</v>
      </c>
      <c r="F1013" t="inlineStr">
        <is>
          <t>GÄVLEBORGS LÄN</t>
        </is>
      </c>
      <c r="G1013" t="inlineStr">
        <is>
          <t>BOLLNÄS</t>
        </is>
      </c>
      <c r="I1013" t="n">
        <v>1.6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6501-2026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46056</v>
      </c>
      <c r="E1014" s="1" t="n">
        <v>46313</v>
      </c>
      <c r="F1014" t="inlineStr">
        <is>
          <t>GÄVLEBORGS LÄN</t>
        </is>
      </c>
      <c r="G1014" t="inlineStr">
        <is>
          <t>BOLLNÄS</t>
        </is>
      </c>
      <c r="I1014" t="n">
        <v>3.7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26194-2026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46182</v>
      </c>
      <c r="E1015" s="1" t="n">
        <v>46313</v>
      </c>
      <c r="F1015" t="inlineStr">
        <is>
          <t>GÄVLEBORGS LÄN</t>
        </is>
      </c>
      <c r="G1015" t="inlineStr">
        <is>
          <t>BOLLNÄS</t>
        </is>
      </c>
      <c r="I1015" t="n">
        <v>5.5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26214-2026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46182</v>
      </c>
      <c r="E1016" s="1" t="n">
        <v>46313</v>
      </c>
      <c r="F1016" t="inlineStr">
        <is>
          <t>GÄVLEBORGS LÄN</t>
        </is>
      </c>
      <c r="G1016" t="inlineStr">
        <is>
          <t>BOLLNÄS</t>
        </is>
      </c>
      <c r="I1016" t="n">
        <v>2.7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6537-2026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46056</v>
      </c>
      <c r="E1017" s="1" t="n">
        <v>46313</v>
      </c>
      <c r="F1017" t="inlineStr">
        <is>
          <t>GÄVLEBORGS LÄN</t>
        </is>
      </c>
      <c r="G1017" t="inlineStr">
        <is>
          <t>BOLLNÄS</t>
        </is>
      </c>
      <c r="I1017" t="n">
        <v>5.4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6554-2026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46056</v>
      </c>
      <c r="E1018" s="1" t="n">
        <v>46313</v>
      </c>
      <c r="F1018" t="inlineStr">
        <is>
          <t>GÄVLEBORGS LÄN</t>
        </is>
      </c>
      <c r="G1018" t="inlineStr">
        <is>
          <t>BOLLNÄS</t>
        </is>
      </c>
      <c r="I1018" t="n">
        <v>3.7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6773-2026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46057</v>
      </c>
      <c r="E1019" s="1" t="n">
        <v>46313</v>
      </c>
      <c r="F1019" t="inlineStr">
        <is>
          <t>GÄVLEBORGS LÄN</t>
        </is>
      </c>
      <c r="G1019" t="inlineStr">
        <is>
          <t>BOLLNÄS</t>
        </is>
      </c>
      <c r="I1019" t="n">
        <v>5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6784-2026</t>
        </is>
      </c>
      <c r="B1020" t="inlineStr">
        <is>
          <t>avverkningsanmälan</t>
        </is>
      </c>
      <c r="C1020" t="inlineStr">
        <is>
          <t>Föryngringsavverkning</t>
        </is>
      </c>
      <c r="D1020" s="1" t="n">
        <v>46057</v>
      </c>
      <c r="E1020" s="1" t="n">
        <v>46313</v>
      </c>
      <c r="F1020" t="inlineStr">
        <is>
          <t>GÄVLEBORGS LÄN</t>
        </is>
      </c>
      <c r="G1020" t="inlineStr">
        <is>
          <t>BOLLNÄS</t>
        </is>
      </c>
      <c r="I1020" t="n">
        <v>21.8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6546-2026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46056</v>
      </c>
      <c r="E1021" s="1" t="n">
        <v>46313</v>
      </c>
      <c r="F1021" t="inlineStr">
        <is>
          <t>GÄVLEBORGS LÄN</t>
        </is>
      </c>
      <c r="G1021" t="inlineStr">
        <is>
          <t>BOLLNÄS</t>
        </is>
      </c>
      <c r="I1021" t="n">
        <v>1.3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6643-2026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46056</v>
      </c>
      <c r="E1022" s="1" t="n">
        <v>46313</v>
      </c>
      <c r="F1022" t="inlineStr">
        <is>
          <t>GÄVLEBORGS LÄN</t>
        </is>
      </c>
      <c r="G1022" t="inlineStr">
        <is>
          <t>BOLLNÄS</t>
        </is>
      </c>
      <c r="I1022" t="n">
        <v>18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6920-2026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46057</v>
      </c>
      <c r="E1023" s="1" t="n">
        <v>46313</v>
      </c>
      <c r="F1023" t="inlineStr">
        <is>
          <t>GÄVLEBORGS LÄN</t>
        </is>
      </c>
      <c r="G1023" t="inlineStr">
        <is>
          <t>BOLLNÄS</t>
        </is>
      </c>
      <c r="I1023" t="n">
        <v>1.1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6436-2026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46055</v>
      </c>
      <c r="E1024" s="1" t="n">
        <v>46313</v>
      </c>
      <c r="F1024" t="inlineStr">
        <is>
          <t>GÄVLEBORGS LÄN</t>
        </is>
      </c>
      <c r="G1024" t="inlineStr">
        <is>
          <t>BOLLNÄS</t>
        </is>
      </c>
      <c r="I1024" t="n">
        <v>0.5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6438-2026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46055</v>
      </c>
      <c r="E1025" s="1" t="n">
        <v>46313</v>
      </c>
      <c r="F1025" t="inlineStr">
        <is>
          <t>GÄVLEBORGS LÄN</t>
        </is>
      </c>
      <c r="G1025" t="inlineStr">
        <is>
          <t>BOLLNÄS</t>
        </is>
      </c>
      <c r="H1025" t="inlineStr">
        <is>
          <t>Kyrkan</t>
        </is>
      </c>
      <c r="I1025" t="n">
        <v>0.8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6917-2026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46057</v>
      </c>
      <c r="E1026" s="1" t="n">
        <v>46313</v>
      </c>
      <c r="F1026" t="inlineStr">
        <is>
          <t>GÄVLEBORGS LÄN</t>
        </is>
      </c>
      <c r="G1026" t="inlineStr">
        <is>
          <t>BOLLNÄS</t>
        </is>
      </c>
      <c r="I1026" t="n">
        <v>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6571-2026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46056</v>
      </c>
      <c r="E1027" s="1" t="n">
        <v>46313</v>
      </c>
      <c r="F1027" t="inlineStr">
        <is>
          <t>GÄVLEBORGS LÄN</t>
        </is>
      </c>
      <c r="G1027" t="inlineStr">
        <is>
          <t>BOLLNÄS</t>
        </is>
      </c>
      <c r="I1027" t="n">
        <v>0.8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6441-2026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46055</v>
      </c>
      <c r="E1028" s="1" t="n">
        <v>46313</v>
      </c>
      <c r="F1028" t="inlineStr">
        <is>
          <t>GÄVLEBORGS LÄN</t>
        </is>
      </c>
      <c r="G1028" t="inlineStr">
        <is>
          <t>BOLLNÄS</t>
        </is>
      </c>
      <c r="I1028" t="n">
        <v>3.9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6461-2026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46056</v>
      </c>
      <c r="E1029" s="1" t="n">
        <v>46313</v>
      </c>
      <c r="F1029" t="inlineStr">
        <is>
          <t>GÄVLEBORGS LÄN</t>
        </is>
      </c>
      <c r="G1029" t="inlineStr">
        <is>
          <t>BOLLNÄS</t>
        </is>
      </c>
      <c r="H1029" t="inlineStr">
        <is>
          <t>Kyrkan</t>
        </is>
      </c>
      <c r="I1029" t="n">
        <v>5.9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6528-2026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46056</v>
      </c>
      <c r="E1030" s="1" t="n">
        <v>46313</v>
      </c>
      <c r="F1030" t="inlineStr">
        <is>
          <t>GÄVLEBORGS LÄN</t>
        </is>
      </c>
      <c r="G1030" t="inlineStr">
        <is>
          <t>BOLLNÄS</t>
        </is>
      </c>
      <c r="I1030" t="n">
        <v>0.6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6853-2026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46057</v>
      </c>
      <c r="E1031" s="1" t="n">
        <v>46313</v>
      </c>
      <c r="F1031" t="inlineStr">
        <is>
          <t>GÄVLEBORGS LÄN</t>
        </is>
      </c>
      <c r="G1031" t="inlineStr">
        <is>
          <t>BOLLNÄS</t>
        </is>
      </c>
      <c r="H1031" t="inlineStr">
        <is>
          <t>Bergvik skog väst AB</t>
        </is>
      </c>
      <c r="I1031" t="n">
        <v>1.7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6492-2026</t>
        </is>
      </c>
      <c r="B1032" t="inlineStr">
        <is>
          <t>avverkningsanmälan</t>
        </is>
      </c>
      <c r="C1032" t="inlineStr">
        <is>
          <t>Föryngringsavverkning</t>
        </is>
      </c>
      <c r="D1032" s="1" t="n">
        <v>46056</v>
      </c>
      <c r="E1032" s="1" t="n">
        <v>46313</v>
      </c>
      <c r="F1032" t="inlineStr">
        <is>
          <t>GÄVLEBORGS LÄN</t>
        </is>
      </c>
      <c r="G1032" t="inlineStr">
        <is>
          <t>BOLLNÄS</t>
        </is>
      </c>
      <c r="I1032" t="n">
        <v>3.7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26558-2026</t>
        </is>
      </c>
      <c r="B1033" t="inlineStr">
        <is>
          <t>avverkningsanmälan</t>
        </is>
      </c>
      <c r="C1033" t="inlineStr">
        <is>
          <t>Föryngringsavverkning</t>
        </is>
      </c>
      <c r="D1033" s="1" t="n">
        <v>46183</v>
      </c>
      <c r="E1033" s="1" t="n">
        <v>46313</v>
      </c>
      <c r="F1033" t="inlineStr">
        <is>
          <t>GÄVLEBORGS LÄN</t>
        </is>
      </c>
      <c r="G1033" t="inlineStr">
        <is>
          <t>BOLLNÄS</t>
        </is>
      </c>
      <c r="I1033" t="n">
        <v>0.8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6760-2026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46056</v>
      </c>
      <c r="E1034" s="1" t="n">
        <v>46313</v>
      </c>
      <c r="F1034" t="inlineStr">
        <is>
          <t>GÄVLEBORGS LÄN</t>
        </is>
      </c>
      <c r="G1034" t="inlineStr">
        <is>
          <t>BOLLNÄS</t>
        </is>
      </c>
      <c r="I1034" t="n">
        <v>9.4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6433-2026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46055</v>
      </c>
      <c r="E1035" s="1" t="n">
        <v>46313</v>
      </c>
      <c r="F1035" t="inlineStr">
        <is>
          <t>GÄVLEBORGS LÄN</t>
        </is>
      </c>
      <c r="G1035" t="inlineStr">
        <is>
          <t>BOLLNÄS</t>
        </is>
      </c>
      <c r="I1035" t="n">
        <v>0.7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6482-2026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46056</v>
      </c>
      <c r="E1036" s="1" t="n">
        <v>46313</v>
      </c>
      <c r="F1036" t="inlineStr">
        <is>
          <t>GÄVLEBORGS LÄN</t>
        </is>
      </c>
      <c r="G1036" t="inlineStr">
        <is>
          <t>BOLLNÄS</t>
        </is>
      </c>
      <c r="I1036" t="n">
        <v>1.6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A 6759-2026</t>
        </is>
      </c>
      <c r="B1037" t="inlineStr">
        <is>
          <t>avverkningsanmälan</t>
        </is>
      </c>
      <c r="C1037" t="inlineStr">
        <is>
          <t>Föryngringsavverkning</t>
        </is>
      </c>
      <c r="D1037" s="1" t="n">
        <v>46056</v>
      </c>
      <c r="E1037" s="1" t="n">
        <v>46313</v>
      </c>
      <c r="F1037" t="inlineStr">
        <is>
          <t>GÄVLEBORGS LÄN</t>
        </is>
      </c>
      <c r="G1037" t="inlineStr">
        <is>
          <t>BOLLNÄS</t>
        </is>
      </c>
      <c r="I1037" t="n">
        <v>2.9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6770-2026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46057</v>
      </c>
      <c r="E1038" s="1" t="n">
        <v>46313</v>
      </c>
      <c r="F1038" t="inlineStr">
        <is>
          <t>GÄVLEBORGS LÄN</t>
        </is>
      </c>
      <c r="G1038" t="inlineStr">
        <is>
          <t>BOLLNÄS</t>
        </is>
      </c>
      <c r="I1038" t="n">
        <v>1.7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6557-2026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46056</v>
      </c>
      <c r="E1039" s="1" t="n">
        <v>46313</v>
      </c>
      <c r="F1039" t="inlineStr">
        <is>
          <t>GÄVLEBORGS LÄN</t>
        </is>
      </c>
      <c r="G1039" t="inlineStr">
        <is>
          <t>BOLLNÄS</t>
        </is>
      </c>
      <c r="I1039" t="n">
        <v>0.6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26526-2026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46183</v>
      </c>
      <c r="E1040" s="1" t="n">
        <v>46313</v>
      </c>
      <c r="F1040" t="inlineStr">
        <is>
          <t>GÄVLEBORGS LÄN</t>
        </is>
      </c>
      <c r="G1040" t="inlineStr">
        <is>
          <t>BOLLNÄS</t>
        </is>
      </c>
      <c r="I1040" t="n">
        <v>4.6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7095-2026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46058</v>
      </c>
      <c r="E1041" s="1" t="n">
        <v>46313</v>
      </c>
      <c r="F1041" t="inlineStr">
        <is>
          <t>GÄVLEBORGS LÄN</t>
        </is>
      </c>
      <c r="G1041" t="inlineStr">
        <is>
          <t>BOLLNÄS</t>
        </is>
      </c>
      <c r="I1041" t="n">
        <v>2.8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7217-2026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46058</v>
      </c>
      <c r="E1042" s="1" t="n">
        <v>46313</v>
      </c>
      <c r="F1042" t="inlineStr">
        <is>
          <t>GÄVLEBORGS LÄN</t>
        </is>
      </c>
      <c r="G1042" t="inlineStr">
        <is>
          <t>BOLLNÄS</t>
        </is>
      </c>
      <c r="H1042" t="inlineStr">
        <is>
          <t>Bergvik skog väst AB</t>
        </is>
      </c>
      <c r="I1042" t="n">
        <v>1.6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7336-2026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46058</v>
      </c>
      <c r="E1043" s="1" t="n">
        <v>46313</v>
      </c>
      <c r="F1043" t="inlineStr">
        <is>
          <t>GÄVLEBORGS LÄN</t>
        </is>
      </c>
      <c r="G1043" t="inlineStr">
        <is>
          <t>BOLLNÄS</t>
        </is>
      </c>
      <c r="I1043" t="n">
        <v>1.1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7411-2026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46059</v>
      </c>
      <c r="E1044" s="1" t="n">
        <v>46313</v>
      </c>
      <c r="F1044" t="inlineStr">
        <is>
          <t>GÄVLEBORGS LÄN</t>
        </is>
      </c>
      <c r="G1044" t="inlineStr">
        <is>
          <t>BOLLNÄS</t>
        </is>
      </c>
      <c r="I1044" t="n">
        <v>3.8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7203-2026</t>
        </is>
      </c>
      <c r="B1045" t="inlineStr">
        <is>
          <t>avverkningsanmälan</t>
        </is>
      </c>
      <c r="C1045" t="inlineStr">
        <is>
          <t>Föryngringsavverkning</t>
        </is>
      </c>
      <c r="D1045" s="1" t="n">
        <v>46058</v>
      </c>
      <c r="E1045" s="1" t="n">
        <v>46313</v>
      </c>
      <c r="F1045" t="inlineStr">
        <is>
          <t>GÄVLEBORGS LÄN</t>
        </is>
      </c>
      <c r="G1045" t="inlineStr">
        <is>
          <t>BOLLNÄS</t>
        </is>
      </c>
      <c r="I1045" t="n">
        <v>4.3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7261-2026</t>
        </is>
      </c>
      <c r="B1046" t="inlineStr">
        <is>
          <t>avverkningsanmälan</t>
        </is>
      </c>
      <c r="C1046" t="inlineStr">
        <is>
          <t>Föryngringsavverkning</t>
        </is>
      </c>
      <c r="D1046" s="1" t="n">
        <v>46058</v>
      </c>
      <c r="E1046" s="1" t="n">
        <v>46313</v>
      </c>
      <c r="F1046" t="inlineStr">
        <is>
          <t>GÄVLEBORGS LÄN</t>
        </is>
      </c>
      <c r="G1046" t="inlineStr">
        <is>
          <t>BOLLNÄS</t>
        </is>
      </c>
      <c r="H1046" t="inlineStr">
        <is>
          <t>Bergvik skog väst AB</t>
        </is>
      </c>
      <c r="I1046" t="n">
        <v>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7139-2026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46058</v>
      </c>
      <c r="E1047" s="1" t="n">
        <v>46313</v>
      </c>
      <c r="F1047" t="inlineStr">
        <is>
          <t>GÄVLEBORGS LÄN</t>
        </is>
      </c>
      <c r="G1047" t="inlineStr">
        <is>
          <t>BOLLNÄS</t>
        </is>
      </c>
      <c r="I1047" t="n">
        <v>0.6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7094-2026</t>
        </is>
      </c>
      <c r="B1048" t="inlineStr">
        <is>
          <t>avverkningsanmälan</t>
        </is>
      </c>
      <c r="C1048" t="inlineStr">
        <is>
          <t>Föryngringsavverkning</t>
        </is>
      </c>
      <c r="D1048" s="1" t="n">
        <v>46058</v>
      </c>
      <c r="E1048" s="1" t="n">
        <v>46313</v>
      </c>
      <c r="F1048" t="inlineStr">
        <is>
          <t>GÄVLEBORGS LÄN</t>
        </is>
      </c>
      <c r="G1048" t="inlineStr">
        <is>
          <t>BOLLNÄS</t>
        </is>
      </c>
      <c r="I1048" t="n">
        <v>0.7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5808-2026</t>
        </is>
      </c>
      <c r="B1049" t="inlineStr">
        <is>
          <t>avverkningsanmälan</t>
        </is>
      </c>
      <c r="C1049" t="inlineStr">
        <is>
          <t>Föryngringsavverkning</t>
        </is>
      </c>
      <c r="D1049" s="1" t="n">
        <v>46051</v>
      </c>
      <c r="E1049" s="1" t="n">
        <v>46313</v>
      </c>
      <c r="F1049" t="inlineStr">
        <is>
          <t>GÄVLEBORGS LÄN</t>
        </is>
      </c>
      <c r="G1049" t="inlineStr">
        <is>
          <t>BOLLNÄS</t>
        </is>
      </c>
      <c r="H1049" t="inlineStr">
        <is>
          <t>Kommuner</t>
        </is>
      </c>
      <c r="I1049" t="n">
        <v>8.9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26705-2026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46184</v>
      </c>
      <c r="E1050" s="1" t="n">
        <v>46313</v>
      </c>
      <c r="F1050" t="inlineStr">
        <is>
          <t>GÄVLEBORGS LÄN</t>
        </is>
      </c>
      <c r="G1050" t="inlineStr">
        <is>
          <t>BOLLNÄS</t>
        </is>
      </c>
      <c r="H1050" t="inlineStr">
        <is>
          <t>Kyrkan</t>
        </is>
      </c>
      <c r="I1050" t="n">
        <v>1.9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8010-2026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46063</v>
      </c>
      <c r="E1051" s="1" t="n">
        <v>46313</v>
      </c>
      <c r="F1051" t="inlineStr">
        <is>
          <t>GÄVLEBORGS LÄN</t>
        </is>
      </c>
      <c r="G1051" t="inlineStr">
        <is>
          <t>BOLLNÄS</t>
        </is>
      </c>
      <c r="I1051" t="n">
        <v>4.2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26695-2026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46184</v>
      </c>
      <c r="E1052" s="1" t="n">
        <v>46313</v>
      </c>
      <c r="F1052" t="inlineStr">
        <is>
          <t>GÄVLEBORGS LÄN</t>
        </is>
      </c>
      <c r="G1052" t="inlineStr">
        <is>
          <t>BOLLNÄS</t>
        </is>
      </c>
      <c r="H1052" t="inlineStr">
        <is>
          <t>Kyrkan</t>
        </is>
      </c>
      <c r="I1052" t="n">
        <v>8.300000000000001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7660-2026</t>
        </is>
      </c>
      <c r="B1053" t="inlineStr">
        <is>
          <t>avverkningsanmälan</t>
        </is>
      </c>
      <c r="C1053" t="inlineStr">
        <is>
          <t>Föryngringsavverkning</t>
        </is>
      </c>
      <c r="D1053" s="1" t="n">
        <v>46062</v>
      </c>
      <c r="E1053" s="1" t="n">
        <v>46313</v>
      </c>
      <c r="F1053" t="inlineStr">
        <is>
          <t>GÄVLEBORGS LÄN</t>
        </is>
      </c>
      <c r="G1053" t="inlineStr">
        <is>
          <t>BOLLNÄS</t>
        </is>
      </c>
      <c r="I1053" t="n">
        <v>0.7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7642-2026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46062</v>
      </c>
      <c r="E1054" s="1" t="n">
        <v>46313</v>
      </c>
      <c r="F1054" t="inlineStr">
        <is>
          <t>GÄVLEBORGS LÄN</t>
        </is>
      </c>
      <c r="G1054" t="inlineStr">
        <is>
          <t>BOLLNÄS</t>
        </is>
      </c>
      <c r="I1054" t="n">
        <v>3.2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584-2026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46029</v>
      </c>
      <c r="E1055" s="1" t="n">
        <v>46313</v>
      </c>
      <c r="F1055" t="inlineStr">
        <is>
          <t>GÄVLEBORGS LÄN</t>
        </is>
      </c>
      <c r="G1055" t="inlineStr">
        <is>
          <t>BOLLNÄS</t>
        </is>
      </c>
      <c r="I1055" t="n">
        <v>4.7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8012-2026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46063</v>
      </c>
      <c r="E1056" s="1" t="n">
        <v>46313</v>
      </c>
      <c r="F1056" t="inlineStr">
        <is>
          <t>GÄVLEBORGS LÄN</t>
        </is>
      </c>
      <c r="G1056" t="inlineStr">
        <is>
          <t>BOLLNÄS</t>
        </is>
      </c>
      <c r="I1056" t="n">
        <v>2.1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26741-2026</t>
        </is>
      </c>
      <c r="B1057" t="inlineStr">
        <is>
          <t>avverkningsanmälan</t>
        </is>
      </c>
      <c r="C1057" t="inlineStr">
        <is>
          <t>Föryngringsavverkning</t>
        </is>
      </c>
      <c r="D1057" s="1" t="n">
        <v>46184</v>
      </c>
      <c r="E1057" s="1" t="n">
        <v>46313</v>
      </c>
      <c r="F1057" t="inlineStr">
        <is>
          <t>GÄVLEBORGS LÄN</t>
        </is>
      </c>
      <c r="G1057" t="inlineStr">
        <is>
          <t>BOLLNÄS</t>
        </is>
      </c>
      <c r="I1057" t="n">
        <v>1.5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26632-2026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46184</v>
      </c>
      <c r="E1058" s="1" t="n">
        <v>46313</v>
      </c>
      <c r="F1058" t="inlineStr">
        <is>
          <t>GÄVLEBORGS LÄN</t>
        </is>
      </c>
      <c r="G1058" t="inlineStr">
        <is>
          <t>BOLLNÄS</t>
        </is>
      </c>
      <c r="H1058" t="inlineStr">
        <is>
          <t>Kyrkan</t>
        </is>
      </c>
      <c r="I1058" t="n">
        <v>0.9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7618-2026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46062</v>
      </c>
      <c r="E1059" s="1" t="n">
        <v>46313</v>
      </c>
      <c r="F1059" t="inlineStr">
        <is>
          <t>GÄVLEBORGS LÄN</t>
        </is>
      </c>
      <c r="G1059" t="inlineStr">
        <is>
          <t>BOLLNÄS</t>
        </is>
      </c>
      <c r="I1059" t="n">
        <v>0.5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7621-2026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46062</v>
      </c>
      <c r="E1060" s="1" t="n">
        <v>46313</v>
      </c>
      <c r="F1060" t="inlineStr">
        <is>
          <t>GÄVLEBORGS LÄN</t>
        </is>
      </c>
      <c r="G1060" t="inlineStr">
        <is>
          <t>BOLLNÄS</t>
        </is>
      </c>
      <c r="I1060" t="n">
        <v>0.6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7798-2026</t>
        </is>
      </c>
      <c r="B1061" t="inlineStr">
        <is>
          <t>avverkningsanmälan</t>
        </is>
      </c>
      <c r="C1061" t="inlineStr">
        <is>
          <t>Föryngringsavverkning</t>
        </is>
      </c>
      <c r="D1061" s="1" t="n">
        <v>46062</v>
      </c>
      <c r="E1061" s="1" t="n">
        <v>46313</v>
      </c>
      <c r="F1061" t="inlineStr">
        <is>
          <t>GÄVLEBORGS LÄN</t>
        </is>
      </c>
      <c r="G1061" t="inlineStr">
        <is>
          <t>BOLLNÄS</t>
        </is>
      </c>
      <c r="I1061" t="n">
        <v>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8070-2026</t>
        </is>
      </c>
      <c r="B1062" t="inlineStr">
        <is>
          <t>avverkningsanmälan</t>
        </is>
      </c>
      <c r="C1062" t="inlineStr">
        <is>
          <t>Föryngringsavverkning</t>
        </is>
      </c>
      <c r="D1062" s="1" t="n">
        <v>46063</v>
      </c>
      <c r="E1062" s="1" t="n">
        <v>46313</v>
      </c>
      <c r="F1062" t="inlineStr">
        <is>
          <t>GÄVLEBORGS LÄN</t>
        </is>
      </c>
      <c r="G1062" t="inlineStr">
        <is>
          <t>BOLLNÄS</t>
        </is>
      </c>
      <c r="I1062" t="n">
        <v>1.6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7569-2026</t>
        </is>
      </c>
      <c r="B1063" t="inlineStr">
        <is>
          <t>avverkningsanmälan</t>
        </is>
      </c>
      <c r="C1063" t="inlineStr">
        <is>
          <t>Föryngringsavverkning</t>
        </is>
      </c>
      <c r="D1063" s="1" t="n">
        <v>46060</v>
      </c>
      <c r="E1063" s="1" t="n">
        <v>46313</v>
      </c>
      <c r="F1063" t="inlineStr">
        <is>
          <t>GÄVLEBORGS LÄN</t>
        </is>
      </c>
      <c r="G1063" t="inlineStr">
        <is>
          <t>BOLLNÄS</t>
        </is>
      </c>
      <c r="I1063" t="n">
        <v>0.5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7919-2026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46063</v>
      </c>
      <c r="E1064" s="1" t="n">
        <v>46313</v>
      </c>
      <c r="F1064" t="inlineStr">
        <is>
          <t>GÄVLEBORGS LÄN</t>
        </is>
      </c>
      <c r="G1064" t="inlineStr">
        <is>
          <t>BOLLNÄS</t>
        </is>
      </c>
      <c r="I1064" t="n">
        <v>1.5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7616-2026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46062</v>
      </c>
      <c r="E1065" s="1" t="n">
        <v>46313</v>
      </c>
      <c r="F1065" t="inlineStr">
        <is>
          <t>GÄVLEBORGS LÄN</t>
        </is>
      </c>
      <c r="G1065" t="inlineStr">
        <is>
          <t>BOLLNÄS</t>
        </is>
      </c>
      <c r="I1065" t="n">
        <v>2.2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24328-2024</t>
        </is>
      </c>
      <c r="B1066" t="inlineStr">
        <is>
          <t>avverkningsanmälan</t>
        </is>
      </c>
      <c r="C1066" t="inlineStr">
        <is>
          <t>Föryngringsavverkning</t>
        </is>
      </c>
      <c r="D1066" s="1" t="n">
        <v>45457</v>
      </c>
      <c r="E1066" s="1" t="n">
        <v>46313</v>
      </c>
      <c r="F1066" t="inlineStr">
        <is>
          <t>GÄVLEBORGS LÄN</t>
        </is>
      </c>
      <c r="G1066" t="inlineStr">
        <is>
          <t>BOLLNÄS</t>
        </is>
      </c>
      <c r="I1066" t="n">
        <v>5.1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A 26892-2026</t>
        </is>
      </c>
      <c r="B1067" t="inlineStr">
        <is>
          <t>avverkningsanmälan</t>
        </is>
      </c>
      <c r="C1067" t="inlineStr">
        <is>
          <t>Föryngringsavverkning</t>
        </is>
      </c>
      <c r="D1067" s="1" t="n">
        <v>46185</v>
      </c>
      <c r="E1067" s="1" t="n">
        <v>46313</v>
      </c>
      <c r="F1067" t="inlineStr">
        <is>
          <t>GÄVLEBORGS LÄN</t>
        </is>
      </c>
      <c r="G1067" t="inlineStr">
        <is>
          <t>BOLLNÄS</t>
        </is>
      </c>
      <c r="I1067" t="n">
        <v>9.800000000000001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A 8166-2026</t>
        </is>
      </c>
      <c r="B1068" t="inlineStr">
        <is>
          <t>avverkningsanmälan</t>
        </is>
      </c>
      <c r="C1068" t="inlineStr">
        <is>
          <t>Föryngringsavverkning</t>
        </is>
      </c>
      <c r="D1068" s="1" t="n">
        <v>46064</v>
      </c>
      <c r="E1068" s="1" t="n">
        <v>46313</v>
      </c>
      <c r="F1068" t="inlineStr">
        <is>
          <t>GÄVLEBORGS LÄN</t>
        </is>
      </c>
      <c r="G1068" t="inlineStr">
        <is>
          <t>BOLLNÄS</t>
        </is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A 8397-2026</t>
        </is>
      </c>
      <c r="B1069" t="inlineStr">
        <is>
          <t>avverkningsanmälan</t>
        </is>
      </c>
      <c r="C1069" t="inlineStr">
        <is>
          <t>Föryngringsavverkning</t>
        </is>
      </c>
      <c r="D1069" s="1" t="n">
        <v>46065</v>
      </c>
      <c r="E1069" s="1" t="n">
        <v>46313</v>
      </c>
      <c r="F1069" t="inlineStr">
        <is>
          <t>GÄVLEBORGS LÄN</t>
        </is>
      </c>
      <c r="G1069" t="inlineStr">
        <is>
          <t>BOLLNÄS</t>
        </is>
      </c>
      <c r="I1069" t="n">
        <v>0.9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A 8218-2026</t>
        </is>
      </c>
      <c r="B1070" t="inlineStr">
        <is>
          <t>avverkningsanmälan</t>
        </is>
      </c>
      <c r="C1070" t="inlineStr">
        <is>
          <t>Föryngringsavverkning</t>
        </is>
      </c>
      <c r="D1070" s="1" t="n">
        <v>46064</v>
      </c>
      <c r="E1070" s="1" t="n">
        <v>46313</v>
      </c>
      <c r="F1070" t="inlineStr">
        <is>
          <t>GÄVLEBORGS LÄN</t>
        </is>
      </c>
      <c r="G1070" t="inlineStr">
        <is>
          <t>BOLLNÄS</t>
        </is>
      </c>
      <c r="H1070" t="inlineStr">
        <is>
          <t>Bergvik skog väst AB</t>
        </is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A 8406-2026</t>
        </is>
      </c>
      <c r="B1071" t="inlineStr">
        <is>
          <t>avverkningsanmälan</t>
        </is>
      </c>
      <c r="C1071" t="inlineStr">
        <is>
          <t>Föryngringsavverkning</t>
        </is>
      </c>
      <c r="D1071" s="1" t="n">
        <v>46065</v>
      </c>
      <c r="E1071" s="1" t="n">
        <v>46313</v>
      </c>
      <c r="F1071" t="inlineStr">
        <is>
          <t>GÄVLEBORGS LÄN</t>
        </is>
      </c>
      <c r="G1071" t="inlineStr">
        <is>
          <t>BOLLNÄS</t>
        </is>
      </c>
      <c r="I1071" t="n">
        <v>4.7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A 4907-2026</t>
        </is>
      </c>
      <c r="B1072" t="inlineStr">
        <is>
          <t>avverkningsanmälan</t>
        </is>
      </c>
      <c r="C1072" t="inlineStr">
        <is>
          <t>Föryngringsavverkning</t>
        </is>
      </c>
      <c r="D1072" s="1" t="n">
        <v>46048</v>
      </c>
      <c r="E1072" s="1" t="n">
        <v>46313</v>
      </c>
      <c r="F1072" t="inlineStr">
        <is>
          <t>GÄVLEBORGS LÄN</t>
        </is>
      </c>
      <c r="G1072" t="inlineStr">
        <is>
          <t>BOLLNÄS</t>
        </is>
      </c>
      <c r="I1072" t="n">
        <v>0.8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A 8174-2026</t>
        </is>
      </c>
      <c r="B1073" t="inlineStr">
        <is>
          <t>avverkningsanmälan</t>
        </is>
      </c>
      <c r="C1073" t="inlineStr">
        <is>
          <t>Föryngringsavverkning</t>
        </is>
      </c>
      <c r="D1073" s="1" t="n">
        <v>46064</v>
      </c>
      <c r="E1073" s="1" t="n">
        <v>46313</v>
      </c>
      <c r="F1073" t="inlineStr">
        <is>
          <t>GÄVLEBORGS LÄN</t>
        </is>
      </c>
      <c r="G1073" t="inlineStr">
        <is>
          <t>BOLLNÄS</t>
        </is>
      </c>
      <c r="I1073" t="n">
        <v>1.8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A 8181-2026</t>
        </is>
      </c>
      <c r="B1074" t="inlineStr">
        <is>
          <t>avverkningsanmälan</t>
        </is>
      </c>
      <c r="C1074" t="inlineStr">
        <is>
          <t>Föryngringsavverkning</t>
        </is>
      </c>
      <c r="D1074" s="1" t="n">
        <v>46064</v>
      </c>
      <c r="E1074" s="1" t="n">
        <v>46313</v>
      </c>
      <c r="F1074" t="inlineStr">
        <is>
          <t>GÄVLEBORGS LÄN</t>
        </is>
      </c>
      <c r="G1074" t="inlineStr">
        <is>
          <t>BOLLNÄS</t>
        </is>
      </c>
      <c r="I1074" t="n">
        <v>0.9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A 8184-2026</t>
        </is>
      </c>
      <c r="B1075" t="inlineStr">
        <is>
          <t>avverkningsanmälan</t>
        </is>
      </c>
      <c r="C1075" t="inlineStr">
        <is>
          <t>Föryngringsavverkning</t>
        </is>
      </c>
      <c r="D1075" s="1" t="n">
        <v>46064</v>
      </c>
      <c r="E1075" s="1" t="n">
        <v>46313</v>
      </c>
      <c r="F1075" t="inlineStr">
        <is>
          <t>GÄVLEBORGS LÄN</t>
        </is>
      </c>
      <c r="G1075" t="inlineStr">
        <is>
          <t>BOLLNÄS</t>
        </is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A 8670-2026</t>
        </is>
      </c>
      <c r="B1076" t="inlineStr">
        <is>
          <t>avverkningsanmälan</t>
        </is>
      </c>
      <c r="C1076" t="inlineStr">
        <is>
          <t>Föryngringsavverkning</t>
        </is>
      </c>
      <c r="D1076" s="1" t="n">
        <v>46066</v>
      </c>
      <c r="E1076" s="1" t="n">
        <v>46313</v>
      </c>
      <c r="F1076" t="inlineStr">
        <is>
          <t>GÄVLEBORGS LÄN</t>
        </is>
      </c>
      <c r="G1076" t="inlineStr">
        <is>
          <t>BOLLNÄS</t>
        </is>
      </c>
      <c r="I1076" t="n">
        <v>12.2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A 8700-2026</t>
        </is>
      </c>
      <c r="B1077" t="inlineStr">
        <is>
          <t>avverkningsanmälan</t>
        </is>
      </c>
      <c r="C1077" t="inlineStr">
        <is>
          <t>Föryngringsavverkning</t>
        </is>
      </c>
      <c r="D1077" s="1" t="n">
        <v>46066</v>
      </c>
      <c r="E1077" s="1" t="n">
        <v>46313</v>
      </c>
      <c r="F1077" t="inlineStr">
        <is>
          <t>GÄVLEBORGS LÄN</t>
        </is>
      </c>
      <c r="G1077" t="inlineStr">
        <is>
          <t>BOLLNÄS</t>
        </is>
      </c>
      <c r="I1077" t="n">
        <v>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A 8702-2026</t>
        </is>
      </c>
      <c r="B1078" t="inlineStr">
        <is>
          <t>avverkningsanmälan</t>
        </is>
      </c>
      <c r="C1078" t="inlineStr">
        <is>
          <t>Föryngringsavverkning</t>
        </is>
      </c>
      <c r="D1078" s="1" t="n">
        <v>46066</v>
      </c>
      <c r="E1078" s="1" t="n">
        <v>46313</v>
      </c>
      <c r="F1078" t="inlineStr">
        <is>
          <t>GÄVLEBORGS LÄN</t>
        </is>
      </c>
      <c r="G1078" t="inlineStr">
        <is>
          <t>BOLLNÄS</t>
        </is>
      </c>
      <c r="I1078" t="n">
        <v>3.9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A 9004-2026</t>
        </is>
      </c>
      <c r="B1079" t="inlineStr">
        <is>
          <t>avverkningsanmälan</t>
        </is>
      </c>
      <c r="C1079" t="inlineStr">
        <is>
          <t>Föryngringsavverkning</t>
        </is>
      </c>
      <c r="D1079" s="1" t="n">
        <v>46069</v>
      </c>
      <c r="E1079" s="1" t="n">
        <v>46313</v>
      </c>
      <c r="F1079" t="inlineStr">
        <is>
          <t>GÄVLEBORGS LÄN</t>
        </is>
      </c>
      <c r="G1079" t="inlineStr">
        <is>
          <t>BOLLNÄS</t>
        </is>
      </c>
      <c r="H1079" t="inlineStr">
        <is>
          <t>Bergvik skog väst AB</t>
        </is>
      </c>
      <c r="I1079" t="n">
        <v>1.2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A 36629-2023</t>
        </is>
      </c>
      <c r="B1080" t="inlineStr">
        <is>
          <t>avverkningsanmälan</t>
        </is>
      </c>
      <c r="C1080" t="inlineStr">
        <is>
          <t>Föryngringsavverkning</t>
        </is>
      </c>
      <c r="D1080" s="1" t="n">
        <v>45153</v>
      </c>
      <c r="E1080" s="1" t="n">
        <v>46313</v>
      </c>
      <c r="F1080" t="inlineStr">
        <is>
          <t>GÄVLEBORGS LÄN</t>
        </is>
      </c>
      <c r="G1080" t="inlineStr">
        <is>
          <t>BOLLNÄS</t>
        </is>
      </c>
      <c r="I1080" t="n">
        <v>0.9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A 36699-2023</t>
        </is>
      </c>
      <c r="B1081" t="inlineStr">
        <is>
          <t>avverkningsanmälan</t>
        </is>
      </c>
      <c r="C1081" t="inlineStr">
        <is>
          <t>Föryngringsavverkning</t>
        </is>
      </c>
      <c r="D1081" s="1" t="n">
        <v>45153</v>
      </c>
      <c r="E1081" s="1" t="n">
        <v>46313</v>
      </c>
      <c r="F1081" t="inlineStr">
        <is>
          <t>GÄVLEBORGS LÄN</t>
        </is>
      </c>
      <c r="G1081" t="inlineStr">
        <is>
          <t>BOLLNÄS</t>
        </is>
      </c>
      <c r="I1081" t="n">
        <v>1.3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A 26610-2026</t>
        </is>
      </c>
      <c r="B1082" t="inlineStr">
        <is>
          <t>avverkningsanmälan</t>
        </is>
      </c>
      <c r="C1082" t="inlineStr">
        <is>
          <t>Föryngringsavverkning</t>
        </is>
      </c>
      <c r="D1082" s="1" t="n">
        <v>46184</v>
      </c>
      <c r="E1082" s="1" t="n">
        <v>46313</v>
      </c>
      <c r="F1082" t="inlineStr">
        <is>
          <t>GÄVLEBORGS LÄN</t>
        </is>
      </c>
      <c r="G1082" t="inlineStr">
        <is>
          <t>BOLLNÄS</t>
        </is>
      </c>
      <c r="H1082" t="inlineStr">
        <is>
          <t>Kyrkan</t>
        </is>
      </c>
      <c r="I1082" t="n">
        <v>3.4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A 9085-2026</t>
        </is>
      </c>
      <c r="B1083" t="inlineStr">
        <is>
          <t>avverkningsanmälan</t>
        </is>
      </c>
      <c r="C1083" t="inlineStr">
        <is>
          <t>Föryngringsavverkning</t>
        </is>
      </c>
      <c r="D1083" s="1" t="n">
        <v>46069</v>
      </c>
      <c r="E1083" s="1" t="n">
        <v>46313</v>
      </c>
      <c r="F1083" t="inlineStr">
        <is>
          <t>GÄVLEBORGS LÄN</t>
        </is>
      </c>
      <c r="G1083" t="inlineStr">
        <is>
          <t>BOLLNÄS</t>
        </is>
      </c>
      <c r="H1083" t="inlineStr">
        <is>
          <t>Kommuner</t>
        </is>
      </c>
      <c r="I1083" t="n">
        <v>1.4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A 8761-2026</t>
        </is>
      </c>
      <c r="B1084" t="inlineStr">
        <is>
          <t>avverkningsanmälan</t>
        </is>
      </c>
      <c r="C1084" t="inlineStr">
        <is>
          <t>Föryngringsavverkning</t>
        </is>
      </c>
      <c r="D1084" s="1" t="n">
        <v>46066</v>
      </c>
      <c r="E1084" s="1" t="n">
        <v>46313</v>
      </c>
      <c r="F1084" t="inlineStr">
        <is>
          <t>GÄVLEBORGS LÄN</t>
        </is>
      </c>
      <c r="G1084" t="inlineStr">
        <is>
          <t>BOLLNÄS</t>
        </is>
      </c>
      <c r="I1084" t="n">
        <v>6.8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A 27092-2026</t>
        </is>
      </c>
      <c r="B1085" t="inlineStr">
        <is>
          <t>avverkningsanmälan</t>
        </is>
      </c>
      <c r="C1085" t="inlineStr">
        <is>
          <t>Föryngringsavverkning</t>
        </is>
      </c>
      <c r="D1085" s="1" t="n">
        <v>46188</v>
      </c>
      <c r="E1085" s="1" t="n">
        <v>46313</v>
      </c>
      <c r="F1085" t="inlineStr">
        <is>
          <t>GÄVLEBORGS LÄN</t>
        </is>
      </c>
      <c r="G1085" t="inlineStr">
        <is>
          <t>BOLLNÄS</t>
        </is>
      </c>
      <c r="H1085" t="inlineStr">
        <is>
          <t>Bergvik skog väst AB</t>
        </is>
      </c>
      <c r="I1085" t="n">
        <v>1.6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A 8660-2026</t>
        </is>
      </c>
      <c r="B1086" t="inlineStr">
        <is>
          <t>avverkningsanmälan</t>
        </is>
      </c>
      <c r="C1086" t="inlineStr">
        <is>
          <t>Föryngringsavverkning</t>
        </is>
      </c>
      <c r="D1086" s="1" t="n">
        <v>46066</v>
      </c>
      <c r="E1086" s="1" t="n">
        <v>46313</v>
      </c>
      <c r="F1086" t="inlineStr">
        <is>
          <t>GÄVLEBORGS LÄN</t>
        </is>
      </c>
      <c r="G1086" t="inlineStr">
        <is>
          <t>BOLLNÄS</t>
        </is>
      </c>
      <c r="I1086" t="n">
        <v>13.7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A 9022-2026</t>
        </is>
      </c>
      <c r="B1087" t="inlineStr">
        <is>
          <t>avverkningsanmälan</t>
        </is>
      </c>
      <c r="C1087" t="inlineStr">
        <is>
          <t>Föryngringsavverkning</t>
        </is>
      </c>
      <c r="D1087" s="1" t="n">
        <v>46069</v>
      </c>
      <c r="E1087" s="1" t="n">
        <v>46313</v>
      </c>
      <c r="F1087" t="inlineStr">
        <is>
          <t>GÄVLEBORGS LÄN</t>
        </is>
      </c>
      <c r="G1087" t="inlineStr">
        <is>
          <t>BOLLNÄS</t>
        </is>
      </c>
      <c r="H1087" t="inlineStr">
        <is>
          <t>Bergvik skog väst AB</t>
        </is>
      </c>
      <c r="I1087" t="n">
        <v>1.8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A 8793-2026</t>
        </is>
      </c>
      <c r="B1088" t="inlineStr">
        <is>
          <t>avverkningsanmälan</t>
        </is>
      </c>
      <c r="C1088" t="inlineStr">
        <is>
          <t>Föryngringsavverkning</t>
        </is>
      </c>
      <c r="D1088" s="1" t="n">
        <v>46066</v>
      </c>
      <c r="E1088" s="1" t="n">
        <v>46313</v>
      </c>
      <c r="F1088" t="inlineStr">
        <is>
          <t>GÄVLEBORGS LÄN</t>
        </is>
      </c>
      <c r="G1088" t="inlineStr">
        <is>
          <t>BOLLNÄS</t>
        </is>
      </c>
      <c r="H1088" t="inlineStr">
        <is>
          <t>Sveaskog</t>
        </is>
      </c>
      <c r="I1088" t="n">
        <v>0.7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A 8898-2026</t>
        </is>
      </c>
      <c r="B1089" t="inlineStr">
        <is>
          <t>avverkningsanmälan</t>
        </is>
      </c>
      <c r="C1089" t="inlineStr">
        <is>
          <t>Föryngringsavverkning</t>
        </is>
      </c>
      <c r="D1089" s="1" t="n">
        <v>46068</v>
      </c>
      <c r="E1089" s="1" t="n">
        <v>46313</v>
      </c>
      <c r="F1089" t="inlineStr">
        <is>
          <t>GÄVLEBORGS LÄN</t>
        </is>
      </c>
      <c r="G1089" t="inlineStr">
        <is>
          <t>BOLLNÄS</t>
        </is>
      </c>
      <c r="I1089" t="n">
        <v>1.2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A 8799-2026</t>
        </is>
      </c>
      <c r="B1090" t="inlineStr">
        <is>
          <t>avverkningsanmälan</t>
        </is>
      </c>
      <c r="C1090" t="inlineStr">
        <is>
          <t>Föryngringsavverkning</t>
        </is>
      </c>
      <c r="D1090" s="1" t="n">
        <v>46066</v>
      </c>
      <c r="E1090" s="1" t="n">
        <v>46313</v>
      </c>
      <c r="F1090" t="inlineStr">
        <is>
          <t>GÄVLEBORGS LÄN</t>
        </is>
      </c>
      <c r="G1090" t="inlineStr">
        <is>
          <t>BOLLNÄS</t>
        </is>
      </c>
      <c r="H1090" t="inlineStr">
        <is>
          <t>Sveaskog</t>
        </is>
      </c>
      <c r="I1090" t="n">
        <v>3.8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A 51443-2022</t>
        </is>
      </c>
      <c r="B1091" t="inlineStr">
        <is>
          <t>avverkningsanmälan</t>
        </is>
      </c>
      <c r="C1091" t="inlineStr">
        <is>
          <t>Föryngringsavverkning</t>
        </is>
      </c>
      <c r="D1091" s="1" t="n">
        <v>44869</v>
      </c>
      <c r="E1091" s="1" t="n">
        <v>46313</v>
      </c>
      <c r="F1091" t="inlineStr">
        <is>
          <t>GÄVLEBORGS LÄN</t>
        </is>
      </c>
      <c r="G1091" t="inlineStr">
        <is>
          <t>BOLLNÄS</t>
        </is>
      </c>
      <c r="I1091" t="n">
        <v>1.9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A 26890-2026</t>
        </is>
      </c>
      <c r="B1092" t="inlineStr">
        <is>
          <t>avverkningsanmälan</t>
        </is>
      </c>
      <c r="C1092" t="inlineStr">
        <is>
          <t>Föryngringsavverkning</t>
        </is>
      </c>
      <c r="D1092" s="1" t="n">
        <v>46185</v>
      </c>
      <c r="E1092" s="1" t="n">
        <v>46313</v>
      </c>
      <c r="F1092" t="inlineStr">
        <is>
          <t>GÄVLEBORGS LÄN</t>
        </is>
      </c>
      <c r="G1092" t="inlineStr">
        <is>
          <t>BOLLNÄS</t>
        </is>
      </c>
      <c r="I1092" t="n">
        <v>1.7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A 26891-2026</t>
        </is>
      </c>
      <c r="B1093" t="inlineStr">
        <is>
          <t>avverkningsanmälan</t>
        </is>
      </c>
      <c r="C1093" t="inlineStr">
        <is>
          <t>Föryngringsavverkning</t>
        </is>
      </c>
      <c r="D1093" s="1" t="n">
        <v>46185</v>
      </c>
      <c r="E1093" s="1" t="n">
        <v>46313</v>
      </c>
      <c r="F1093" t="inlineStr">
        <is>
          <t>GÄVLEBORGS LÄN</t>
        </is>
      </c>
      <c r="G1093" t="inlineStr">
        <is>
          <t>BOLLNÄS</t>
        </is>
      </c>
      <c r="I1093" t="n">
        <v>0.3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A 8710-2026</t>
        </is>
      </c>
      <c r="B1094" t="inlineStr">
        <is>
          <t>avverkningsanmälan</t>
        </is>
      </c>
      <c r="C1094" t="inlineStr">
        <is>
          <t>Föryngringsavverkning</t>
        </is>
      </c>
      <c r="D1094" s="1" t="n">
        <v>46066</v>
      </c>
      <c r="E1094" s="1" t="n">
        <v>46313</v>
      </c>
      <c r="F1094" t="inlineStr">
        <is>
          <t>GÄVLEBORGS LÄN</t>
        </is>
      </c>
      <c r="G1094" t="inlineStr">
        <is>
          <t>BOLLNÄS</t>
        </is>
      </c>
      <c r="H1094" t="inlineStr">
        <is>
          <t>Bergvik skog väst AB</t>
        </is>
      </c>
      <c r="I1094" t="n">
        <v>0.5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A 9043-2026</t>
        </is>
      </c>
      <c r="B1095" t="inlineStr">
        <is>
          <t>avverkningsanmälan</t>
        </is>
      </c>
      <c r="C1095" t="inlineStr">
        <is>
          <t>Föryngringsavverkning</t>
        </is>
      </c>
      <c r="D1095" s="1" t="n">
        <v>46069</v>
      </c>
      <c r="E1095" s="1" t="n">
        <v>46313</v>
      </c>
      <c r="F1095" t="inlineStr">
        <is>
          <t>GÄVLEBORGS LÄN</t>
        </is>
      </c>
      <c r="G1095" t="inlineStr">
        <is>
          <t>BOLLNÄS</t>
        </is>
      </c>
      <c r="I1095" t="n">
        <v>0.4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A 9059-2026</t>
        </is>
      </c>
      <c r="B1096" t="inlineStr">
        <is>
          <t>avverkningsanmälan</t>
        </is>
      </c>
      <c r="C1096" t="inlineStr">
        <is>
          <t>Föryngringsavverkning</t>
        </is>
      </c>
      <c r="D1096" s="1" t="n">
        <v>46069</v>
      </c>
      <c r="E1096" s="1" t="n">
        <v>46313</v>
      </c>
      <c r="F1096" t="inlineStr">
        <is>
          <t>GÄVLEBORGS LÄN</t>
        </is>
      </c>
      <c r="G1096" t="inlineStr">
        <is>
          <t>BOLLNÄS</t>
        </is>
      </c>
      <c r="I1096" t="n">
        <v>2.5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A 44576-2023</t>
        </is>
      </c>
      <c r="B1097" t="inlineStr">
        <is>
          <t>avverkningsanmälan</t>
        </is>
      </c>
      <c r="C1097" t="inlineStr">
        <is>
          <t>Föryngringsavverkning</t>
        </is>
      </c>
      <c r="D1097" s="1" t="n">
        <v>45183</v>
      </c>
      <c r="E1097" s="1" t="n">
        <v>46313</v>
      </c>
      <c r="F1097" t="inlineStr">
        <is>
          <t>GÄVLEBORGS LÄN</t>
        </is>
      </c>
      <c r="G1097" t="inlineStr">
        <is>
          <t>BOLLNÄS</t>
        </is>
      </c>
      <c r="I1097" t="n">
        <v>3.1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A 9184-2026</t>
        </is>
      </c>
      <c r="B1098" t="inlineStr">
        <is>
          <t>avverkningsanmälan</t>
        </is>
      </c>
      <c r="C1098" t="inlineStr">
        <is>
          <t>Föryngringsavverkning</t>
        </is>
      </c>
      <c r="D1098" s="1" t="n">
        <v>46070</v>
      </c>
      <c r="E1098" s="1" t="n">
        <v>46313</v>
      </c>
      <c r="F1098" t="inlineStr">
        <is>
          <t>GÄVLEBORGS LÄN</t>
        </is>
      </c>
      <c r="G1098" t="inlineStr">
        <is>
          <t>BOLLNÄS</t>
        </is>
      </c>
      <c r="I1098" t="n">
        <v>1.3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A 9188-2026</t>
        </is>
      </c>
      <c r="B1099" t="inlineStr">
        <is>
          <t>avverkningsanmälan</t>
        </is>
      </c>
      <c r="C1099" t="inlineStr">
        <is>
          <t>Föryngringsavverkning</t>
        </is>
      </c>
      <c r="D1099" s="1" t="n">
        <v>46070</v>
      </c>
      <c r="E1099" s="1" t="n">
        <v>46313</v>
      </c>
      <c r="F1099" t="inlineStr">
        <is>
          <t>GÄVLEBORGS LÄN</t>
        </is>
      </c>
      <c r="G1099" t="inlineStr">
        <is>
          <t>BOLLNÄS</t>
        </is>
      </c>
      <c r="I1099" t="n">
        <v>1.1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A 9239-2026</t>
        </is>
      </c>
      <c r="B1100" t="inlineStr">
        <is>
          <t>avverkningsanmälan</t>
        </is>
      </c>
      <c r="C1100" t="inlineStr">
        <is>
          <t>Föryngringsavverkning</t>
        </is>
      </c>
      <c r="D1100" s="1" t="n">
        <v>46070</v>
      </c>
      <c r="E1100" s="1" t="n">
        <v>46313</v>
      </c>
      <c r="F1100" t="inlineStr">
        <is>
          <t>GÄVLEBORGS LÄN</t>
        </is>
      </c>
      <c r="G1100" t="inlineStr">
        <is>
          <t>BOLLNÄS</t>
        </is>
      </c>
      <c r="I1100" t="n">
        <v>1.4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A 9323-2026</t>
        </is>
      </c>
      <c r="B1101" t="inlineStr">
        <is>
          <t>avverkningsanmälan</t>
        </is>
      </c>
      <c r="C1101" t="inlineStr">
        <is>
          <t>Föryngringsavverkning</t>
        </is>
      </c>
      <c r="D1101" s="1" t="n">
        <v>46070</v>
      </c>
      <c r="E1101" s="1" t="n">
        <v>46313</v>
      </c>
      <c r="F1101" t="inlineStr">
        <is>
          <t>GÄVLEBORGS LÄN</t>
        </is>
      </c>
      <c r="G1101" t="inlineStr">
        <is>
          <t>BOLLNÄS</t>
        </is>
      </c>
      <c r="I1101" t="n">
        <v>0.9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 ht="15" customHeight="1">
      <c r="A1102" t="inlineStr">
        <is>
          <t>A 26981-2026</t>
        </is>
      </c>
      <c r="B1102" t="inlineStr">
        <is>
          <t>avverkningsanmälan</t>
        </is>
      </c>
      <c r="C1102" t="inlineStr">
        <is>
          <t>Föryngringsavverkning</t>
        </is>
      </c>
      <c r="D1102" s="1" t="n">
        <v>46185</v>
      </c>
      <c r="E1102" s="1" t="n">
        <v>46313</v>
      </c>
      <c r="F1102" t="inlineStr">
        <is>
          <t>GÄVLEBORGS LÄN</t>
        </is>
      </c>
      <c r="G1102" t="inlineStr">
        <is>
          <t>BOLLNÄS</t>
        </is>
      </c>
      <c r="I1102" t="n">
        <v>2.6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  <row r="1103" ht="15" customHeight="1">
      <c r="A1103" t="inlineStr">
        <is>
          <t>A 9523-2026</t>
        </is>
      </c>
      <c r="B1103" t="inlineStr">
        <is>
          <t>avverkningsanmälan</t>
        </is>
      </c>
      <c r="C1103" t="inlineStr">
        <is>
          <t>Föryngringsavverkning</t>
        </is>
      </c>
      <c r="D1103" s="1" t="n">
        <v>46071</v>
      </c>
      <c r="E1103" s="1" t="n">
        <v>46313</v>
      </c>
      <c r="F1103" t="inlineStr">
        <is>
          <t>GÄVLEBORGS LÄN</t>
        </is>
      </c>
      <c r="G1103" t="inlineStr">
        <is>
          <t>BOLLNÄS</t>
        </is>
      </c>
      <c r="I1103" t="n">
        <v>1.4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inlineStr"/>
    </row>
    <row r="1104" ht="15" customHeight="1">
      <c r="A1104" t="inlineStr">
        <is>
          <t>A 9307-2026</t>
        </is>
      </c>
      <c r="B1104" t="inlineStr">
        <is>
          <t>avverkningsanmälan</t>
        </is>
      </c>
      <c r="C1104" t="inlineStr">
        <is>
          <t>Föryngringsavverkning</t>
        </is>
      </c>
      <c r="D1104" s="1" t="n">
        <v>46070</v>
      </c>
      <c r="E1104" s="1" t="n">
        <v>46313</v>
      </c>
      <c r="F1104" t="inlineStr">
        <is>
          <t>GÄVLEBORGS LÄN</t>
        </is>
      </c>
      <c r="G1104" t="inlineStr">
        <is>
          <t>BOLLNÄS</t>
        </is>
      </c>
      <c r="I1104" t="n">
        <v>2.9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inlineStr"/>
    </row>
    <row r="1105" ht="15" customHeight="1">
      <c r="A1105" t="inlineStr">
        <is>
          <t>A 9355-2026</t>
        </is>
      </c>
      <c r="B1105" t="inlineStr">
        <is>
          <t>avverkningsanmälan</t>
        </is>
      </c>
      <c r="C1105" t="inlineStr">
        <is>
          <t>Föryngringsavverkning</t>
        </is>
      </c>
      <c r="D1105" s="1" t="n">
        <v>46070</v>
      </c>
      <c r="E1105" s="1" t="n">
        <v>46313</v>
      </c>
      <c r="F1105" t="inlineStr">
        <is>
          <t>GÄVLEBORGS LÄN</t>
        </is>
      </c>
      <c r="G1105" t="inlineStr">
        <is>
          <t>BOLLNÄS</t>
        </is>
      </c>
      <c r="I1105" t="n">
        <v>7.7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inlineStr"/>
    </row>
    <row r="1106" ht="15" customHeight="1">
      <c r="A1106" t="inlineStr">
        <is>
          <t>A 9308-2026</t>
        </is>
      </c>
      <c r="B1106" t="inlineStr">
        <is>
          <t>avverkningsanmälan</t>
        </is>
      </c>
      <c r="C1106" t="inlineStr">
        <is>
          <t>Föryngringsavverkning</t>
        </is>
      </c>
      <c r="D1106" s="1" t="n">
        <v>46070</v>
      </c>
      <c r="E1106" s="1" t="n">
        <v>46313</v>
      </c>
      <c r="F1106" t="inlineStr">
        <is>
          <t>GÄVLEBORGS LÄN</t>
        </is>
      </c>
      <c r="G1106" t="inlineStr">
        <is>
          <t>BOLLNÄS</t>
        </is>
      </c>
      <c r="I1106" t="n">
        <v>0.8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inlineStr"/>
    </row>
    <row r="1107" ht="15" customHeight="1">
      <c r="A1107" t="inlineStr">
        <is>
          <t>A 9177-2026</t>
        </is>
      </c>
      <c r="B1107" t="inlineStr">
        <is>
          <t>avverkningsanmälan</t>
        </is>
      </c>
      <c r="C1107" t="inlineStr">
        <is>
          <t>Föryngringsavverkning</t>
        </is>
      </c>
      <c r="D1107" s="1" t="n">
        <v>46070</v>
      </c>
      <c r="E1107" s="1" t="n">
        <v>46313</v>
      </c>
      <c r="F1107" t="inlineStr">
        <is>
          <t>GÄVLEBORGS LÄN</t>
        </is>
      </c>
      <c r="G1107" t="inlineStr">
        <is>
          <t>BOLLNÄS</t>
        </is>
      </c>
      <c r="I1107" t="n">
        <v>1.3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inlineStr"/>
    </row>
    <row r="1108" ht="15" customHeight="1">
      <c r="A1108" t="inlineStr">
        <is>
          <t>A 9178-2026</t>
        </is>
      </c>
      <c r="B1108" t="inlineStr">
        <is>
          <t>avverkningsanmälan</t>
        </is>
      </c>
      <c r="C1108" t="inlineStr">
        <is>
          <t>Föryngringsavverkning</t>
        </is>
      </c>
      <c r="D1108" s="1" t="n">
        <v>46070</v>
      </c>
      <c r="E1108" s="1" t="n">
        <v>46313</v>
      </c>
      <c r="F1108" t="inlineStr">
        <is>
          <t>GÄVLEBORGS LÄN</t>
        </is>
      </c>
      <c r="G1108" t="inlineStr">
        <is>
          <t>BOLLNÄS</t>
        </is>
      </c>
      <c r="I1108" t="n">
        <v>0.5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inlineStr"/>
    </row>
    <row r="1109" ht="15" customHeight="1">
      <c r="A1109" t="inlineStr">
        <is>
          <t>A 9235-2026</t>
        </is>
      </c>
      <c r="B1109" t="inlineStr">
        <is>
          <t>avverkningsanmälan</t>
        </is>
      </c>
      <c r="C1109" t="inlineStr">
        <is>
          <t>Föryngringsavverkning</t>
        </is>
      </c>
      <c r="D1109" s="1" t="n">
        <v>46070</v>
      </c>
      <c r="E1109" s="1" t="n">
        <v>46313</v>
      </c>
      <c r="F1109" t="inlineStr">
        <is>
          <t>GÄVLEBORGS LÄN</t>
        </is>
      </c>
      <c r="G1109" t="inlineStr">
        <is>
          <t>BOLLNÄS</t>
        </is>
      </c>
      <c r="I1109" t="n">
        <v>3.9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inlineStr"/>
    </row>
    <row r="1110" ht="15" customHeight="1">
      <c r="A1110" t="inlineStr">
        <is>
          <t>A 9237-2026</t>
        </is>
      </c>
      <c r="B1110" t="inlineStr">
        <is>
          <t>avverkningsanmälan</t>
        </is>
      </c>
      <c r="C1110" t="inlineStr">
        <is>
          <t>Föryngringsavverkning</t>
        </is>
      </c>
      <c r="D1110" s="1" t="n">
        <v>46070</v>
      </c>
      <c r="E1110" s="1" t="n">
        <v>46313</v>
      </c>
      <c r="F1110" t="inlineStr">
        <is>
          <t>GÄVLEBORGS LÄN</t>
        </is>
      </c>
      <c r="G1110" t="inlineStr">
        <is>
          <t>BOLLNÄS</t>
        </is>
      </c>
      <c r="I1110" t="n">
        <v>0.4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inlineStr"/>
    </row>
    <row r="1111" ht="15" customHeight="1">
      <c r="A1111" t="inlineStr">
        <is>
          <t>A 9298-2026</t>
        </is>
      </c>
      <c r="B1111" t="inlineStr">
        <is>
          <t>avverkningsanmälan</t>
        </is>
      </c>
      <c r="C1111" t="inlineStr">
        <is>
          <t>Föryngringsavverkning</t>
        </is>
      </c>
      <c r="D1111" s="1" t="n">
        <v>46070</v>
      </c>
      <c r="E1111" s="1" t="n">
        <v>46313</v>
      </c>
      <c r="F1111" t="inlineStr">
        <is>
          <t>GÄVLEBORGS LÄN</t>
        </is>
      </c>
      <c r="G1111" t="inlineStr">
        <is>
          <t>BOLLNÄS</t>
        </is>
      </c>
      <c r="H1111" t="inlineStr">
        <is>
          <t>Bergvik skog väst AB</t>
        </is>
      </c>
      <c r="I1111" t="n">
        <v>1.1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inlineStr"/>
    </row>
    <row r="1112" ht="15" customHeight="1">
      <c r="A1112" t="inlineStr">
        <is>
          <t>A 9213-2026</t>
        </is>
      </c>
      <c r="B1112" t="inlineStr">
        <is>
          <t>avverkningsanmälan</t>
        </is>
      </c>
      <c r="C1112" t="inlineStr">
        <is>
          <t>Föryngringsavverkning</t>
        </is>
      </c>
      <c r="D1112" s="1" t="n">
        <v>46070</v>
      </c>
      <c r="E1112" s="1" t="n">
        <v>46313</v>
      </c>
      <c r="F1112" t="inlineStr">
        <is>
          <t>GÄVLEBORGS LÄN</t>
        </is>
      </c>
      <c r="G1112" t="inlineStr">
        <is>
          <t>BOLLNÄS</t>
        </is>
      </c>
      <c r="I1112" t="n">
        <v>4.4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inlineStr"/>
    </row>
    <row r="1113" ht="15" customHeight="1">
      <c r="A1113" t="inlineStr">
        <is>
          <t>A 9545-2026</t>
        </is>
      </c>
      <c r="B1113" t="inlineStr">
        <is>
          <t>avverkningsanmälan</t>
        </is>
      </c>
      <c r="C1113" t="inlineStr">
        <is>
          <t>Föryngringsavverkning</t>
        </is>
      </c>
      <c r="D1113" s="1" t="n">
        <v>46071</v>
      </c>
      <c r="E1113" s="1" t="n">
        <v>46313</v>
      </c>
      <c r="F1113" t="inlineStr">
        <is>
          <t>GÄVLEBORGS LÄN</t>
        </is>
      </c>
      <c r="G1113" t="inlineStr">
        <is>
          <t>BOLLNÄS</t>
        </is>
      </c>
      <c r="H1113" t="inlineStr">
        <is>
          <t>Sveaskog</t>
        </is>
      </c>
      <c r="I1113" t="n">
        <v>1.6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inlineStr"/>
    </row>
    <row r="1114" ht="15" customHeight="1">
      <c r="A1114" t="inlineStr">
        <is>
          <t>A 9241-2026</t>
        </is>
      </c>
      <c r="B1114" t="inlineStr">
        <is>
          <t>avverkningsanmälan</t>
        </is>
      </c>
      <c r="C1114" t="inlineStr">
        <is>
          <t>Föryngringsavverkning</t>
        </is>
      </c>
      <c r="D1114" s="1" t="n">
        <v>46070</v>
      </c>
      <c r="E1114" s="1" t="n">
        <v>46313</v>
      </c>
      <c r="F1114" t="inlineStr">
        <is>
          <t>GÄVLEBORGS LÄN</t>
        </is>
      </c>
      <c r="G1114" t="inlineStr">
        <is>
          <t>BOLLNÄS</t>
        </is>
      </c>
      <c r="I1114" t="n">
        <v>0.9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inlineStr"/>
    </row>
    <row r="1115" ht="15" customHeight="1">
      <c r="A1115" t="inlineStr">
        <is>
          <t>A 9242-2026</t>
        </is>
      </c>
      <c r="B1115" t="inlineStr">
        <is>
          <t>avverkningsanmälan</t>
        </is>
      </c>
      <c r="C1115" t="inlineStr">
        <is>
          <t>Föryngringsavverkning</t>
        </is>
      </c>
      <c r="D1115" s="1" t="n">
        <v>46070</v>
      </c>
      <c r="E1115" s="1" t="n">
        <v>46313</v>
      </c>
      <c r="F1115" t="inlineStr">
        <is>
          <t>GÄVLEBORGS LÄN</t>
        </is>
      </c>
      <c r="G1115" t="inlineStr">
        <is>
          <t>BOLLNÄS</t>
        </is>
      </c>
      <c r="I1115" t="n">
        <v>2.1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inlineStr"/>
    </row>
    <row r="1116" ht="15" customHeight="1">
      <c r="A1116" t="inlineStr">
        <is>
          <t>A 9385-2026</t>
        </is>
      </c>
      <c r="B1116" t="inlineStr">
        <is>
          <t>avverkningsanmälan</t>
        </is>
      </c>
      <c r="C1116" t="inlineStr">
        <is>
          <t>Föryngringsavverkning</t>
        </is>
      </c>
      <c r="D1116" s="1" t="n">
        <v>46071</v>
      </c>
      <c r="E1116" s="1" t="n">
        <v>46313</v>
      </c>
      <c r="F1116" t="inlineStr">
        <is>
          <t>GÄVLEBORGS LÄN</t>
        </is>
      </c>
      <c r="G1116" t="inlineStr">
        <is>
          <t>BOLLNÄS</t>
        </is>
      </c>
      <c r="H1116" t="inlineStr">
        <is>
          <t>Kyrkan</t>
        </is>
      </c>
      <c r="I1116" t="n">
        <v>4.5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inlineStr"/>
    </row>
    <row r="1117" ht="15" customHeight="1">
      <c r="A1117" t="inlineStr">
        <is>
          <t>A 9386-2026</t>
        </is>
      </c>
      <c r="B1117" t="inlineStr">
        <is>
          <t>avverkningsanmälan</t>
        </is>
      </c>
      <c r="C1117" t="inlineStr">
        <is>
          <t>Föryngringsavverkning</t>
        </is>
      </c>
      <c r="D1117" s="1" t="n">
        <v>46071</v>
      </c>
      <c r="E1117" s="1" t="n">
        <v>46313</v>
      </c>
      <c r="F1117" t="inlineStr">
        <is>
          <t>GÄVLEBORGS LÄN</t>
        </is>
      </c>
      <c r="G1117" t="inlineStr">
        <is>
          <t>BOLLNÄS</t>
        </is>
      </c>
      <c r="H1117" t="inlineStr">
        <is>
          <t>Kyrkan</t>
        </is>
      </c>
      <c r="I1117" t="n">
        <v>0.9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inlineStr"/>
    </row>
    <row r="1118" ht="15" customHeight="1">
      <c r="A1118" t="inlineStr">
        <is>
          <t>A 9230-2026</t>
        </is>
      </c>
      <c r="B1118" t="inlineStr">
        <is>
          <t>avverkningsanmälan</t>
        </is>
      </c>
      <c r="C1118" t="inlineStr">
        <is>
          <t>Föryngringsavverkning</t>
        </is>
      </c>
      <c r="D1118" s="1" t="n">
        <v>46070</v>
      </c>
      <c r="E1118" s="1" t="n">
        <v>46313</v>
      </c>
      <c r="F1118" t="inlineStr">
        <is>
          <t>GÄVLEBORGS LÄN</t>
        </is>
      </c>
      <c r="G1118" t="inlineStr">
        <is>
          <t>BOLLNÄS</t>
        </is>
      </c>
      <c r="I1118" t="n">
        <v>1.7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inlineStr"/>
    </row>
    <row r="1119" ht="15" customHeight="1">
      <c r="A1119" t="inlineStr">
        <is>
          <t>A 9526-2026</t>
        </is>
      </c>
      <c r="B1119" t="inlineStr">
        <is>
          <t>avverkningsanmälan</t>
        </is>
      </c>
      <c r="C1119" t="inlineStr">
        <is>
          <t>Föryngringsavverkning</t>
        </is>
      </c>
      <c r="D1119" s="1" t="n">
        <v>46071</v>
      </c>
      <c r="E1119" s="1" t="n">
        <v>46313</v>
      </c>
      <c r="F1119" t="inlineStr">
        <is>
          <t>GÄVLEBORGS LÄN</t>
        </is>
      </c>
      <c r="G1119" t="inlineStr">
        <is>
          <t>BOLLNÄS</t>
        </is>
      </c>
      <c r="I1119" t="n">
        <v>0.6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inlineStr"/>
    </row>
    <row r="1120" ht="15" customHeight="1">
      <c r="A1120" t="inlineStr">
        <is>
          <t>A 558-2026</t>
        </is>
      </c>
      <c r="B1120" t="inlineStr">
        <is>
          <t>avverkningsanmälan</t>
        </is>
      </c>
      <c r="C1120" t="inlineStr">
        <is>
          <t>Föryngringsavverkning</t>
        </is>
      </c>
      <c r="D1120" s="1" t="n">
        <v>46029</v>
      </c>
      <c r="E1120" s="1" t="n">
        <v>46313</v>
      </c>
      <c r="F1120" t="inlineStr">
        <is>
          <t>GÄVLEBORGS LÄN</t>
        </is>
      </c>
      <c r="G1120" t="inlineStr">
        <is>
          <t>BOLLNÄS</t>
        </is>
      </c>
      <c r="I1120" t="n">
        <v>1.7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inlineStr"/>
    </row>
    <row r="1121" ht="15" customHeight="1">
      <c r="A1121" t="inlineStr">
        <is>
          <t>A 9529-2026</t>
        </is>
      </c>
      <c r="B1121" t="inlineStr">
        <is>
          <t>avverkningsanmälan</t>
        </is>
      </c>
      <c r="C1121" t="inlineStr">
        <is>
          <t>Föryngringsavverkning</t>
        </is>
      </c>
      <c r="D1121" s="1" t="n">
        <v>46071</v>
      </c>
      <c r="E1121" s="1" t="n">
        <v>46313</v>
      </c>
      <c r="F1121" t="inlineStr">
        <is>
          <t>GÄVLEBORGS LÄN</t>
        </is>
      </c>
      <c r="G1121" t="inlineStr">
        <is>
          <t>BOLLNÄS</t>
        </is>
      </c>
      <c r="I1121" t="n">
        <v>0.9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inlineStr"/>
    </row>
    <row r="1122" ht="15" customHeight="1">
      <c r="A1122" t="inlineStr">
        <is>
          <t>A 9533-2026</t>
        </is>
      </c>
      <c r="B1122" t="inlineStr">
        <is>
          <t>avverkningsanmälan</t>
        </is>
      </c>
      <c r="C1122" t="inlineStr">
        <is>
          <t>Föryngringsavverkning</t>
        </is>
      </c>
      <c r="D1122" s="1" t="n">
        <v>46071</v>
      </c>
      <c r="E1122" s="1" t="n">
        <v>46313</v>
      </c>
      <c r="F1122" t="inlineStr">
        <is>
          <t>GÄVLEBORGS LÄN</t>
        </is>
      </c>
      <c r="G1122" t="inlineStr">
        <is>
          <t>BOLLNÄS</t>
        </is>
      </c>
      <c r="I1122" t="n">
        <v>0.7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inlineStr"/>
    </row>
    <row r="1123" ht="15" customHeight="1">
      <c r="A1123" t="inlineStr">
        <is>
          <t>A 9608-2026</t>
        </is>
      </c>
      <c r="B1123" t="inlineStr">
        <is>
          <t>avverkningsanmälan</t>
        </is>
      </c>
      <c r="C1123" t="inlineStr">
        <is>
          <t>Föryngringsavverkning</t>
        </is>
      </c>
      <c r="D1123" s="1" t="n">
        <v>46071</v>
      </c>
      <c r="E1123" s="1" t="n">
        <v>46313</v>
      </c>
      <c r="F1123" t="inlineStr">
        <is>
          <t>GÄVLEBORGS LÄN</t>
        </is>
      </c>
      <c r="G1123" t="inlineStr">
        <is>
          <t>BOLLNÄS</t>
        </is>
      </c>
      <c r="I1123" t="n">
        <v>1.7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inlineStr"/>
    </row>
    <row r="1124" ht="15" customHeight="1">
      <c r="A1124" t="inlineStr">
        <is>
          <t>A 9652-2026</t>
        </is>
      </c>
      <c r="B1124" t="inlineStr">
        <is>
          <t>avverkningsanmälan</t>
        </is>
      </c>
      <c r="C1124" t="inlineStr">
        <is>
          <t>Föryngringsavverkning</t>
        </is>
      </c>
      <c r="D1124" s="1" t="n">
        <v>46071</v>
      </c>
      <c r="E1124" s="1" t="n">
        <v>46313</v>
      </c>
      <c r="F1124" t="inlineStr">
        <is>
          <t>GÄVLEBORGS LÄN</t>
        </is>
      </c>
      <c r="G1124" t="inlineStr">
        <is>
          <t>BOLLNÄS</t>
        </is>
      </c>
      <c r="H1124" t="inlineStr">
        <is>
          <t>Kommuner</t>
        </is>
      </c>
      <c r="I1124" t="n">
        <v>1.6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inlineStr"/>
    </row>
    <row r="1125" ht="15" customHeight="1">
      <c r="A1125" t="inlineStr">
        <is>
          <t>A 9827-2026</t>
        </is>
      </c>
      <c r="B1125" t="inlineStr">
        <is>
          <t>avverkningsanmälan</t>
        </is>
      </c>
      <c r="C1125" t="inlineStr">
        <is>
          <t>Föryngringsavverkning</t>
        </is>
      </c>
      <c r="D1125" s="1" t="n">
        <v>46072</v>
      </c>
      <c r="E1125" s="1" t="n">
        <v>46313</v>
      </c>
      <c r="F1125" t="inlineStr">
        <is>
          <t>GÄVLEBORGS LÄN</t>
        </is>
      </c>
      <c r="G1125" t="inlineStr">
        <is>
          <t>BOLLNÄS</t>
        </is>
      </c>
      <c r="H1125" t="inlineStr">
        <is>
          <t>Sveaskog</t>
        </is>
      </c>
      <c r="I1125" t="n">
        <v>1.9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inlineStr"/>
    </row>
    <row r="1126" ht="15" customHeight="1">
      <c r="A1126" t="inlineStr">
        <is>
          <t>A 9965-2026</t>
        </is>
      </c>
      <c r="B1126" t="inlineStr">
        <is>
          <t>avverkningsanmälan</t>
        </is>
      </c>
      <c r="C1126" t="inlineStr">
        <is>
          <t>Föryngringsavverkning</t>
        </is>
      </c>
      <c r="D1126" s="1" t="n">
        <v>46073</v>
      </c>
      <c r="E1126" s="1" t="n">
        <v>46313</v>
      </c>
      <c r="F1126" t="inlineStr">
        <is>
          <t>GÄVLEBORGS LÄN</t>
        </is>
      </c>
      <c r="G1126" t="inlineStr">
        <is>
          <t>BOLLNÄS</t>
        </is>
      </c>
      <c r="I1126" t="n">
        <v>17.2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inlineStr"/>
    </row>
    <row r="1127" ht="15" customHeight="1">
      <c r="A1127" t="inlineStr">
        <is>
          <t>A 27327-2026</t>
        </is>
      </c>
      <c r="B1127" t="inlineStr">
        <is>
          <t>avverkningsanmälan</t>
        </is>
      </c>
      <c r="C1127" t="inlineStr">
        <is>
          <t>Föryngringsavverkning</t>
        </is>
      </c>
      <c r="D1127" s="1" t="n">
        <v>46188</v>
      </c>
      <c r="E1127" s="1" t="n">
        <v>46313</v>
      </c>
      <c r="F1127" t="inlineStr">
        <is>
          <t>GÄVLEBORGS LÄN</t>
        </is>
      </c>
      <c r="G1127" t="inlineStr">
        <is>
          <t>BOLLNÄS</t>
        </is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inlineStr"/>
    </row>
    <row r="1128" ht="15" customHeight="1">
      <c r="A1128" t="inlineStr">
        <is>
          <t>A 27143-2026</t>
        </is>
      </c>
      <c r="B1128" t="inlineStr">
        <is>
          <t>avverkningsanmälan</t>
        </is>
      </c>
      <c r="C1128" t="inlineStr">
        <is>
          <t>Föryngringsavverkning</t>
        </is>
      </c>
      <c r="D1128" s="1" t="n">
        <v>46188</v>
      </c>
      <c r="E1128" s="1" t="n">
        <v>46313</v>
      </c>
      <c r="F1128" t="inlineStr">
        <is>
          <t>GÄVLEBORGS LÄN</t>
        </is>
      </c>
      <c r="G1128" t="inlineStr">
        <is>
          <t>BOLLNÄS</t>
        </is>
      </c>
      <c r="I1128" t="n">
        <v>2.8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inlineStr"/>
    </row>
    <row r="1129" ht="15" customHeight="1">
      <c r="A1129" t="inlineStr">
        <is>
          <t>A 9812-2026</t>
        </is>
      </c>
      <c r="B1129" t="inlineStr">
        <is>
          <t>avverkningsanmälan</t>
        </is>
      </c>
      <c r="C1129" t="inlineStr">
        <is>
          <t>Föryngringsavverkning</t>
        </is>
      </c>
      <c r="D1129" s="1" t="n">
        <v>46072</v>
      </c>
      <c r="E1129" s="1" t="n">
        <v>46313</v>
      </c>
      <c r="F1129" t="inlineStr">
        <is>
          <t>GÄVLEBORGS LÄN</t>
        </is>
      </c>
      <c r="G1129" t="inlineStr">
        <is>
          <t>BOLLNÄS</t>
        </is>
      </c>
      <c r="I1129" t="n">
        <v>1.1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inlineStr"/>
    </row>
    <row r="1130" ht="15" customHeight="1">
      <c r="A1130" t="inlineStr">
        <is>
          <t>A 10055-2026</t>
        </is>
      </c>
      <c r="B1130" t="inlineStr">
        <is>
          <t>avverkningsanmälan</t>
        </is>
      </c>
      <c r="C1130" t="inlineStr">
        <is>
          <t>Föryngringsavverkning</t>
        </is>
      </c>
      <c r="D1130" s="1" t="n">
        <v>46073</v>
      </c>
      <c r="E1130" s="1" t="n">
        <v>46313</v>
      </c>
      <c r="F1130" t="inlineStr">
        <is>
          <t>GÄVLEBORGS LÄN</t>
        </is>
      </c>
      <c r="G1130" t="inlineStr">
        <is>
          <t>BOLLNÄS</t>
        </is>
      </c>
      <c r="I1130" t="n">
        <v>8.699999999999999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inlineStr"/>
    </row>
    <row r="1131" ht="15" customHeight="1">
      <c r="A1131" t="inlineStr">
        <is>
          <t>A 9616-2026</t>
        </is>
      </c>
      <c r="B1131" t="inlineStr">
        <is>
          <t>avverkningsanmälan</t>
        </is>
      </c>
      <c r="C1131" t="inlineStr">
        <is>
          <t>Föryngringsavverkning</t>
        </is>
      </c>
      <c r="D1131" s="1" t="n">
        <v>46072</v>
      </c>
      <c r="E1131" s="1" t="n">
        <v>46313</v>
      </c>
      <c r="F1131" t="inlineStr">
        <is>
          <t>GÄVLEBORGS LÄN</t>
        </is>
      </c>
      <c r="G1131" t="inlineStr">
        <is>
          <t>BOLLNÄS</t>
        </is>
      </c>
      <c r="I1131" t="n">
        <v>0.5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inlineStr"/>
    </row>
    <row r="1132" ht="15" customHeight="1">
      <c r="A1132" t="inlineStr">
        <is>
          <t>A 9609-2026</t>
        </is>
      </c>
      <c r="B1132" t="inlineStr">
        <is>
          <t>avverkningsanmälan</t>
        </is>
      </c>
      <c r="C1132" t="inlineStr">
        <is>
          <t>Föryngringsavverkning</t>
        </is>
      </c>
      <c r="D1132" s="1" t="n">
        <v>46072</v>
      </c>
      <c r="E1132" s="1" t="n">
        <v>46313</v>
      </c>
      <c r="F1132" t="inlineStr">
        <is>
          <t>GÄVLEBORGS LÄN</t>
        </is>
      </c>
      <c r="G1132" t="inlineStr">
        <is>
          <t>BOLLNÄS</t>
        </is>
      </c>
      <c r="I1132" t="n">
        <v>2.8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inlineStr"/>
    </row>
    <row r="1133" ht="15" customHeight="1">
      <c r="A1133" t="inlineStr">
        <is>
          <t>A 10062-2026</t>
        </is>
      </c>
      <c r="B1133" t="inlineStr">
        <is>
          <t>avverkningsanmälan</t>
        </is>
      </c>
      <c r="C1133" t="inlineStr">
        <is>
          <t>Föryngringsavverkning</t>
        </is>
      </c>
      <c r="D1133" s="1" t="n">
        <v>46073</v>
      </c>
      <c r="E1133" s="1" t="n">
        <v>46313</v>
      </c>
      <c r="F1133" t="inlineStr">
        <is>
          <t>GÄVLEBORGS LÄN</t>
        </is>
      </c>
      <c r="G1133" t="inlineStr">
        <is>
          <t>BOLLNÄS</t>
        </is>
      </c>
      <c r="I1133" t="n">
        <v>1.1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inlineStr"/>
    </row>
    <row r="1134" ht="15" customHeight="1">
      <c r="A1134" t="inlineStr">
        <is>
          <t>A 10811-2026</t>
        </is>
      </c>
      <c r="B1134" t="inlineStr">
        <is>
          <t>avverkningsanmälan</t>
        </is>
      </c>
      <c r="C1134" t="inlineStr">
        <is>
          <t>Föryngringsavverkning</t>
        </is>
      </c>
      <c r="D1134" s="1" t="n">
        <v>46078</v>
      </c>
      <c r="E1134" s="1" t="n">
        <v>46313</v>
      </c>
      <c r="F1134" t="inlineStr">
        <is>
          <t>GÄVLEBORGS LÄN</t>
        </is>
      </c>
      <c r="G1134" t="inlineStr">
        <is>
          <t>BOLLNÄS</t>
        </is>
      </c>
      <c r="I1134" t="n">
        <v>3.6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inlineStr"/>
    </row>
    <row r="1135" ht="15" customHeight="1">
      <c r="A1135" t="inlineStr">
        <is>
          <t>A 10834-2026</t>
        </is>
      </c>
      <c r="B1135" t="inlineStr">
        <is>
          <t>avverkningsanmälan</t>
        </is>
      </c>
      <c r="C1135" t="inlineStr">
        <is>
          <t>Föryngringsavverkning</t>
        </is>
      </c>
      <c r="D1135" s="1" t="n">
        <v>46078</v>
      </c>
      <c r="E1135" s="1" t="n">
        <v>46313</v>
      </c>
      <c r="F1135" t="inlineStr">
        <is>
          <t>GÄVLEBORGS LÄN</t>
        </is>
      </c>
      <c r="G1135" t="inlineStr">
        <is>
          <t>BOLLNÄS</t>
        </is>
      </c>
      <c r="I1135" t="n">
        <v>4.7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inlineStr"/>
    </row>
    <row r="1136" ht="15" customHeight="1">
      <c r="A1136" t="inlineStr">
        <is>
          <t>A 27318-2026</t>
        </is>
      </c>
      <c r="B1136" t="inlineStr">
        <is>
          <t>avverkningsanmälan</t>
        </is>
      </c>
      <c r="C1136" t="inlineStr">
        <is>
          <t>Föryngringsavverkning</t>
        </is>
      </c>
      <c r="D1136" s="1" t="n">
        <v>46188</v>
      </c>
      <c r="E1136" s="1" t="n">
        <v>46313</v>
      </c>
      <c r="F1136" t="inlineStr">
        <is>
          <t>GÄVLEBORGS LÄN</t>
        </is>
      </c>
      <c r="G1136" t="inlineStr">
        <is>
          <t>BOLLNÄS</t>
        </is>
      </c>
      <c r="I1136" t="n">
        <v>2.2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inlineStr"/>
    </row>
    <row r="1137" ht="15" customHeight="1">
      <c r="A1137" t="inlineStr">
        <is>
          <t>A 10124-2026</t>
        </is>
      </c>
      <c r="B1137" t="inlineStr">
        <is>
          <t>avverkningsanmälan</t>
        </is>
      </c>
      <c r="C1137" t="inlineStr">
        <is>
          <t>Föryngringsavverkning</t>
        </is>
      </c>
      <c r="D1137" s="1" t="n">
        <v>46075</v>
      </c>
      <c r="E1137" s="1" t="n">
        <v>46313</v>
      </c>
      <c r="F1137" t="inlineStr">
        <is>
          <t>GÄVLEBORGS LÄN</t>
        </is>
      </c>
      <c r="G1137" t="inlineStr">
        <is>
          <t>BOLLNÄS</t>
        </is>
      </c>
      <c r="I1137" t="n">
        <v>1.1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inlineStr"/>
    </row>
    <row r="1138" ht="15" customHeight="1">
      <c r="A1138" t="inlineStr">
        <is>
          <t>A 10365-2026</t>
        </is>
      </c>
      <c r="B1138" t="inlineStr">
        <is>
          <t>avverkningsanmälan</t>
        </is>
      </c>
      <c r="C1138" t="inlineStr">
        <is>
          <t>Föryngringsavverkning</t>
        </is>
      </c>
      <c r="D1138" s="1" t="n">
        <v>46076</v>
      </c>
      <c r="E1138" s="1" t="n">
        <v>46313</v>
      </c>
      <c r="F1138" t="inlineStr">
        <is>
          <t>GÄVLEBORGS LÄN</t>
        </is>
      </c>
      <c r="G1138" t="inlineStr">
        <is>
          <t>BOLLNÄS</t>
        </is>
      </c>
      <c r="I1138" t="n">
        <v>2.8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inlineStr"/>
    </row>
    <row r="1139" ht="15" customHeight="1">
      <c r="A1139" t="inlineStr">
        <is>
          <t>A 10367-2026</t>
        </is>
      </c>
      <c r="B1139" t="inlineStr">
        <is>
          <t>avverkningsanmälan</t>
        </is>
      </c>
      <c r="C1139" t="inlineStr">
        <is>
          <t>Föryngringsavverkning</t>
        </is>
      </c>
      <c r="D1139" s="1" t="n">
        <v>46076</v>
      </c>
      <c r="E1139" s="1" t="n">
        <v>46313</v>
      </c>
      <c r="F1139" t="inlineStr">
        <is>
          <t>GÄVLEBORGS LÄN</t>
        </is>
      </c>
      <c r="G1139" t="inlineStr">
        <is>
          <t>BOLLNÄS</t>
        </is>
      </c>
      <c r="I1139" t="n">
        <v>1.6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inlineStr"/>
    </row>
    <row r="1140" ht="15" customHeight="1">
      <c r="A1140" t="inlineStr">
        <is>
          <t>A 10652-2026</t>
        </is>
      </c>
      <c r="B1140" t="inlineStr">
        <is>
          <t>avverkningsanmälan</t>
        </is>
      </c>
      <c r="C1140" t="inlineStr">
        <is>
          <t>Föryngringsavverkning</t>
        </is>
      </c>
      <c r="D1140" s="1" t="n">
        <v>46078</v>
      </c>
      <c r="E1140" s="1" t="n">
        <v>46313</v>
      </c>
      <c r="F1140" t="inlineStr">
        <is>
          <t>GÄVLEBORGS LÄN</t>
        </is>
      </c>
      <c r="G1140" t="inlineStr">
        <is>
          <t>BOLLNÄS</t>
        </is>
      </c>
      <c r="I1140" t="n">
        <v>11.6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inlineStr"/>
    </row>
    <row r="1141" ht="15" customHeight="1">
      <c r="A1141" t="inlineStr">
        <is>
          <t>A 26909-2026</t>
        </is>
      </c>
      <c r="B1141" t="inlineStr">
        <is>
          <t>avverkningsanmälan</t>
        </is>
      </c>
      <c r="C1141" t="inlineStr">
        <is>
          <t>Föryngringsavverkning</t>
        </is>
      </c>
      <c r="D1141" s="1" t="n">
        <v>46185</v>
      </c>
      <c r="E1141" s="1" t="n">
        <v>46313</v>
      </c>
      <c r="F1141" t="inlineStr">
        <is>
          <t>GÄVLEBORGS LÄN</t>
        </is>
      </c>
      <c r="G1141" t="inlineStr">
        <is>
          <t>BOLLNÄS</t>
        </is>
      </c>
      <c r="I1141" t="n">
        <v>2.5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inlineStr"/>
    </row>
    <row r="1142" ht="15" customHeight="1">
      <c r="A1142" t="inlineStr">
        <is>
          <t>A 26910-2026</t>
        </is>
      </c>
      <c r="B1142" t="inlineStr">
        <is>
          <t>avverkningsanmälan</t>
        </is>
      </c>
      <c r="C1142" t="inlineStr">
        <is>
          <t>Föryngringsavverkning</t>
        </is>
      </c>
      <c r="D1142" s="1" t="n">
        <v>46185</v>
      </c>
      <c r="E1142" s="1" t="n">
        <v>46313</v>
      </c>
      <c r="F1142" t="inlineStr">
        <is>
          <t>GÄVLEBORGS LÄN</t>
        </is>
      </c>
      <c r="G1142" t="inlineStr">
        <is>
          <t>BOLLNÄS</t>
        </is>
      </c>
      <c r="I1142" t="n">
        <v>2.7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inlineStr"/>
    </row>
    <row r="1143" ht="15" customHeight="1">
      <c r="A1143" t="inlineStr">
        <is>
          <t>A 10683-2026</t>
        </is>
      </c>
      <c r="B1143" t="inlineStr">
        <is>
          <t>avverkningsanmälan</t>
        </is>
      </c>
      <c r="C1143" t="inlineStr">
        <is>
          <t>Föryngringsavverkning</t>
        </is>
      </c>
      <c r="D1143" s="1" t="n">
        <v>46078</v>
      </c>
      <c r="E1143" s="1" t="n">
        <v>46313</v>
      </c>
      <c r="F1143" t="inlineStr">
        <is>
          <t>GÄVLEBORGS LÄN</t>
        </is>
      </c>
      <c r="G1143" t="inlineStr">
        <is>
          <t>BOLLNÄS</t>
        </is>
      </c>
      <c r="I1143" t="n">
        <v>0.6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inlineStr"/>
    </row>
    <row r="1144" ht="15" customHeight="1">
      <c r="A1144" t="inlineStr">
        <is>
          <t>A 10828-2026</t>
        </is>
      </c>
      <c r="B1144" t="inlineStr">
        <is>
          <t>avverkningsanmälan</t>
        </is>
      </c>
      <c r="C1144" t="inlineStr">
        <is>
          <t>Föryngringsavverkning</t>
        </is>
      </c>
      <c r="D1144" s="1" t="n">
        <v>46078</v>
      </c>
      <c r="E1144" s="1" t="n">
        <v>46313</v>
      </c>
      <c r="F1144" t="inlineStr">
        <is>
          <t>GÄVLEBORGS LÄN</t>
        </is>
      </c>
      <c r="G1144" t="inlineStr">
        <is>
          <t>BOLLNÄS</t>
        </is>
      </c>
      <c r="H1144" t="inlineStr">
        <is>
          <t>Bergvik skog väst AB</t>
        </is>
      </c>
      <c r="I1144" t="n">
        <v>2.7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inlineStr"/>
    </row>
    <row r="1145" ht="15" customHeight="1">
      <c r="A1145" t="inlineStr">
        <is>
          <t>A 10687-2026</t>
        </is>
      </c>
      <c r="B1145" t="inlineStr">
        <is>
          <t>avverkningsanmälan</t>
        </is>
      </c>
      <c r="C1145" t="inlineStr">
        <is>
          <t>Föryngringsavverkning</t>
        </is>
      </c>
      <c r="D1145" s="1" t="n">
        <v>46078</v>
      </c>
      <c r="E1145" s="1" t="n">
        <v>46313</v>
      </c>
      <c r="F1145" t="inlineStr">
        <is>
          <t>GÄVLEBORGS LÄN</t>
        </is>
      </c>
      <c r="G1145" t="inlineStr">
        <is>
          <t>BOLLNÄS</t>
        </is>
      </c>
      <c r="I1145" t="n">
        <v>2.8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inlineStr"/>
    </row>
    <row r="1146" ht="15" customHeight="1">
      <c r="A1146" t="inlineStr">
        <is>
          <t>A 10259-2026</t>
        </is>
      </c>
      <c r="B1146" t="inlineStr">
        <is>
          <t>avverkningsanmälan</t>
        </is>
      </c>
      <c r="C1146" t="inlineStr">
        <is>
          <t>Föryngringsavverkning</t>
        </is>
      </c>
      <c r="D1146" s="1" t="n">
        <v>46076</v>
      </c>
      <c r="E1146" s="1" t="n">
        <v>46313</v>
      </c>
      <c r="F1146" t="inlineStr">
        <is>
          <t>GÄVLEBORGS LÄN</t>
        </is>
      </c>
      <c r="G1146" t="inlineStr">
        <is>
          <t>BOLLNÄS</t>
        </is>
      </c>
      <c r="I1146" t="n">
        <v>5.4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inlineStr"/>
    </row>
    <row r="1147" ht="15" customHeight="1">
      <c r="A1147" t="inlineStr">
        <is>
          <t>A 10316-2026</t>
        </is>
      </c>
      <c r="B1147" t="inlineStr">
        <is>
          <t>avverkningsanmälan</t>
        </is>
      </c>
      <c r="C1147" t="inlineStr">
        <is>
          <t>Föryngringsavverkning</t>
        </is>
      </c>
      <c r="D1147" s="1" t="n">
        <v>46076</v>
      </c>
      <c r="E1147" s="1" t="n">
        <v>46313</v>
      </c>
      <c r="F1147" t="inlineStr">
        <is>
          <t>GÄVLEBORGS LÄN</t>
        </is>
      </c>
      <c r="G1147" t="inlineStr">
        <is>
          <t>BOLLNÄS</t>
        </is>
      </c>
      <c r="I1147" t="n">
        <v>2.1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inlineStr"/>
    </row>
    <row r="1148" ht="15" customHeight="1">
      <c r="A1148" t="inlineStr">
        <is>
          <t>A 10528-2026</t>
        </is>
      </c>
      <c r="B1148" t="inlineStr">
        <is>
          <t>avverkningsanmälan</t>
        </is>
      </c>
      <c r="C1148" t="inlineStr">
        <is>
          <t>Föryngringsavverkning</t>
        </is>
      </c>
      <c r="D1148" s="1" t="n">
        <v>46077</v>
      </c>
      <c r="E1148" s="1" t="n">
        <v>46313</v>
      </c>
      <c r="F1148" t="inlineStr">
        <is>
          <t>GÄVLEBORGS LÄN</t>
        </is>
      </c>
      <c r="G1148" t="inlineStr">
        <is>
          <t>BOLLNÄS</t>
        </is>
      </c>
      <c r="H1148" t="inlineStr">
        <is>
          <t>Bergvik skog väst AB</t>
        </is>
      </c>
      <c r="I1148" t="n">
        <v>0.5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inlineStr"/>
    </row>
    <row r="1149" ht="15" customHeight="1">
      <c r="A1149" t="inlineStr">
        <is>
          <t>A 10455-2026</t>
        </is>
      </c>
      <c r="B1149" t="inlineStr">
        <is>
          <t>avverkningsanmälan</t>
        </is>
      </c>
      <c r="C1149" t="inlineStr">
        <is>
          <t>Föryngringsavverkning</t>
        </is>
      </c>
      <c r="D1149" s="1" t="n">
        <v>46077</v>
      </c>
      <c r="E1149" s="1" t="n">
        <v>46313</v>
      </c>
      <c r="F1149" t="inlineStr">
        <is>
          <t>GÄVLEBORGS LÄN</t>
        </is>
      </c>
      <c r="G1149" t="inlineStr">
        <is>
          <t>BOLLNÄS</t>
        </is>
      </c>
      <c r="I1149" t="n">
        <v>3.2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inlineStr"/>
    </row>
    <row r="1150" ht="15" customHeight="1">
      <c r="A1150" t="inlineStr">
        <is>
          <t>A 10724-2026</t>
        </is>
      </c>
      <c r="B1150" t="inlineStr">
        <is>
          <t>avverkningsanmälan</t>
        </is>
      </c>
      <c r="C1150" t="inlineStr">
        <is>
          <t>Föryngringsavverkning</t>
        </is>
      </c>
      <c r="D1150" s="1" t="n">
        <v>46078</v>
      </c>
      <c r="E1150" s="1" t="n">
        <v>46313</v>
      </c>
      <c r="F1150" t="inlineStr">
        <is>
          <t>GÄVLEBORGS LÄN</t>
        </is>
      </c>
      <c r="G1150" t="inlineStr">
        <is>
          <t>BOLLNÄS</t>
        </is>
      </c>
      <c r="I1150" t="n">
        <v>2.7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inlineStr"/>
    </row>
    <row r="1151" ht="15" customHeight="1">
      <c r="A1151" t="inlineStr">
        <is>
          <t>A 10810-2026</t>
        </is>
      </c>
      <c r="B1151" t="inlineStr">
        <is>
          <t>avverkningsanmälan</t>
        </is>
      </c>
      <c r="C1151" t="inlineStr">
        <is>
          <t>Föryngringsavverkning</t>
        </is>
      </c>
      <c r="D1151" s="1" t="n">
        <v>46078</v>
      </c>
      <c r="E1151" s="1" t="n">
        <v>46313</v>
      </c>
      <c r="F1151" t="inlineStr">
        <is>
          <t>GÄVLEBORGS LÄN</t>
        </is>
      </c>
      <c r="G1151" t="inlineStr">
        <is>
          <t>BOLLNÄS</t>
        </is>
      </c>
      <c r="I1151" t="n">
        <v>4.9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inlineStr"/>
    </row>
    <row r="1152" ht="15" customHeight="1">
      <c r="A1152" t="inlineStr">
        <is>
          <t>A 10830-2026</t>
        </is>
      </c>
      <c r="B1152" t="inlineStr">
        <is>
          <t>avverkningsanmälan</t>
        </is>
      </c>
      <c r="C1152" t="inlineStr">
        <is>
          <t>Föryngringsavverkning</t>
        </is>
      </c>
      <c r="D1152" s="1" t="n">
        <v>46078</v>
      </c>
      <c r="E1152" s="1" t="n">
        <v>46313</v>
      </c>
      <c r="F1152" t="inlineStr">
        <is>
          <t>GÄVLEBORGS LÄN</t>
        </is>
      </c>
      <c r="G1152" t="inlineStr">
        <is>
          <t>BOLLNÄS</t>
        </is>
      </c>
      <c r="I1152" t="n">
        <v>1.9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inlineStr"/>
    </row>
    <row r="1153" ht="15" customHeight="1">
      <c r="A1153" t="inlineStr">
        <is>
          <t>A 38268-2023</t>
        </is>
      </c>
      <c r="B1153" t="inlineStr">
        <is>
          <t>avverkningsanmälan</t>
        </is>
      </c>
      <c r="C1153" t="inlineStr">
        <is>
          <t>Föryngringsavverkning</t>
        </is>
      </c>
      <c r="D1153" s="1" t="n">
        <v>45161</v>
      </c>
      <c r="E1153" s="1" t="n">
        <v>46313</v>
      </c>
      <c r="F1153" t="inlineStr">
        <is>
          <t>GÄVLEBORGS LÄN</t>
        </is>
      </c>
      <c r="G1153" t="inlineStr">
        <is>
          <t>BOLLNÄS</t>
        </is>
      </c>
      <c r="I1153" t="n">
        <v>2.2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inlineStr"/>
    </row>
    <row r="1154" ht="15" customHeight="1">
      <c r="A1154" t="inlineStr">
        <is>
          <t>A 10505-2026</t>
        </is>
      </c>
      <c r="B1154" t="inlineStr">
        <is>
          <t>avverkningsanmälan</t>
        </is>
      </c>
      <c r="C1154" t="inlineStr">
        <is>
          <t>Föryngringsavverkning</t>
        </is>
      </c>
      <c r="D1154" s="1" t="n">
        <v>46077</v>
      </c>
      <c r="E1154" s="1" t="n">
        <v>46313</v>
      </c>
      <c r="F1154" t="inlineStr">
        <is>
          <t>GÄVLEBORGS LÄN</t>
        </is>
      </c>
      <c r="G1154" t="inlineStr">
        <is>
          <t>BOLLNÄS</t>
        </is>
      </c>
      <c r="I1154" t="n">
        <v>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inlineStr"/>
      <c r="Z1154">
        <f>HYPERLINK("https://klasma.github.io/Logging_2183/knärot/A 10505-2026 karta knärot.png", "A 10505-2026")</f>
        <v/>
      </c>
      <c r="AA1154">
        <f>HYPERLINK("https://klasma.github.io/Logging_2183/klagomål/A 10505-2026 FSC-klagomål.docx", "A 10505-2026")</f>
        <v/>
      </c>
      <c r="AB1154">
        <f>HYPERLINK("https://klasma.github.io/Logging_2183/klagomålsmail/A 10505-2026 FSC-klagomål mail.docx", "A 10505-2026")</f>
        <v/>
      </c>
      <c r="AC1154">
        <f>HYPERLINK("https://klasma.github.io/Logging_2183/tillsyn/A 10505-2026 tillsynsbegäran.docx", "A 10505-2026")</f>
        <v/>
      </c>
      <c r="AD1154">
        <f>HYPERLINK("https://klasma.github.io/Logging_2183/tillsynsmail/A 10505-2026 tillsynsbegäran mail.docx", "A 10505-2026")</f>
        <v/>
      </c>
    </row>
    <row r="1155" ht="15" customHeight="1">
      <c r="A1155" t="inlineStr">
        <is>
          <t>A 10736-2026</t>
        </is>
      </c>
      <c r="B1155" t="inlineStr">
        <is>
          <t>avverkningsanmälan</t>
        </is>
      </c>
      <c r="C1155" t="inlineStr">
        <is>
          <t>Föryngringsavverkning</t>
        </is>
      </c>
      <c r="D1155" s="1" t="n">
        <v>46078</v>
      </c>
      <c r="E1155" s="1" t="n">
        <v>46313</v>
      </c>
      <c r="F1155" t="inlineStr">
        <is>
          <t>GÄVLEBORGS LÄN</t>
        </is>
      </c>
      <c r="G1155" t="inlineStr">
        <is>
          <t>BOLLNÄS</t>
        </is>
      </c>
      <c r="I1155" t="n">
        <v>3.1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inlineStr"/>
    </row>
    <row r="1156" ht="15" customHeight="1">
      <c r="A1156" t="inlineStr">
        <is>
          <t>A 10748-2026</t>
        </is>
      </c>
      <c r="B1156" t="inlineStr">
        <is>
          <t>avverkningsanmälan</t>
        </is>
      </c>
      <c r="C1156" t="inlineStr">
        <is>
          <t>Föryngringsavverkning</t>
        </is>
      </c>
      <c r="D1156" s="1" t="n">
        <v>46078</v>
      </c>
      <c r="E1156" s="1" t="n">
        <v>46313</v>
      </c>
      <c r="F1156" t="inlineStr">
        <is>
          <t>GÄVLEBORGS LÄN</t>
        </is>
      </c>
      <c r="G1156" t="inlineStr">
        <is>
          <t>BOLLNÄS</t>
        </is>
      </c>
      <c r="I1156" t="n">
        <v>5.8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inlineStr"/>
    </row>
    <row r="1157" ht="15" customHeight="1">
      <c r="A1157" t="inlineStr">
        <is>
          <t>A 10880-2026</t>
        </is>
      </c>
      <c r="B1157" t="inlineStr">
        <is>
          <t>avverkningsanmälan</t>
        </is>
      </c>
      <c r="C1157" t="inlineStr">
        <is>
          <t>Föryngringsavverkning</t>
        </is>
      </c>
      <c r="D1157" s="1" t="n">
        <v>46078</v>
      </c>
      <c r="E1157" s="1" t="n">
        <v>46313</v>
      </c>
      <c r="F1157" t="inlineStr">
        <is>
          <t>GÄVLEBORGS LÄN</t>
        </is>
      </c>
      <c r="G1157" t="inlineStr">
        <is>
          <t>BOLLNÄS</t>
        </is>
      </c>
      <c r="I1157" t="n">
        <v>1.7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inlineStr"/>
    </row>
    <row r="1158" ht="15" customHeight="1">
      <c r="A1158" t="inlineStr">
        <is>
          <t>A 10857-2026</t>
        </is>
      </c>
      <c r="B1158" t="inlineStr">
        <is>
          <t>avverkningsanmälan</t>
        </is>
      </c>
      <c r="C1158" t="inlineStr">
        <is>
          <t>Föryngringsavverkning</t>
        </is>
      </c>
      <c r="D1158" s="1" t="n">
        <v>46078</v>
      </c>
      <c r="E1158" s="1" t="n">
        <v>46313</v>
      </c>
      <c r="F1158" t="inlineStr">
        <is>
          <t>GÄVLEBORGS LÄN</t>
        </is>
      </c>
      <c r="G1158" t="inlineStr">
        <is>
          <t>BOLLNÄS</t>
        </is>
      </c>
      <c r="I1158" t="n">
        <v>6.4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inlineStr"/>
    </row>
    <row r="1159" ht="15" customHeight="1">
      <c r="A1159" t="inlineStr">
        <is>
          <t>A 10120-2026</t>
        </is>
      </c>
      <c r="B1159" t="inlineStr">
        <is>
          <t>avverkningsanmälan</t>
        </is>
      </c>
      <c r="C1159" t="inlineStr">
        <is>
          <t>Avverkning för annat ändamål</t>
        </is>
      </c>
      <c r="D1159" s="1" t="n">
        <v>46075</v>
      </c>
      <c r="E1159" s="1" t="n">
        <v>46313</v>
      </c>
      <c r="F1159" t="inlineStr">
        <is>
          <t>GÄVLEBORGS LÄN</t>
        </is>
      </c>
      <c r="G1159" t="inlineStr">
        <is>
          <t>BOLLNÄS</t>
        </is>
      </c>
      <c r="I1159" t="n">
        <v>0.5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inlineStr"/>
    </row>
    <row r="1160" ht="15" customHeight="1">
      <c r="A1160" t="inlineStr">
        <is>
          <t>A 10126-2026</t>
        </is>
      </c>
      <c r="B1160" t="inlineStr">
        <is>
          <t>avverkningsanmälan</t>
        </is>
      </c>
      <c r="C1160" t="inlineStr">
        <is>
          <t>Föryngringsavverkning</t>
        </is>
      </c>
      <c r="D1160" s="1" t="n">
        <v>46075</v>
      </c>
      <c r="E1160" s="1" t="n">
        <v>46313</v>
      </c>
      <c r="F1160" t="inlineStr">
        <is>
          <t>GÄVLEBORGS LÄN</t>
        </is>
      </c>
      <c r="G1160" t="inlineStr">
        <is>
          <t>BOLLNÄS</t>
        </is>
      </c>
      <c r="I1160" t="n">
        <v>0.9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inlineStr"/>
    </row>
    <row r="1161" ht="15" customHeight="1">
      <c r="A1161" t="inlineStr">
        <is>
          <t>A 10890-2026</t>
        </is>
      </c>
      <c r="B1161" t="inlineStr">
        <is>
          <t>avverkningsanmälan</t>
        </is>
      </c>
      <c r="C1161" t="inlineStr">
        <is>
          <t>Föryngringsavverkning</t>
        </is>
      </c>
      <c r="D1161" s="1" t="n">
        <v>46078</v>
      </c>
      <c r="E1161" s="1" t="n">
        <v>46313</v>
      </c>
      <c r="F1161" t="inlineStr">
        <is>
          <t>GÄVLEBORGS LÄN</t>
        </is>
      </c>
      <c r="G1161" t="inlineStr">
        <is>
          <t>BOLLNÄS</t>
        </is>
      </c>
      <c r="I1161" t="n">
        <v>0.5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inlineStr"/>
    </row>
    <row r="1162" ht="15" customHeight="1">
      <c r="A1162" t="inlineStr">
        <is>
          <t>A 10956-2026</t>
        </is>
      </c>
      <c r="B1162" t="inlineStr">
        <is>
          <t>avverkningsanmälan</t>
        </is>
      </c>
      <c r="C1162" t="inlineStr">
        <is>
          <t>Föryngringsavverkning</t>
        </is>
      </c>
      <c r="D1162" s="1" t="n">
        <v>46079</v>
      </c>
      <c r="E1162" s="1" t="n">
        <v>46313</v>
      </c>
      <c r="F1162" t="inlineStr">
        <is>
          <t>GÄVLEBORGS LÄN</t>
        </is>
      </c>
      <c r="G1162" t="inlineStr">
        <is>
          <t>BOLLNÄS</t>
        </is>
      </c>
      <c r="H1162" t="inlineStr">
        <is>
          <t>Bergvik skog väst AB</t>
        </is>
      </c>
      <c r="I1162" t="n">
        <v>0.6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inlineStr"/>
    </row>
    <row r="1163" ht="15" customHeight="1">
      <c r="A1163" t="inlineStr">
        <is>
          <t>A 11118-2026</t>
        </is>
      </c>
      <c r="B1163" t="inlineStr">
        <is>
          <t>avverkningsanmälan</t>
        </is>
      </c>
      <c r="C1163" t="inlineStr">
        <is>
          <t>Föryngringsavverkning</t>
        </is>
      </c>
      <c r="D1163" s="1" t="n">
        <v>46079</v>
      </c>
      <c r="E1163" s="1" t="n">
        <v>46313</v>
      </c>
      <c r="F1163" t="inlineStr">
        <is>
          <t>GÄVLEBORGS LÄN</t>
        </is>
      </c>
      <c r="G1163" t="inlineStr">
        <is>
          <t>BOLLNÄS</t>
        </is>
      </c>
      <c r="I1163" t="n">
        <v>3.5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inlineStr"/>
    </row>
    <row r="1164" ht="15" customHeight="1">
      <c r="A1164" t="inlineStr">
        <is>
          <t>A 30792-2024</t>
        </is>
      </c>
      <c r="B1164" t="inlineStr">
        <is>
          <t>avverkningsanmälan</t>
        </is>
      </c>
      <c r="C1164" t="inlineStr">
        <is>
          <t>Föryngringsavverkning</t>
        </is>
      </c>
      <c r="D1164" s="1" t="n">
        <v>45497</v>
      </c>
      <c r="E1164" s="1" t="n">
        <v>46313</v>
      </c>
      <c r="F1164" t="inlineStr">
        <is>
          <t>GÄVLEBORGS LÄN</t>
        </is>
      </c>
      <c r="G1164" t="inlineStr">
        <is>
          <t>BOLLNÄS</t>
        </is>
      </c>
      <c r="I1164" t="n">
        <v>0.6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inlineStr"/>
    </row>
    <row r="1165" ht="15" customHeight="1">
      <c r="A1165" t="inlineStr">
        <is>
          <t>A 30793-2024</t>
        </is>
      </c>
      <c r="B1165" t="inlineStr">
        <is>
          <t>avverkningsanmälan</t>
        </is>
      </c>
      <c r="C1165" t="inlineStr">
        <is>
          <t>Föryngringsavverkning</t>
        </is>
      </c>
      <c r="D1165" s="1" t="n">
        <v>45497</v>
      </c>
      <c r="E1165" s="1" t="n">
        <v>46313</v>
      </c>
      <c r="F1165" t="inlineStr">
        <is>
          <t>GÄVLEBORGS LÄN</t>
        </is>
      </c>
      <c r="G1165" t="inlineStr">
        <is>
          <t>BOLLNÄS</t>
        </is>
      </c>
      <c r="I1165" t="n">
        <v>0.6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inlineStr"/>
    </row>
    <row r="1166" ht="15" customHeight="1">
      <c r="A1166" t="inlineStr">
        <is>
          <t>A 11241-2026</t>
        </is>
      </c>
      <c r="B1166" t="inlineStr">
        <is>
          <t>avverkningsanmälan</t>
        </is>
      </c>
      <c r="C1166" t="inlineStr">
        <is>
          <t>Föryngringsavverkning</t>
        </is>
      </c>
      <c r="D1166" s="1" t="n">
        <v>46080</v>
      </c>
      <c r="E1166" s="1" t="n">
        <v>46313</v>
      </c>
      <c r="F1166" t="inlineStr">
        <is>
          <t>GÄVLEBORGS LÄN</t>
        </is>
      </c>
      <c r="G1166" t="inlineStr">
        <is>
          <t>BOLLNÄS</t>
        </is>
      </c>
      <c r="I1166" t="n">
        <v>1.3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inlineStr"/>
    </row>
    <row r="1167" ht="15" customHeight="1">
      <c r="A1167" t="inlineStr">
        <is>
          <t>A 11309-2026</t>
        </is>
      </c>
      <c r="B1167" t="inlineStr">
        <is>
          <t>avverkningsanmälan</t>
        </is>
      </c>
      <c r="C1167" t="inlineStr">
        <is>
          <t>Avverkning för annat ändamål</t>
        </is>
      </c>
      <c r="D1167" s="1" t="n">
        <v>46080</v>
      </c>
      <c r="E1167" s="1" t="n">
        <v>46313</v>
      </c>
      <c r="F1167" t="inlineStr">
        <is>
          <t>GÄVLEBORGS LÄN</t>
        </is>
      </c>
      <c r="G1167" t="inlineStr">
        <is>
          <t>BOLLNÄS</t>
        </is>
      </c>
      <c r="I1167" t="n">
        <v>0.5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inlineStr"/>
    </row>
    <row r="1168" ht="15" customHeight="1">
      <c r="A1168" t="inlineStr">
        <is>
          <t>A 11019-2026</t>
        </is>
      </c>
      <c r="B1168" t="inlineStr">
        <is>
          <t>avverkningsanmälan</t>
        </is>
      </c>
      <c r="C1168" t="inlineStr">
        <is>
          <t>Föryngringsavverkning</t>
        </is>
      </c>
      <c r="D1168" s="1" t="n">
        <v>46079</v>
      </c>
      <c r="E1168" s="1" t="n">
        <v>46313</v>
      </c>
      <c r="F1168" t="inlineStr">
        <is>
          <t>GÄVLEBORGS LÄN</t>
        </is>
      </c>
      <c r="G1168" t="inlineStr">
        <is>
          <t>BOLLNÄS</t>
        </is>
      </c>
      <c r="H1168" t="inlineStr">
        <is>
          <t>Bergvik skog väst AB</t>
        </is>
      </c>
      <c r="I1168" t="n">
        <v>2.4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inlineStr"/>
    </row>
    <row r="1169" ht="15" customHeight="1">
      <c r="A1169" t="inlineStr">
        <is>
          <t>A 10923-2026</t>
        </is>
      </c>
      <c r="B1169" t="inlineStr">
        <is>
          <t>avverkningsanmälan</t>
        </is>
      </c>
      <c r="C1169" t="inlineStr">
        <is>
          <t>Föryngringsavverkning</t>
        </is>
      </c>
      <c r="D1169" s="1" t="n">
        <v>46079</v>
      </c>
      <c r="E1169" s="1" t="n">
        <v>46313</v>
      </c>
      <c r="F1169" t="inlineStr">
        <is>
          <t>GÄVLEBORGS LÄN</t>
        </is>
      </c>
      <c r="G1169" t="inlineStr">
        <is>
          <t>BOLLNÄS</t>
        </is>
      </c>
      <c r="I1169" t="n">
        <v>3.8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inlineStr"/>
    </row>
    <row r="1170" ht="15" customHeight="1">
      <c r="A1170" t="inlineStr">
        <is>
          <t>A 26977-2026</t>
        </is>
      </c>
      <c r="B1170" t="inlineStr">
        <is>
          <t>avverkningsanmälan</t>
        </is>
      </c>
      <c r="C1170" t="inlineStr">
        <is>
          <t>Föryngringsavverkning</t>
        </is>
      </c>
      <c r="D1170" s="1" t="n">
        <v>46185</v>
      </c>
      <c r="E1170" s="1" t="n">
        <v>46313</v>
      </c>
      <c r="F1170" t="inlineStr">
        <is>
          <t>GÄVLEBORGS LÄN</t>
        </is>
      </c>
      <c r="G1170" t="inlineStr">
        <is>
          <t>BOLLNÄS</t>
        </is>
      </c>
      <c r="I1170" t="n">
        <v>3.4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inlineStr"/>
    </row>
    <row r="1171" ht="15" customHeight="1">
      <c r="A1171" t="inlineStr">
        <is>
          <t>A 2348-2024</t>
        </is>
      </c>
      <c r="B1171" t="inlineStr">
        <is>
          <t>avverkningsanmälan</t>
        </is>
      </c>
      <c r="C1171" t="inlineStr">
        <is>
          <t>Föryngringsavverkning</t>
        </is>
      </c>
      <c r="D1171" s="1" t="n">
        <v>45310</v>
      </c>
      <c r="E1171" s="1" t="n">
        <v>46313</v>
      </c>
      <c r="F1171" t="inlineStr">
        <is>
          <t>GÄVLEBORGS LÄN</t>
        </is>
      </c>
      <c r="G1171" t="inlineStr">
        <is>
          <t>BOLLNÄS</t>
        </is>
      </c>
      <c r="I1171" t="n">
        <v>0.4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inlineStr"/>
    </row>
    <row r="1172" ht="15" customHeight="1">
      <c r="A1172" t="inlineStr">
        <is>
          <t>A 11133-2026</t>
        </is>
      </c>
      <c r="B1172" t="inlineStr">
        <is>
          <t>avverkningsanmälan</t>
        </is>
      </c>
      <c r="C1172" t="inlineStr">
        <is>
          <t>Föryngringsavverkning</t>
        </is>
      </c>
      <c r="D1172" s="1" t="n">
        <v>46079</v>
      </c>
      <c r="E1172" s="1" t="n">
        <v>46313</v>
      </c>
      <c r="F1172" t="inlineStr">
        <is>
          <t>GÄVLEBORGS LÄN</t>
        </is>
      </c>
      <c r="G1172" t="inlineStr">
        <is>
          <t>BOLLNÄS</t>
        </is>
      </c>
      <c r="I1172" t="n">
        <v>0.6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inlineStr"/>
    </row>
    <row r="1173" ht="15" customHeight="1">
      <c r="A1173" t="inlineStr">
        <is>
          <t>A 27326-2026</t>
        </is>
      </c>
      <c r="B1173" t="inlineStr">
        <is>
          <t>avverkningsanmälan</t>
        </is>
      </c>
      <c r="C1173" t="inlineStr">
        <is>
          <t>Föryngringsavverkning</t>
        </is>
      </c>
      <c r="D1173" s="1" t="n">
        <v>46188</v>
      </c>
      <c r="E1173" s="1" t="n">
        <v>46313</v>
      </c>
      <c r="F1173" t="inlineStr">
        <is>
          <t>GÄVLEBORGS LÄN</t>
        </is>
      </c>
      <c r="G1173" t="inlineStr">
        <is>
          <t>BOLLNÄS</t>
        </is>
      </c>
      <c r="I1173" t="n">
        <v>0.6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inlineStr"/>
    </row>
    <row r="1174" ht="15" customHeight="1">
      <c r="A1174" t="inlineStr">
        <is>
          <t>A 27037-2026</t>
        </is>
      </c>
      <c r="B1174" t="inlineStr">
        <is>
          <t>avverkningsanmälan</t>
        </is>
      </c>
      <c r="C1174" t="inlineStr">
        <is>
          <t>Föryngringsavverkning</t>
        </is>
      </c>
      <c r="D1174" s="1" t="n">
        <v>46185</v>
      </c>
      <c r="E1174" s="1" t="n">
        <v>46313</v>
      </c>
      <c r="F1174" t="inlineStr">
        <is>
          <t>GÄVLEBORGS LÄN</t>
        </is>
      </c>
      <c r="G1174" t="inlineStr">
        <is>
          <t>BOLLNÄS</t>
        </is>
      </c>
      <c r="I1174" t="n">
        <v>0.8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inlineStr"/>
    </row>
    <row r="1175" ht="15" customHeight="1">
      <c r="A1175" t="inlineStr">
        <is>
          <t>A 29881-2024</t>
        </is>
      </c>
      <c r="B1175" t="inlineStr">
        <is>
          <t>avverkningsanmälan</t>
        </is>
      </c>
      <c r="C1175" t="inlineStr">
        <is>
          <t>Föryngringsavverkning</t>
        </is>
      </c>
      <c r="D1175" s="1" t="n">
        <v>45486</v>
      </c>
      <c r="E1175" s="1" t="n">
        <v>46313</v>
      </c>
      <c r="F1175" t="inlineStr">
        <is>
          <t>GÄVLEBORGS LÄN</t>
        </is>
      </c>
      <c r="G1175" t="inlineStr">
        <is>
          <t>BOLLNÄS</t>
        </is>
      </c>
      <c r="I1175" t="n">
        <v>1.4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inlineStr"/>
    </row>
    <row r="1176" ht="15" customHeight="1">
      <c r="A1176" t="inlineStr">
        <is>
          <t>A 11128-2026</t>
        </is>
      </c>
      <c r="B1176" t="inlineStr">
        <is>
          <t>avverkningsanmälan</t>
        </is>
      </c>
      <c r="C1176" t="inlineStr">
        <is>
          <t>Föryngringsavverkning</t>
        </is>
      </c>
      <c r="D1176" s="1" t="n">
        <v>46079</v>
      </c>
      <c r="E1176" s="1" t="n">
        <v>46313</v>
      </c>
      <c r="F1176" t="inlineStr">
        <is>
          <t>GÄVLEBORGS LÄN</t>
        </is>
      </c>
      <c r="G1176" t="inlineStr">
        <is>
          <t>BOLLNÄS</t>
        </is>
      </c>
      <c r="I1176" t="n">
        <v>2.9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inlineStr"/>
    </row>
    <row r="1177" ht="15" customHeight="1">
      <c r="A1177" t="inlineStr">
        <is>
          <t>A 11131-2026</t>
        </is>
      </c>
      <c r="B1177" t="inlineStr">
        <is>
          <t>avverkningsanmälan</t>
        </is>
      </c>
      <c r="C1177" t="inlineStr">
        <is>
          <t>Föryngringsavverkning</t>
        </is>
      </c>
      <c r="D1177" s="1" t="n">
        <v>46079</v>
      </c>
      <c r="E1177" s="1" t="n">
        <v>46313</v>
      </c>
      <c r="F1177" t="inlineStr">
        <is>
          <t>GÄVLEBORGS LÄN</t>
        </is>
      </c>
      <c r="G1177" t="inlineStr">
        <is>
          <t>BOLLNÄS</t>
        </is>
      </c>
      <c r="I1177" t="n">
        <v>1.9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inlineStr"/>
    </row>
    <row r="1178" ht="15" customHeight="1">
      <c r="A1178" t="inlineStr">
        <is>
          <t>A 11166-2026</t>
        </is>
      </c>
      <c r="B1178" t="inlineStr">
        <is>
          <t>avverkningsanmälan</t>
        </is>
      </c>
      <c r="C1178" t="inlineStr">
        <is>
          <t>Föryngringsavverkning</t>
        </is>
      </c>
      <c r="D1178" s="1" t="n">
        <v>46080</v>
      </c>
      <c r="E1178" s="1" t="n">
        <v>46313</v>
      </c>
      <c r="F1178" t="inlineStr">
        <is>
          <t>GÄVLEBORGS LÄN</t>
        </is>
      </c>
      <c r="G1178" t="inlineStr">
        <is>
          <t>BOLLNÄS</t>
        </is>
      </c>
      <c r="I1178" t="n">
        <v>1.2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inlineStr"/>
    </row>
    <row r="1179" ht="15" customHeight="1">
      <c r="A1179" t="inlineStr">
        <is>
          <t>A 11308-2026</t>
        </is>
      </c>
      <c r="B1179" t="inlineStr">
        <is>
          <t>avverkningsanmälan</t>
        </is>
      </c>
      <c r="C1179" t="inlineStr">
        <is>
          <t>Avverkning för annat ändamål</t>
        </is>
      </c>
      <c r="D1179" s="1" t="n">
        <v>46080</v>
      </c>
      <c r="E1179" s="1" t="n">
        <v>46313</v>
      </c>
      <c r="F1179" t="inlineStr">
        <is>
          <t>GÄVLEBORGS LÄN</t>
        </is>
      </c>
      <c r="G1179" t="inlineStr">
        <is>
          <t>BOLLNÄS</t>
        </is>
      </c>
      <c r="I1179" t="n">
        <v>0.7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inlineStr"/>
    </row>
    <row r="1180" ht="15" customHeight="1">
      <c r="A1180" t="inlineStr">
        <is>
          <t>A 11294-2026</t>
        </is>
      </c>
      <c r="B1180" t="inlineStr">
        <is>
          <t>avverkningsanmälan</t>
        </is>
      </c>
      <c r="C1180" t="inlineStr">
        <is>
          <t>Föryngringsavverkning</t>
        </is>
      </c>
      <c r="D1180" s="1" t="n">
        <v>46080</v>
      </c>
      <c r="E1180" s="1" t="n">
        <v>46313</v>
      </c>
      <c r="F1180" t="inlineStr">
        <is>
          <t>GÄVLEBORGS LÄN</t>
        </is>
      </c>
      <c r="G1180" t="inlineStr">
        <is>
          <t>BOLLNÄS</t>
        </is>
      </c>
      <c r="I1180" t="n">
        <v>5.7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inlineStr"/>
    </row>
    <row r="1181" ht="15" customHeight="1">
      <c r="A1181" t="inlineStr">
        <is>
          <t>A 11371-2026</t>
        </is>
      </c>
      <c r="B1181" t="inlineStr">
        <is>
          <t>avverkningsanmälan</t>
        </is>
      </c>
      <c r="C1181" t="inlineStr">
        <is>
          <t>Föryngringsavverkning</t>
        </is>
      </c>
      <c r="D1181" s="1" t="n">
        <v>46083</v>
      </c>
      <c r="E1181" s="1" t="n">
        <v>46313</v>
      </c>
      <c r="F1181" t="inlineStr">
        <is>
          <t>GÄVLEBORGS LÄN</t>
        </is>
      </c>
      <c r="G1181" t="inlineStr">
        <is>
          <t>BOLLNÄS</t>
        </is>
      </c>
      <c r="I1181" t="n">
        <v>0.7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inlineStr"/>
    </row>
    <row r="1182" ht="15" customHeight="1">
      <c r="A1182" t="inlineStr">
        <is>
          <t>A 57887-2025</t>
        </is>
      </c>
      <c r="B1182" t="inlineStr">
        <is>
          <t>avverkningsanmälan</t>
        </is>
      </c>
      <c r="C1182" t="inlineStr">
        <is>
          <t>Avverkning för annat ändamål</t>
        </is>
      </c>
      <c r="D1182" s="1" t="n">
        <v>45981</v>
      </c>
      <c r="E1182" s="1" t="n">
        <v>46313</v>
      </c>
      <c r="F1182" t="inlineStr">
        <is>
          <t>GÄVLEBORGS LÄN</t>
        </is>
      </c>
      <c r="G1182" t="inlineStr">
        <is>
          <t>BOLLNÄS</t>
        </is>
      </c>
      <c r="I1182" t="n">
        <v>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inlineStr"/>
    </row>
    <row r="1183" ht="15" customHeight="1">
      <c r="A1183" t="inlineStr">
        <is>
          <t>A 11367-2026</t>
        </is>
      </c>
      <c r="B1183" t="inlineStr">
        <is>
          <t>avverkningsanmälan</t>
        </is>
      </c>
      <c r="C1183" t="inlineStr">
        <is>
          <t>Föryngringsavverkning</t>
        </is>
      </c>
      <c r="D1183" s="1" t="n">
        <v>46083</v>
      </c>
      <c r="E1183" s="1" t="n">
        <v>46313</v>
      </c>
      <c r="F1183" t="inlineStr">
        <is>
          <t>GÄVLEBORGS LÄN</t>
        </is>
      </c>
      <c r="G1183" t="inlineStr">
        <is>
          <t>BOLLNÄS</t>
        </is>
      </c>
      <c r="I1183" t="n">
        <v>6.6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inlineStr"/>
    </row>
    <row r="1184" ht="15" customHeight="1">
      <c r="A1184" t="inlineStr">
        <is>
          <t>A 11343-2026</t>
        </is>
      </c>
      <c r="B1184" t="inlineStr">
        <is>
          <t>avverkningsanmälan</t>
        </is>
      </c>
      <c r="C1184" t="inlineStr">
        <is>
          <t>Föryngringsavverkning</t>
        </is>
      </c>
      <c r="D1184" s="1" t="n">
        <v>46082</v>
      </c>
      <c r="E1184" s="1" t="n">
        <v>46313</v>
      </c>
      <c r="F1184" t="inlineStr">
        <is>
          <t>GÄVLEBORGS LÄN</t>
        </is>
      </c>
      <c r="G1184" t="inlineStr">
        <is>
          <t>BOLLNÄS</t>
        </is>
      </c>
      <c r="I1184" t="n">
        <v>3.2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inlineStr"/>
    </row>
    <row r="1185" ht="15" customHeight="1">
      <c r="A1185" t="inlineStr">
        <is>
          <t>A 11680-2026</t>
        </is>
      </c>
      <c r="B1185" t="inlineStr">
        <is>
          <t>avverkningsanmälan</t>
        </is>
      </c>
      <c r="C1185" t="inlineStr">
        <is>
          <t>Föryngringsavverkning</t>
        </is>
      </c>
      <c r="D1185" s="1" t="n">
        <v>46084</v>
      </c>
      <c r="E1185" s="1" t="n">
        <v>46313</v>
      </c>
      <c r="F1185" t="inlineStr">
        <is>
          <t>GÄVLEBORGS LÄN</t>
        </is>
      </c>
      <c r="G1185" t="inlineStr">
        <is>
          <t>BOLLNÄS</t>
        </is>
      </c>
      <c r="I1185" t="n">
        <v>1.4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inlineStr"/>
    </row>
    <row r="1186" ht="15" customHeight="1">
      <c r="A1186" t="inlineStr">
        <is>
          <t>A 11345-2026</t>
        </is>
      </c>
      <c r="B1186" t="inlineStr">
        <is>
          <t>avverkningsanmälan</t>
        </is>
      </c>
      <c r="C1186" t="inlineStr">
        <is>
          <t>Föryngringsavverkning</t>
        </is>
      </c>
      <c r="D1186" s="1" t="n">
        <v>46082</v>
      </c>
      <c r="E1186" s="1" t="n">
        <v>46313</v>
      </c>
      <c r="F1186" t="inlineStr">
        <is>
          <t>GÄVLEBORGS LÄN</t>
        </is>
      </c>
      <c r="G1186" t="inlineStr">
        <is>
          <t>BOLLNÄS</t>
        </is>
      </c>
      <c r="I1186" t="n">
        <v>2.4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inlineStr"/>
    </row>
    <row r="1187" ht="15" customHeight="1">
      <c r="A1187" t="inlineStr">
        <is>
          <t>A 38883-2022</t>
        </is>
      </c>
      <c r="B1187" t="inlineStr">
        <is>
          <t>avverkningsanmälan</t>
        </is>
      </c>
      <c r="C1187" t="inlineStr">
        <is>
          <t>Föryngringsavverkning</t>
        </is>
      </c>
      <c r="D1187" s="1" t="n">
        <v>44816</v>
      </c>
      <c r="E1187" s="1" t="n">
        <v>46313</v>
      </c>
      <c r="F1187" t="inlineStr">
        <is>
          <t>GÄVLEBORGS LÄN</t>
        </is>
      </c>
      <c r="G1187" t="inlineStr">
        <is>
          <t>BOLLNÄS</t>
        </is>
      </c>
      <c r="I1187" t="n">
        <v>1.6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inlineStr"/>
    </row>
    <row r="1188" ht="15" customHeight="1">
      <c r="A1188" t="inlineStr">
        <is>
          <t>A 11547-2026</t>
        </is>
      </c>
      <c r="B1188" t="inlineStr">
        <is>
          <t>avverkningsanmälan</t>
        </is>
      </c>
      <c r="C1188" t="inlineStr">
        <is>
          <t>Föryngringsavverkning</t>
        </is>
      </c>
      <c r="D1188" s="1" t="n">
        <v>46084</v>
      </c>
      <c r="E1188" s="1" t="n">
        <v>46313</v>
      </c>
      <c r="F1188" t="inlineStr">
        <is>
          <t>GÄVLEBORGS LÄN</t>
        </is>
      </c>
      <c r="G1188" t="inlineStr">
        <is>
          <t>BOLLNÄS</t>
        </is>
      </c>
      <c r="I1188" t="n">
        <v>0.5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inlineStr"/>
    </row>
    <row r="1189" ht="15" customHeight="1">
      <c r="A1189" t="inlineStr">
        <is>
          <t>A 51137-2023</t>
        </is>
      </c>
      <c r="B1189" t="inlineStr">
        <is>
          <t>avverkningsanmälan</t>
        </is>
      </c>
      <c r="C1189" t="inlineStr">
        <is>
          <t>Föryngringsavverkning</t>
        </is>
      </c>
      <c r="D1189" s="1" t="n">
        <v>45219</v>
      </c>
      <c r="E1189" s="1" t="n">
        <v>46313</v>
      </c>
      <c r="F1189" t="inlineStr">
        <is>
          <t>GÄVLEBORGS LÄN</t>
        </is>
      </c>
      <c r="G1189" t="inlineStr">
        <is>
          <t>BOLLNÄS</t>
        </is>
      </c>
      <c r="I1189" t="n">
        <v>0.8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inlineStr"/>
    </row>
    <row r="1190" ht="15" customHeight="1">
      <c r="A1190" t="inlineStr">
        <is>
          <t>A 11550-2026</t>
        </is>
      </c>
      <c r="B1190" t="inlineStr">
        <is>
          <t>avverkningsanmälan</t>
        </is>
      </c>
      <c r="C1190" t="inlineStr">
        <is>
          <t>Föryngringsavverkning</t>
        </is>
      </c>
      <c r="D1190" s="1" t="n">
        <v>46084</v>
      </c>
      <c r="E1190" s="1" t="n">
        <v>46313</v>
      </c>
      <c r="F1190" t="inlineStr">
        <is>
          <t>GÄVLEBORGS LÄN</t>
        </is>
      </c>
      <c r="G1190" t="inlineStr">
        <is>
          <t>BOLLNÄS</t>
        </is>
      </c>
      <c r="I1190" t="n">
        <v>14.1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inlineStr"/>
    </row>
    <row r="1191" ht="15" customHeight="1">
      <c r="A1191" t="inlineStr">
        <is>
          <t>A 11366-2026</t>
        </is>
      </c>
      <c r="B1191" t="inlineStr">
        <is>
          <t>avverkningsanmälan</t>
        </is>
      </c>
      <c r="C1191" t="inlineStr">
        <is>
          <t>Föryngringsavverkning</t>
        </is>
      </c>
      <c r="D1191" s="1" t="n">
        <v>46083</v>
      </c>
      <c r="E1191" s="1" t="n">
        <v>46313</v>
      </c>
      <c r="F1191" t="inlineStr">
        <is>
          <t>GÄVLEBORGS LÄN</t>
        </is>
      </c>
      <c r="G1191" t="inlineStr">
        <is>
          <t>BOLLNÄS</t>
        </is>
      </c>
      <c r="I1191" t="n">
        <v>0.8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inlineStr"/>
    </row>
    <row r="1192" ht="15" customHeight="1">
      <c r="A1192" t="inlineStr">
        <is>
          <t>A 11931-2026</t>
        </is>
      </c>
      <c r="B1192" t="inlineStr">
        <is>
          <t>avverkningsanmälan</t>
        </is>
      </c>
      <c r="C1192" t="inlineStr">
        <is>
          <t>Föryngringsavverkning</t>
        </is>
      </c>
      <c r="D1192" s="1" t="n">
        <v>46085</v>
      </c>
      <c r="E1192" s="1" t="n">
        <v>46313</v>
      </c>
      <c r="F1192" t="inlineStr">
        <is>
          <t>GÄVLEBORGS LÄN</t>
        </is>
      </c>
      <c r="G1192" t="inlineStr">
        <is>
          <t>BOLLNÄS</t>
        </is>
      </c>
      <c r="I1192" t="n">
        <v>0.4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inlineStr"/>
    </row>
    <row r="1193" ht="15" customHeight="1">
      <c r="A1193" t="inlineStr">
        <is>
          <t>A 27598-2026</t>
        </is>
      </c>
      <c r="B1193" t="inlineStr">
        <is>
          <t>avverkningsanmälan</t>
        </is>
      </c>
      <c r="C1193" t="inlineStr">
        <is>
          <t>Föryngringsavverkning</t>
        </is>
      </c>
      <c r="D1193" s="1" t="n">
        <v>46190</v>
      </c>
      <c r="E1193" s="1" t="n">
        <v>46313</v>
      </c>
      <c r="F1193" t="inlineStr">
        <is>
          <t>GÄVLEBORGS LÄN</t>
        </is>
      </c>
      <c r="G1193" t="inlineStr">
        <is>
          <t>BOLLNÄS</t>
        </is>
      </c>
      <c r="I1193" t="n">
        <v>1.8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inlineStr"/>
    </row>
    <row r="1194" ht="15" customHeight="1">
      <c r="A1194" t="inlineStr">
        <is>
          <t>A 52613-2024</t>
        </is>
      </c>
      <c r="B1194" t="inlineStr">
        <is>
          <t>avverkningsanmälan</t>
        </is>
      </c>
      <c r="C1194" t="inlineStr">
        <is>
          <t>Föryngringsavverkning</t>
        </is>
      </c>
      <c r="D1194" s="1" t="n">
        <v>45609</v>
      </c>
      <c r="E1194" s="1" t="n">
        <v>46313</v>
      </c>
      <c r="F1194" t="inlineStr">
        <is>
          <t>GÄVLEBORGS LÄN</t>
        </is>
      </c>
      <c r="G1194" t="inlineStr">
        <is>
          <t>BOLLNÄS</t>
        </is>
      </c>
      <c r="I1194" t="n">
        <v>3.6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inlineStr"/>
    </row>
    <row r="1195" ht="15" customHeight="1">
      <c r="A1195" t="inlineStr">
        <is>
          <t>A 11948-2026</t>
        </is>
      </c>
      <c r="B1195" t="inlineStr">
        <is>
          <t>avverkningsanmälan</t>
        </is>
      </c>
      <c r="C1195" t="inlineStr">
        <is>
          <t>Föryngringsavverkning</t>
        </is>
      </c>
      <c r="D1195" s="1" t="n">
        <v>46085</v>
      </c>
      <c r="E1195" s="1" t="n">
        <v>46313</v>
      </c>
      <c r="F1195" t="inlineStr">
        <is>
          <t>GÄVLEBORGS LÄN</t>
        </is>
      </c>
      <c r="G1195" t="inlineStr">
        <is>
          <t>BOLLNÄS</t>
        </is>
      </c>
      <c r="I1195" t="n">
        <v>1.8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inlineStr"/>
    </row>
    <row r="1196" ht="15" customHeight="1">
      <c r="A1196" t="inlineStr">
        <is>
          <t>A 12001-2026</t>
        </is>
      </c>
      <c r="B1196" t="inlineStr">
        <is>
          <t>avverkningsanmälan</t>
        </is>
      </c>
      <c r="C1196" t="inlineStr">
        <is>
          <t>Föryngringsavverkning</t>
        </is>
      </c>
      <c r="D1196" s="1" t="n">
        <v>46085</v>
      </c>
      <c r="E1196" s="1" t="n">
        <v>46313</v>
      </c>
      <c r="F1196" t="inlineStr">
        <is>
          <t>GÄVLEBORGS LÄN</t>
        </is>
      </c>
      <c r="G1196" t="inlineStr">
        <is>
          <t>BOLLNÄS</t>
        </is>
      </c>
      <c r="I1196" t="n">
        <v>3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inlineStr"/>
    </row>
    <row r="1197" ht="15" customHeight="1">
      <c r="A1197" t="inlineStr">
        <is>
          <t>A 12007-2026</t>
        </is>
      </c>
      <c r="B1197" t="inlineStr">
        <is>
          <t>avverkningsanmälan</t>
        </is>
      </c>
      <c r="C1197" t="inlineStr">
        <is>
          <t>Föryngringsavverkning</t>
        </is>
      </c>
      <c r="D1197" s="1" t="n">
        <v>46085</v>
      </c>
      <c r="E1197" s="1" t="n">
        <v>46313</v>
      </c>
      <c r="F1197" t="inlineStr">
        <is>
          <t>GÄVLEBORGS LÄN</t>
        </is>
      </c>
      <c r="G1197" t="inlineStr">
        <is>
          <t>BOLLNÄS</t>
        </is>
      </c>
      <c r="I1197" t="n">
        <v>1.3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inlineStr"/>
    </row>
    <row r="1198" ht="15" customHeight="1">
      <c r="A1198" t="inlineStr">
        <is>
          <t>A 11881-2026</t>
        </is>
      </c>
      <c r="B1198" t="inlineStr">
        <is>
          <t>avverkningsanmälan</t>
        </is>
      </c>
      <c r="C1198" t="inlineStr">
        <is>
          <t>Föryngringsavverkning</t>
        </is>
      </c>
      <c r="D1198" s="1" t="n">
        <v>46085</v>
      </c>
      <c r="E1198" s="1" t="n">
        <v>46313</v>
      </c>
      <c r="F1198" t="inlineStr">
        <is>
          <t>GÄVLEBORGS LÄN</t>
        </is>
      </c>
      <c r="G1198" t="inlineStr">
        <is>
          <t>BOLLNÄS</t>
        </is>
      </c>
      <c r="H1198" t="inlineStr">
        <is>
          <t>Bergvik skog väst AB</t>
        </is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inlineStr"/>
    </row>
    <row r="1199" ht="15" customHeight="1">
      <c r="A1199" t="inlineStr">
        <is>
          <t>A 12006-2026</t>
        </is>
      </c>
      <c r="B1199" t="inlineStr">
        <is>
          <t>avverkningsanmälan</t>
        </is>
      </c>
      <c r="C1199" t="inlineStr">
        <is>
          <t>Föryngringsavverkning</t>
        </is>
      </c>
      <c r="D1199" s="1" t="n">
        <v>46085</v>
      </c>
      <c r="E1199" s="1" t="n">
        <v>46313</v>
      </c>
      <c r="F1199" t="inlineStr">
        <is>
          <t>GÄVLEBORGS LÄN</t>
        </is>
      </c>
      <c r="G1199" t="inlineStr">
        <is>
          <t>BOLLNÄS</t>
        </is>
      </c>
      <c r="I1199" t="n">
        <v>2.1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inlineStr"/>
    </row>
    <row r="1200" ht="15" customHeight="1">
      <c r="A1200" t="inlineStr">
        <is>
          <t>A 12207-2026</t>
        </is>
      </c>
      <c r="B1200" t="inlineStr">
        <is>
          <t>avverkningsanmälan</t>
        </is>
      </c>
      <c r="C1200" t="inlineStr">
        <is>
          <t>Föryngringsavverkning</t>
        </is>
      </c>
      <c r="D1200" s="1" t="n">
        <v>46087</v>
      </c>
      <c r="E1200" s="1" t="n">
        <v>46313</v>
      </c>
      <c r="F1200" t="inlineStr">
        <is>
          <t>GÄVLEBORGS LÄN</t>
        </is>
      </c>
      <c r="G1200" t="inlineStr">
        <is>
          <t>BOLLNÄS</t>
        </is>
      </c>
      <c r="I1200" t="n">
        <v>3.2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inlineStr"/>
    </row>
    <row r="1201" ht="15" customHeight="1">
      <c r="A1201" t="inlineStr">
        <is>
          <t>A 20668-2026</t>
        </is>
      </c>
      <c r="B1201" t="inlineStr">
        <is>
          <t>avverkningsanmälan</t>
        </is>
      </c>
      <c r="C1201" t="inlineStr">
        <is>
          <t>Föryngringsavverkning</t>
        </is>
      </c>
      <c r="D1201" s="1" t="n">
        <v>46141</v>
      </c>
      <c r="E1201" s="1" t="n">
        <v>46313</v>
      </c>
      <c r="F1201" t="inlineStr">
        <is>
          <t>GÄVLEBORGS LÄN</t>
        </is>
      </c>
      <c r="G1201" t="inlineStr">
        <is>
          <t>BOLLNÄS</t>
        </is>
      </c>
      <c r="H1201" t="inlineStr">
        <is>
          <t>Bergvik skog väst AB</t>
        </is>
      </c>
      <c r="I1201" t="n">
        <v>3.2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inlineStr"/>
    </row>
    <row r="1202" ht="15" customHeight="1">
      <c r="A1202" t="inlineStr">
        <is>
          <t>A 12549-2026</t>
        </is>
      </c>
      <c r="B1202" t="inlineStr">
        <is>
          <t>avverkningsanmälan</t>
        </is>
      </c>
      <c r="C1202" t="inlineStr">
        <is>
          <t>Föryngringsavverkning</t>
        </is>
      </c>
      <c r="D1202" s="1" t="n">
        <v>46090</v>
      </c>
      <c r="E1202" s="1" t="n">
        <v>46313</v>
      </c>
      <c r="F1202" t="inlineStr">
        <is>
          <t>GÄVLEBORGS LÄN</t>
        </is>
      </c>
      <c r="G1202" t="inlineStr">
        <is>
          <t>BOLLNÄS</t>
        </is>
      </c>
      <c r="I1202" t="n">
        <v>7.5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inlineStr"/>
    </row>
    <row r="1203" ht="15" customHeight="1">
      <c r="A1203" t="inlineStr">
        <is>
          <t>A 12360-2026</t>
        </is>
      </c>
      <c r="B1203" t="inlineStr">
        <is>
          <t>avverkningsanmälan</t>
        </is>
      </c>
      <c r="C1203" t="inlineStr">
        <is>
          <t>Föryngringsavverkning</t>
        </is>
      </c>
      <c r="D1203" s="1" t="n">
        <v>46088</v>
      </c>
      <c r="E1203" s="1" t="n">
        <v>46313</v>
      </c>
      <c r="F1203" t="inlineStr">
        <is>
          <t>GÄVLEBORGS LÄN</t>
        </is>
      </c>
      <c r="G1203" t="inlineStr">
        <is>
          <t>BOLLNÄS</t>
        </is>
      </c>
      <c r="I1203" t="n">
        <v>0.9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inlineStr"/>
    </row>
    <row r="1204" ht="15" customHeight="1">
      <c r="A1204" t="inlineStr">
        <is>
          <t>A 63984-2025</t>
        </is>
      </c>
      <c r="B1204" t="inlineStr">
        <is>
          <t>avverkningsanmälan</t>
        </is>
      </c>
      <c r="C1204" t="inlineStr">
        <is>
          <t>Föryngringsavverkning</t>
        </is>
      </c>
      <c r="D1204" s="1" t="n">
        <v>46021</v>
      </c>
      <c r="E1204" s="1" t="n">
        <v>46313</v>
      </c>
      <c r="F1204" t="inlineStr">
        <is>
          <t>GÄVLEBORGS LÄN</t>
        </is>
      </c>
      <c r="G1204" t="inlineStr">
        <is>
          <t>BOLLNÄS</t>
        </is>
      </c>
      <c r="I1204" t="n">
        <v>10.6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inlineStr"/>
    </row>
    <row r="1205" ht="15" customHeight="1">
      <c r="A1205" t="inlineStr">
        <is>
          <t>A 12359-2026</t>
        </is>
      </c>
      <c r="B1205" t="inlineStr">
        <is>
          <t>avverkningsanmälan</t>
        </is>
      </c>
      <c r="C1205" t="inlineStr">
        <is>
          <t>Föryngringsavverkning</t>
        </is>
      </c>
      <c r="D1205" s="1" t="n">
        <v>46088</v>
      </c>
      <c r="E1205" s="1" t="n">
        <v>46313</v>
      </c>
      <c r="F1205" t="inlineStr">
        <is>
          <t>GÄVLEBORGS LÄN</t>
        </is>
      </c>
      <c r="G1205" t="inlineStr">
        <is>
          <t>BOLLNÄS</t>
        </is>
      </c>
      <c r="I1205" t="n">
        <v>2.9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inlineStr"/>
    </row>
    <row r="1206" ht="15" customHeight="1">
      <c r="A1206" t="inlineStr">
        <is>
          <t>A 12325-2026</t>
        </is>
      </c>
      <c r="B1206" t="inlineStr">
        <is>
          <t>avverkningsanmälan</t>
        </is>
      </c>
      <c r="C1206" t="inlineStr">
        <is>
          <t>Föryngringsavverkning</t>
        </is>
      </c>
      <c r="D1206" s="1" t="n">
        <v>46087</v>
      </c>
      <c r="E1206" s="1" t="n">
        <v>46313</v>
      </c>
      <c r="F1206" t="inlineStr">
        <is>
          <t>GÄVLEBORGS LÄN</t>
        </is>
      </c>
      <c r="G1206" t="inlineStr">
        <is>
          <t>BOLLNÄS</t>
        </is>
      </c>
      <c r="I1206" t="n">
        <v>0.9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inlineStr"/>
    </row>
    <row r="1207" ht="15" customHeight="1">
      <c r="A1207" t="inlineStr">
        <is>
          <t>A 12904-2026</t>
        </is>
      </c>
      <c r="B1207" t="inlineStr">
        <is>
          <t>avverkningsanmälan</t>
        </is>
      </c>
      <c r="C1207" t="inlineStr">
        <is>
          <t>Föryngringsavverkning</t>
        </is>
      </c>
      <c r="D1207" s="1" t="n">
        <v>46092</v>
      </c>
      <c r="E1207" s="1" t="n">
        <v>46313</v>
      </c>
      <c r="F1207" t="inlineStr">
        <is>
          <t>GÄVLEBORGS LÄN</t>
        </is>
      </c>
      <c r="G1207" t="inlineStr">
        <is>
          <t>BOLLNÄS</t>
        </is>
      </c>
      <c r="H1207" t="inlineStr">
        <is>
          <t>Bergvik skog väst AB</t>
        </is>
      </c>
      <c r="I1207" t="n">
        <v>3.9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s="2" t="inlineStr"/>
    </row>
    <row r="1208" ht="15" customHeight="1">
      <c r="A1208" t="inlineStr">
        <is>
          <t>A 12378-2026</t>
        </is>
      </c>
      <c r="B1208" t="inlineStr">
        <is>
          <t>avverkningsanmälan</t>
        </is>
      </c>
      <c r="C1208" t="inlineStr">
        <is>
          <t>Föryngringsavverkning</t>
        </is>
      </c>
      <c r="D1208" s="1" t="n">
        <v>46090</v>
      </c>
      <c r="E1208" s="1" t="n">
        <v>46313</v>
      </c>
      <c r="F1208" t="inlineStr">
        <is>
          <t>GÄVLEBORGS LÄN</t>
        </is>
      </c>
      <c r="G1208" t="inlineStr">
        <is>
          <t>BOLLNÄS</t>
        </is>
      </c>
      <c r="H1208" t="inlineStr">
        <is>
          <t>Bergvik skog väst AB</t>
        </is>
      </c>
      <c r="I1208" t="n">
        <v>8.6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s="2" t="inlineStr"/>
    </row>
    <row r="1209" ht="15" customHeight="1">
      <c r="A1209" t="inlineStr">
        <is>
          <t>A 12451-2026</t>
        </is>
      </c>
      <c r="B1209" t="inlineStr">
        <is>
          <t>avverkningsanmälan</t>
        </is>
      </c>
      <c r="C1209" t="inlineStr">
        <is>
          <t>Föryngringsavverkning</t>
        </is>
      </c>
      <c r="D1209" s="1" t="n">
        <v>46090</v>
      </c>
      <c r="E1209" s="1" t="n">
        <v>46313</v>
      </c>
      <c r="F1209" t="inlineStr">
        <is>
          <t>GÄVLEBORGS LÄN</t>
        </is>
      </c>
      <c r="G1209" t="inlineStr">
        <is>
          <t>BOLLNÄS</t>
        </is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s="2" t="inlineStr"/>
    </row>
    <row r="1210" ht="15" customHeight="1">
      <c r="A1210" t="inlineStr">
        <is>
          <t>A 12800-2025</t>
        </is>
      </c>
      <c r="B1210" t="inlineStr">
        <is>
          <t>avverkningsanmälan</t>
        </is>
      </c>
      <c r="C1210" t="inlineStr">
        <is>
          <t>Föryngringsavverkning</t>
        </is>
      </c>
      <c r="D1210" s="1" t="n">
        <v>45733</v>
      </c>
      <c r="E1210" s="1" t="n">
        <v>46313</v>
      </c>
      <c r="F1210" t="inlineStr">
        <is>
          <t>GÄVLEBORGS LÄN</t>
        </is>
      </c>
      <c r="G1210" t="inlineStr">
        <is>
          <t>BOLLNÄS</t>
        </is>
      </c>
      <c r="I1210" t="n">
        <v>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s="2" t="inlineStr"/>
    </row>
    <row r="1211" ht="15" customHeight="1">
      <c r="A1211" t="inlineStr">
        <is>
          <t>A 12867-2025</t>
        </is>
      </c>
      <c r="B1211" t="inlineStr">
        <is>
          <t>avverkningsanmälan</t>
        </is>
      </c>
      <c r="C1211" t="inlineStr">
        <is>
          <t>Föryngringsavverkning</t>
        </is>
      </c>
      <c r="D1211" s="1" t="n">
        <v>45733</v>
      </c>
      <c r="E1211" s="1" t="n">
        <v>46313</v>
      </c>
      <c r="F1211" t="inlineStr">
        <is>
          <t>GÄVLEBORGS LÄN</t>
        </is>
      </c>
      <c r="G1211" t="inlineStr">
        <is>
          <t>BOLLNÄS</t>
        </is>
      </c>
      <c r="I1211" t="n">
        <v>0.9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s="2" t="inlineStr"/>
    </row>
    <row r="1212" ht="15" customHeight="1">
      <c r="A1212" t="inlineStr">
        <is>
          <t>A 28658-2024</t>
        </is>
      </c>
      <c r="B1212" t="inlineStr">
        <is>
          <t>avverkningsanmälan</t>
        </is>
      </c>
      <c r="C1212" t="inlineStr">
        <is>
          <t>Föryngringsavverkning</t>
        </is>
      </c>
      <c r="D1212" s="1" t="n">
        <v>45478</v>
      </c>
      <c r="E1212" s="1" t="n">
        <v>46313</v>
      </c>
      <c r="F1212" t="inlineStr">
        <is>
          <t>GÄVLEBORGS LÄN</t>
        </is>
      </c>
      <c r="G1212" t="inlineStr">
        <is>
          <t>BOLLNÄS</t>
        </is>
      </c>
      <c r="H1212" t="inlineStr">
        <is>
          <t>Bergvik skog väst AB</t>
        </is>
      </c>
      <c r="I1212" t="n">
        <v>0.4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s="2" t="inlineStr"/>
    </row>
    <row r="1213" ht="15" customHeight="1">
      <c r="A1213" t="inlineStr">
        <is>
          <t>A 3327-2026</t>
        </is>
      </c>
      <c r="B1213" t="inlineStr">
        <is>
          <t>avverkningsanmälan</t>
        </is>
      </c>
      <c r="C1213" t="inlineStr">
        <is>
          <t>Föryngringsavverkning</t>
        </is>
      </c>
      <c r="D1213" s="1" t="n">
        <v>46041</v>
      </c>
      <c r="E1213" s="1" t="n">
        <v>46313</v>
      </c>
      <c r="F1213" t="inlineStr">
        <is>
          <t>GÄVLEBORGS LÄN</t>
        </is>
      </c>
      <c r="G1213" t="inlineStr">
        <is>
          <t>BOLLNÄS</t>
        </is>
      </c>
      <c r="I1213" t="n">
        <v>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s="2" t="inlineStr"/>
    </row>
    <row r="1214" ht="15" customHeight="1">
      <c r="A1214" t="inlineStr">
        <is>
          <t>A 12454-2026</t>
        </is>
      </c>
      <c r="B1214" t="inlineStr">
        <is>
          <t>avverkningsanmälan</t>
        </is>
      </c>
      <c r="C1214" t="inlineStr">
        <is>
          <t>Föryngringsavverkning</t>
        </is>
      </c>
      <c r="D1214" s="1" t="n">
        <v>46090</v>
      </c>
      <c r="E1214" s="1" t="n">
        <v>46313</v>
      </c>
      <c r="F1214" t="inlineStr">
        <is>
          <t>GÄVLEBORGS LÄN</t>
        </is>
      </c>
      <c r="G1214" t="inlineStr">
        <is>
          <t>BOLLNÄS</t>
        </is>
      </c>
      <c r="H1214" t="inlineStr">
        <is>
          <t>Bergvik skog väst AB</t>
        </is>
      </c>
      <c r="I1214" t="n">
        <v>0.6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s="2" t="inlineStr"/>
    </row>
    <row r="1215" ht="15" customHeight="1">
      <c r="A1215" t="inlineStr">
        <is>
          <t>A 12449-2026</t>
        </is>
      </c>
      <c r="B1215" t="inlineStr">
        <is>
          <t>avverkningsanmälan</t>
        </is>
      </c>
      <c r="C1215" t="inlineStr">
        <is>
          <t>Föryngringsavverkning</t>
        </is>
      </c>
      <c r="D1215" s="1" t="n">
        <v>46090</v>
      </c>
      <c r="E1215" s="1" t="n">
        <v>46313</v>
      </c>
      <c r="F1215" t="inlineStr">
        <is>
          <t>GÄVLEBORGS LÄN</t>
        </is>
      </c>
      <c r="G1215" t="inlineStr">
        <is>
          <t>BOLLNÄS</t>
        </is>
      </c>
      <c r="I1215" t="n">
        <v>1.1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s="2" t="inlineStr"/>
    </row>
    <row r="1216" ht="15" customHeight="1">
      <c r="A1216" t="inlineStr">
        <is>
          <t>A 12220-2026</t>
        </is>
      </c>
      <c r="B1216" t="inlineStr">
        <is>
          <t>avverkningsanmälan</t>
        </is>
      </c>
      <c r="C1216" t="inlineStr">
        <is>
          <t>Föryngringsavverkning</t>
        </is>
      </c>
      <c r="D1216" s="1" t="n">
        <v>46087</v>
      </c>
      <c r="E1216" s="1" t="n">
        <v>46313</v>
      </c>
      <c r="F1216" t="inlineStr">
        <is>
          <t>GÄVLEBORGS LÄN</t>
        </is>
      </c>
      <c r="G1216" t="inlineStr">
        <is>
          <t>BOLLNÄS</t>
        </is>
      </c>
      <c r="I1216" t="n">
        <v>3.3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s="2" t="inlineStr"/>
    </row>
    <row r="1217" ht="15" customHeight="1">
      <c r="A1217" t="inlineStr">
        <is>
          <t>A 12728-2026</t>
        </is>
      </c>
      <c r="B1217" t="inlineStr">
        <is>
          <t>avverkningsanmälan</t>
        </is>
      </c>
      <c r="C1217" t="inlineStr">
        <is>
          <t>Föryngringsavverkning</t>
        </is>
      </c>
      <c r="D1217" s="1" t="n">
        <v>46091</v>
      </c>
      <c r="E1217" s="1" t="n">
        <v>46313</v>
      </c>
      <c r="F1217" t="inlineStr">
        <is>
          <t>GÄVLEBORGS LÄN</t>
        </is>
      </c>
      <c r="G1217" t="inlineStr">
        <is>
          <t>BOLLNÄS</t>
        </is>
      </c>
      <c r="I1217" t="n">
        <v>5.9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s="2" t="inlineStr"/>
    </row>
    <row r="1218" ht="15" customHeight="1">
      <c r="A1218" t="inlineStr">
        <is>
          <t>A 23796-2024</t>
        </is>
      </c>
      <c r="B1218" t="inlineStr">
        <is>
          <t>avverkningsanmälan</t>
        </is>
      </c>
      <c r="C1218" t="inlineStr">
        <is>
          <t>Föryngringsavverkning</t>
        </is>
      </c>
      <c r="D1218" s="1" t="n">
        <v>45455</v>
      </c>
      <c r="E1218" s="1" t="n">
        <v>46313</v>
      </c>
      <c r="F1218" t="inlineStr">
        <is>
          <t>GÄVLEBORGS LÄN</t>
        </is>
      </c>
      <c r="G1218" t="inlineStr">
        <is>
          <t>BOLLNÄS</t>
        </is>
      </c>
      <c r="I1218" t="n">
        <v>2.2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s="2" t="inlineStr"/>
    </row>
    <row r="1219" ht="15" customHeight="1">
      <c r="A1219" t="inlineStr">
        <is>
          <t>A 23095-2026</t>
        </is>
      </c>
      <c r="B1219" t="inlineStr">
        <is>
          <t>avverkningsanmälan</t>
        </is>
      </c>
      <c r="C1219" t="inlineStr">
        <is>
          <t>Föryngringsavverkning</t>
        </is>
      </c>
      <c r="D1219" s="1" t="n">
        <v>46161</v>
      </c>
      <c r="E1219" s="1" t="n">
        <v>46313</v>
      </c>
      <c r="F1219" t="inlineStr">
        <is>
          <t>GÄVLEBORGS LÄN</t>
        </is>
      </c>
      <c r="G1219" t="inlineStr">
        <is>
          <t>BOLLNÄS</t>
        </is>
      </c>
      <c r="I1219" t="n">
        <v>3.3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s="2" t="inlineStr"/>
    </row>
    <row r="1220" ht="15" customHeight="1">
      <c r="A1220" t="inlineStr">
        <is>
          <t>A 12995-2026</t>
        </is>
      </c>
      <c r="B1220" t="inlineStr">
        <is>
          <t>avverkningsanmälan</t>
        </is>
      </c>
      <c r="C1220" t="inlineStr">
        <is>
          <t>Föryngringsavverkning</t>
        </is>
      </c>
      <c r="D1220" s="1" t="n">
        <v>46092</v>
      </c>
      <c r="E1220" s="1" t="n">
        <v>46313</v>
      </c>
      <c r="F1220" t="inlineStr">
        <is>
          <t>GÄVLEBORGS LÄN</t>
        </is>
      </c>
      <c r="G1220" t="inlineStr">
        <is>
          <t>BOLLNÄS</t>
        </is>
      </c>
      <c r="I1220" t="n">
        <v>5.5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s="2" t="inlineStr"/>
    </row>
    <row r="1221" ht="15" customHeight="1">
      <c r="A1221" t="inlineStr">
        <is>
          <t>A 12649-2026</t>
        </is>
      </c>
      <c r="B1221" t="inlineStr">
        <is>
          <t>avverkningsanmälan</t>
        </is>
      </c>
      <c r="C1221" t="inlineStr">
        <is>
          <t>Föryngringsavverkning</t>
        </is>
      </c>
      <c r="D1221" s="1" t="n">
        <v>46091</v>
      </c>
      <c r="E1221" s="1" t="n">
        <v>46313</v>
      </c>
      <c r="F1221" t="inlineStr">
        <is>
          <t>GÄVLEBORGS LÄN</t>
        </is>
      </c>
      <c r="G1221" t="inlineStr">
        <is>
          <t>BOLLNÄS</t>
        </is>
      </c>
      <c r="I1221" t="n">
        <v>2.6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s="2" t="inlineStr"/>
    </row>
    <row r="1222" ht="15" customHeight="1">
      <c r="A1222" t="inlineStr">
        <is>
          <t>A 27748-2026</t>
        </is>
      </c>
      <c r="B1222" t="inlineStr">
        <is>
          <t>avverkningsanmälan</t>
        </is>
      </c>
      <c r="C1222" t="inlineStr">
        <is>
          <t>Föryngringsavverkning</t>
        </is>
      </c>
      <c r="D1222" s="1" t="n">
        <v>46191</v>
      </c>
      <c r="E1222" s="1" t="n">
        <v>46313</v>
      </c>
      <c r="F1222" t="inlineStr">
        <is>
          <t>GÄVLEBORGS LÄN</t>
        </is>
      </c>
      <c r="G1222" t="inlineStr">
        <is>
          <t>BOLLNÄS</t>
        </is>
      </c>
      <c r="I1222" t="n">
        <v>10.8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s="2" t="inlineStr"/>
    </row>
    <row r="1223" ht="15" customHeight="1">
      <c r="A1223" t="inlineStr">
        <is>
          <t>A 27753-2026</t>
        </is>
      </c>
      <c r="B1223" t="inlineStr">
        <is>
          <t>avverkningsanmälan</t>
        </is>
      </c>
      <c r="C1223" t="inlineStr">
        <is>
          <t>Föryngringsavverkning</t>
        </is>
      </c>
      <c r="D1223" s="1" t="n">
        <v>46191</v>
      </c>
      <c r="E1223" s="1" t="n">
        <v>46313</v>
      </c>
      <c r="F1223" t="inlineStr">
        <is>
          <t>GÄVLEBORGS LÄN</t>
        </is>
      </c>
      <c r="G1223" t="inlineStr">
        <is>
          <t>BOLLNÄS</t>
        </is>
      </c>
      <c r="I1223" t="n">
        <v>0.9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s="2" t="inlineStr"/>
    </row>
    <row r="1224" ht="15" customHeight="1">
      <c r="A1224" t="inlineStr">
        <is>
          <t>A 8235-2026</t>
        </is>
      </c>
      <c r="B1224" t="inlineStr">
        <is>
          <t>avverkningsanmälan</t>
        </is>
      </c>
      <c r="C1224" t="inlineStr">
        <is>
          <t>Föryngringsavverkning</t>
        </is>
      </c>
      <c r="D1224" s="1" t="n">
        <v>46064</v>
      </c>
      <c r="E1224" s="1" t="n">
        <v>46313</v>
      </c>
      <c r="F1224" t="inlineStr">
        <is>
          <t>GÄVLEBORGS LÄN</t>
        </is>
      </c>
      <c r="G1224" t="inlineStr">
        <is>
          <t>BOLLNÄS</t>
        </is>
      </c>
      <c r="H1224" t="inlineStr">
        <is>
          <t>Bergvik skog väst AB</t>
        </is>
      </c>
      <c r="I1224" t="n">
        <v>1.1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s="2" t="inlineStr"/>
    </row>
    <row r="1225" ht="15" customHeight="1">
      <c r="A1225" t="inlineStr">
        <is>
          <t>A 12959-2026</t>
        </is>
      </c>
      <c r="B1225" t="inlineStr">
        <is>
          <t>avverkningsanmälan</t>
        </is>
      </c>
      <c r="C1225" t="inlineStr">
        <is>
          <t>Föryngringsavverkning</t>
        </is>
      </c>
      <c r="D1225" s="1" t="n">
        <v>46092</v>
      </c>
      <c r="E1225" s="1" t="n">
        <v>46313</v>
      </c>
      <c r="F1225" t="inlineStr">
        <is>
          <t>GÄVLEBORGS LÄN</t>
        </is>
      </c>
      <c r="G1225" t="inlineStr">
        <is>
          <t>BOLLNÄS</t>
        </is>
      </c>
      <c r="H1225" t="inlineStr">
        <is>
          <t>Sveaskog</t>
        </is>
      </c>
      <c r="I1225" t="n">
        <v>2.5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s="2" t="inlineStr"/>
    </row>
    <row r="1226" ht="15" customHeight="1">
      <c r="A1226" t="inlineStr">
        <is>
          <t>A 12895-2026</t>
        </is>
      </c>
      <c r="B1226" t="inlineStr">
        <is>
          <t>avverkningsanmälan</t>
        </is>
      </c>
      <c r="C1226" t="inlineStr">
        <is>
          <t>Föryngringsavverkning</t>
        </is>
      </c>
      <c r="D1226" s="1" t="n">
        <v>46092</v>
      </c>
      <c r="E1226" s="1" t="n">
        <v>46313</v>
      </c>
      <c r="F1226" t="inlineStr">
        <is>
          <t>GÄVLEBORGS LÄN</t>
        </is>
      </c>
      <c r="G1226" t="inlineStr">
        <is>
          <t>BOLLNÄS</t>
        </is>
      </c>
      <c r="H1226" t="inlineStr">
        <is>
          <t>Bergvik skog väst AB</t>
        </is>
      </c>
      <c r="I1226" t="n">
        <v>6.6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s="2" t="inlineStr"/>
    </row>
    <row r="1227" ht="15" customHeight="1">
      <c r="A1227" t="inlineStr">
        <is>
          <t>A 13341-2026</t>
        </is>
      </c>
      <c r="B1227" t="inlineStr">
        <is>
          <t>avverkningsanmälan</t>
        </is>
      </c>
      <c r="C1227" t="inlineStr">
        <is>
          <t>Föryngringsavverkning</t>
        </is>
      </c>
      <c r="D1227" s="1" t="n">
        <v>46094</v>
      </c>
      <c r="E1227" s="1" t="n">
        <v>46313</v>
      </c>
      <c r="F1227" t="inlineStr">
        <is>
          <t>GÄVLEBORGS LÄN</t>
        </is>
      </c>
      <c r="G1227" t="inlineStr">
        <is>
          <t>BOLLNÄS</t>
        </is>
      </c>
      <c r="I1227" t="n">
        <v>11.7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s="2" t="inlineStr"/>
    </row>
    <row r="1228" ht="15" customHeight="1">
      <c r="A1228" t="inlineStr">
        <is>
          <t>A 13311-2026</t>
        </is>
      </c>
      <c r="B1228" t="inlineStr">
        <is>
          <t>avverkningsanmälan</t>
        </is>
      </c>
      <c r="C1228" t="inlineStr">
        <is>
          <t>Föryngringsavverkning</t>
        </is>
      </c>
      <c r="D1228" s="1" t="n">
        <v>46094</v>
      </c>
      <c r="E1228" s="1" t="n">
        <v>46313</v>
      </c>
      <c r="F1228" t="inlineStr">
        <is>
          <t>GÄVLEBORGS LÄN</t>
        </is>
      </c>
      <c r="G1228" t="inlineStr">
        <is>
          <t>BOLLNÄS</t>
        </is>
      </c>
      <c r="I1228" t="n">
        <v>3.3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s="2" t="inlineStr"/>
    </row>
    <row r="1229" ht="15" customHeight="1">
      <c r="A1229" t="inlineStr">
        <is>
          <t>A 13407-2026</t>
        </is>
      </c>
      <c r="B1229" t="inlineStr">
        <is>
          <t>avverkningsanmälan</t>
        </is>
      </c>
      <c r="C1229" t="inlineStr">
        <is>
          <t>Föryngringsavverkning</t>
        </is>
      </c>
      <c r="D1229" s="1" t="n">
        <v>46094</v>
      </c>
      <c r="E1229" s="1" t="n">
        <v>46313</v>
      </c>
      <c r="F1229" t="inlineStr">
        <is>
          <t>GÄVLEBORGS LÄN</t>
        </is>
      </c>
      <c r="G1229" t="inlineStr">
        <is>
          <t>BOLLNÄS</t>
        </is>
      </c>
      <c r="H1229" t="inlineStr">
        <is>
          <t>Bergvik skog väst AB</t>
        </is>
      </c>
      <c r="I1229" t="n">
        <v>5.6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s="2" t="inlineStr"/>
    </row>
    <row r="1230" ht="15" customHeight="1">
      <c r="A1230" t="inlineStr">
        <is>
          <t>A 13358-2026</t>
        </is>
      </c>
      <c r="B1230" t="inlineStr">
        <is>
          <t>avverkningsanmälan</t>
        </is>
      </c>
      <c r="C1230" t="inlineStr">
        <is>
          <t>Föryngringsavverkning</t>
        </is>
      </c>
      <c r="D1230" s="1" t="n">
        <v>46094</v>
      </c>
      <c r="E1230" s="1" t="n">
        <v>46313</v>
      </c>
      <c r="F1230" t="inlineStr">
        <is>
          <t>GÄVLEBORGS LÄN</t>
        </is>
      </c>
      <c r="G1230" t="inlineStr">
        <is>
          <t>BOLLNÄS</t>
        </is>
      </c>
      <c r="I1230" t="n">
        <v>7.4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s="2" t="inlineStr"/>
    </row>
    <row r="1231" ht="15" customHeight="1">
      <c r="A1231" t="inlineStr">
        <is>
          <t>A 13378-2026</t>
        </is>
      </c>
      <c r="B1231" t="inlineStr">
        <is>
          <t>avverkningsanmälan</t>
        </is>
      </c>
      <c r="C1231" t="inlineStr">
        <is>
          <t>Föryngringsavverkning</t>
        </is>
      </c>
      <c r="D1231" s="1" t="n">
        <v>46094</v>
      </c>
      <c r="E1231" s="1" t="n">
        <v>46313</v>
      </c>
      <c r="F1231" t="inlineStr">
        <is>
          <t>GÄVLEBORGS LÄN</t>
        </is>
      </c>
      <c r="G1231" t="inlineStr">
        <is>
          <t>BOLLNÄS</t>
        </is>
      </c>
      <c r="I1231" t="n">
        <v>5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s="2" t="inlineStr"/>
    </row>
    <row r="1232" ht="15" customHeight="1">
      <c r="A1232" t="inlineStr">
        <is>
          <t>A 13088-2026</t>
        </is>
      </c>
      <c r="B1232" t="inlineStr">
        <is>
          <t>avverkningsanmälan</t>
        </is>
      </c>
      <c r="C1232" t="inlineStr">
        <is>
          <t>Föryngringsavverkning</t>
        </is>
      </c>
      <c r="D1232" s="1" t="n">
        <v>46093</v>
      </c>
      <c r="E1232" s="1" t="n">
        <v>46313</v>
      </c>
      <c r="F1232" t="inlineStr">
        <is>
          <t>GÄVLEBORGS LÄN</t>
        </is>
      </c>
      <c r="G1232" t="inlineStr">
        <is>
          <t>BOLLNÄS</t>
        </is>
      </c>
      <c r="H1232" t="inlineStr">
        <is>
          <t>Bergvik skog väst AB</t>
        </is>
      </c>
      <c r="I1232" t="n">
        <v>32.8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s="2" t="inlineStr"/>
    </row>
    <row r="1233" ht="15" customHeight="1">
      <c r="A1233" t="inlineStr">
        <is>
          <t>A 13363-2026</t>
        </is>
      </c>
      <c r="B1233" t="inlineStr">
        <is>
          <t>avverkningsanmälan</t>
        </is>
      </c>
      <c r="C1233" t="inlineStr">
        <is>
          <t>Föryngringsavverkning</t>
        </is>
      </c>
      <c r="D1233" s="1" t="n">
        <v>46094</v>
      </c>
      <c r="E1233" s="1" t="n">
        <v>46313</v>
      </c>
      <c r="F1233" t="inlineStr">
        <is>
          <t>GÄVLEBORGS LÄN</t>
        </is>
      </c>
      <c r="G1233" t="inlineStr">
        <is>
          <t>BOLLNÄS</t>
        </is>
      </c>
      <c r="I1233" t="n">
        <v>9.199999999999999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s="2" t="inlineStr"/>
    </row>
    <row r="1234" ht="15" customHeight="1">
      <c r="A1234" t="inlineStr">
        <is>
          <t>A 9814-2026</t>
        </is>
      </c>
      <c r="B1234" t="inlineStr">
        <is>
          <t>avverkningsanmälan</t>
        </is>
      </c>
      <c r="C1234" t="inlineStr">
        <is>
          <t>Föryngringsavverkning</t>
        </is>
      </c>
      <c r="D1234" s="1" t="n">
        <v>46072</v>
      </c>
      <c r="E1234" s="1" t="n">
        <v>46313</v>
      </c>
      <c r="F1234" t="inlineStr">
        <is>
          <t>GÄVLEBORGS LÄN</t>
        </is>
      </c>
      <c r="G1234" t="inlineStr">
        <is>
          <t>BOLLNÄS</t>
        </is>
      </c>
      <c r="I1234" t="n">
        <v>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s="2" t="inlineStr"/>
    </row>
    <row r="1235" ht="15" customHeight="1">
      <c r="A1235" t="inlineStr">
        <is>
          <t>A 13207-2026</t>
        </is>
      </c>
      <c r="B1235" t="inlineStr">
        <is>
          <t>avverkningsanmälan</t>
        </is>
      </c>
      <c r="C1235" t="inlineStr">
        <is>
          <t>Föryngringsavverkning</t>
        </is>
      </c>
      <c r="D1235" s="1" t="n">
        <v>46093</v>
      </c>
      <c r="E1235" s="1" t="n">
        <v>46313</v>
      </c>
      <c r="F1235" t="inlineStr">
        <is>
          <t>GÄVLEBORGS LÄN</t>
        </is>
      </c>
      <c r="G1235" t="inlineStr">
        <is>
          <t>BOLLNÄS</t>
        </is>
      </c>
      <c r="H1235" t="inlineStr">
        <is>
          <t>Bergvik skog väst AB</t>
        </is>
      </c>
      <c r="I1235" t="n">
        <v>1.3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s="2" t="inlineStr"/>
    </row>
    <row r="1236" ht="15" customHeight="1">
      <c r="A1236" t="inlineStr">
        <is>
          <t>A 13132-2026</t>
        </is>
      </c>
      <c r="B1236" t="inlineStr">
        <is>
          <t>avverkningsanmälan</t>
        </is>
      </c>
      <c r="C1236" t="inlineStr">
        <is>
          <t>Föryngringsavverkning</t>
        </is>
      </c>
      <c r="D1236" s="1" t="n">
        <v>46093</v>
      </c>
      <c r="E1236" s="1" t="n">
        <v>46313</v>
      </c>
      <c r="F1236" t="inlineStr">
        <is>
          <t>GÄVLEBORGS LÄN</t>
        </is>
      </c>
      <c r="G1236" t="inlineStr">
        <is>
          <t>BOLLNÄS</t>
        </is>
      </c>
      <c r="I1236" t="n">
        <v>1.1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s="2" t="inlineStr"/>
    </row>
    <row r="1237" ht="15" customHeight="1">
      <c r="A1237" t="inlineStr">
        <is>
          <t>A 13173-2026</t>
        </is>
      </c>
      <c r="B1237" t="inlineStr">
        <is>
          <t>avverkningsanmälan</t>
        </is>
      </c>
      <c r="C1237" t="inlineStr">
        <is>
          <t>Föryngringsavverkning</t>
        </is>
      </c>
      <c r="D1237" s="1" t="n">
        <v>46093</v>
      </c>
      <c r="E1237" s="1" t="n">
        <v>46313</v>
      </c>
      <c r="F1237" t="inlineStr">
        <is>
          <t>GÄVLEBORGS LÄN</t>
        </is>
      </c>
      <c r="G1237" t="inlineStr">
        <is>
          <t>BOLLNÄS</t>
        </is>
      </c>
      <c r="I1237" t="n">
        <v>6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s="2" t="inlineStr"/>
    </row>
    <row r="1238" ht="15" customHeight="1">
      <c r="A1238" t="inlineStr">
        <is>
          <t>A 13201-2026</t>
        </is>
      </c>
      <c r="B1238" t="inlineStr">
        <is>
          <t>avverkningsanmälan</t>
        </is>
      </c>
      <c r="C1238" t="inlineStr">
        <is>
          <t>Föryngringsavverkning</t>
        </is>
      </c>
      <c r="D1238" s="1" t="n">
        <v>46093</v>
      </c>
      <c r="E1238" s="1" t="n">
        <v>46313</v>
      </c>
      <c r="F1238" t="inlineStr">
        <is>
          <t>GÄVLEBORGS LÄN</t>
        </is>
      </c>
      <c r="G1238" t="inlineStr">
        <is>
          <t>BOLLNÄS</t>
        </is>
      </c>
      <c r="H1238" t="inlineStr">
        <is>
          <t>Bergvik skog väst AB</t>
        </is>
      </c>
      <c r="I1238" t="n">
        <v>17.4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s="2" t="inlineStr"/>
    </row>
    <row r="1239" ht="15" customHeight="1">
      <c r="A1239" t="inlineStr">
        <is>
          <t>A 13460-2026</t>
        </is>
      </c>
      <c r="B1239" t="inlineStr">
        <is>
          <t>avverkningsanmälan</t>
        </is>
      </c>
      <c r="C1239" t="inlineStr">
        <is>
          <t>Föryngringsavverkning</t>
        </is>
      </c>
      <c r="D1239" s="1" t="n">
        <v>46093</v>
      </c>
      <c r="E1239" s="1" t="n">
        <v>46313</v>
      </c>
      <c r="F1239" t="inlineStr">
        <is>
          <t>GÄVLEBORGS LÄN</t>
        </is>
      </c>
      <c r="G1239" t="inlineStr">
        <is>
          <t>BOLLNÄS</t>
        </is>
      </c>
      <c r="I1239" t="n">
        <v>0.7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s="2" t="inlineStr"/>
    </row>
    <row r="1240" ht="15" customHeight="1">
      <c r="A1240" t="inlineStr">
        <is>
          <t>A 13421-2026</t>
        </is>
      </c>
      <c r="B1240" t="inlineStr">
        <is>
          <t>avverkningsanmälan</t>
        </is>
      </c>
      <c r="C1240" t="inlineStr">
        <is>
          <t>Föryngringsavverkning</t>
        </is>
      </c>
      <c r="D1240" s="1" t="n">
        <v>46094</v>
      </c>
      <c r="E1240" s="1" t="n">
        <v>46313</v>
      </c>
      <c r="F1240" t="inlineStr">
        <is>
          <t>GÄVLEBORGS LÄN</t>
        </is>
      </c>
      <c r="G1240" t="inlineStr">
        <is>
          <t>BOLLNÄS</t>
        </is>
      </c>
      <c r="I1240" t="n">
        <v>0.8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s="2" t="inlineStr"/>
    </row>
    <row r="1241" ht="15" customHeight="1">
      <c r="A1241" t="inlineStr">
        <is>
          <t>A 13231-2026</t>
        </is>
      </c>
      <c r="B1241" t="inlineStr">
        <is>
          <t>avverkningsanmälan</t>
        </is>
      </c>
      <c r="C1241" t="inlineStr">
        <is>
          <t>Föryngringsavverkning</t>
        </is>
      </c>
      <c r="D1241" s="1" t="n">
        <v>46093</v>
      </c>
      <c r="E1241" s="1" t="n">
        <v>46313</v>
      </c>
      <c r="F1241" t="inlineStr">
        <is>
          <t>GÄVLEBORGS LÄN</t>
        </is>
      </c>
      <c r="G1241" t="inlineStr">
        <is>
          <t>BOLLNÄS</t>
        </is>
      </c>
      <c r="I1241" t="n">
        <v>2.3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s="2" t="inlineStr"/>
    </row>
    <row r="1242" ht="15" customHeight="1">
      <c r="A1242" t="inlineStr">
        <is>
          <t>A 13052-2026</t>
        </is>
      </c>
      <c r="B1242" t="inlineStr">
        <is>
          <t>avverkningsanmälan</t>
        </is>
      </c>
      <c r="C1242" t="inlineStr">
        <is>
          <t>Föryngringsavverkning</t>
        </is>
      </c>
      <c r="D1242" s="1" t="n">
        <v>46093</v>
      </c>
      <c r="E1242" s="1" t="n">
        <v>46313</v>
      </c>
      <c r="F1242" t="inlineStr">
        <is>
          <t>GÄVLEBORGS LÄN</t>
        </is>
      </c>
      <c r="G1242" t="inlineStr">
        <is>
          <t>BOLLNÄS</t>
        </is>
      </c>
      <c r="H1242" t="inlineStr">
        <is>
          <t>Bergvik skog väst AB</t>
        </is>
      </c>
      <c r="I1242" t="n">
        <v>28.3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s="2" t="inlineStr"/>
    </row>
    <row r="1243" ht="15" customHeight="1">
      <c r="A1243" t="inlineStr">
        <is>
          <t>A 13083-2026</t>
        </is>
      </c>
      <c r="B1243" t="inlineStr">
        <is>
          <t>avverkningsanmälan</t>
        </is>
      </c>
      <c r="C1243" t="inlineStr">
        <is>
          <t>Föryngringsavverkning</t>
        </is>
      </c>
      <c r="D1243" s="1" t="n">
        <v>46093</v>
      </c>
      <c r="E1243" s="1" t="n">
        <v>46313</v>
      </c>
      <c r="F1243" t="inlineStr">
        <is>
          <t>GÄVLEBORGS LÄN</t>
        </is>
      </c>
      <c r="G1243" t="inlineStr">
        <is>
          <t>BOLLNÄS</t>
        </is>
      </c>
      <c r="H1243" t="inlineStr">
        <is>
          <t>Bergvik skog väst AB</t>
        </is>
      </c>
      <c r="I1243" t="n">
        <v>4.2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s="2" t="inlineStr"/>
    </row>
    <row r="1244" ht="15" customHeight="1">
      <c r="A1244" t="inlineStr">
        <is>
          <t>A 13131-2026</t>
        </is>
      </c>
      <c r="B1244" t="inlineStr">
        <is>
          <t>avverkningsanmälan</t>
        </is>
      </c>
      <c r="C1244" t="inlineStr">
        <is>
          <t>Föryngringsavverkning</t>
        </is>
      </c>
      <c r="D1244" s="1" t="n">
        <v>46093</v>
      </c>
      <c r="E1244" s="1" t="n">
        <v>46313</v>
      </c>
      <c r="F1244" t="inlineStr">
        <is>
          <t>GÄVLEBORGS LÄN</t>
        </is>
      </c>
      <c r="G1244" t="inlineStr">
        <is>
          <t>BOLLNÄS</t>
        </is>
      </c>
      <c r="I1244" t="n">
        <v>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s="2" t="inlineStr"/>
    </row>
    <row r="1245" ht="15" customHeight="1">
      <c r="A1245" t="inlineStr">
        <is>
          <t>A 13026-2026</t>
        </is>
      </c>
      <c r="B1245" t="inlineStr">
        <is>
          <t>avverkningsanmälan</t>
        </is>
      </c>
      <c r="C1245" t="inlineStr">
        <is>
          <t>Föryngringsavverkning</t>
        </is>
      </c>
      <c r="D1245" s="1" t="n">
        <v>46092</v>
      </c>
      <c r="E1245" s="1" t="n">
        <v>46313</v>
      </c>
      <c r="F1245" t="inlineStr">
        <is>
          <t>GÄVLEBORGS LÄN</t>
        </is>
      </c>
      <c r="G1245" t="inlineStr">
        <is>
          <t>BOLLNÄS</t>
        </is>
      </c>
      <c r="I1245" t="n">
        <v>0.7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s="2" t="inlineStr"/>
    </row>
    <row r="1246" ht="15" customHeight="1">
      <c r="A1246" t="inlineStr">
        <is>
          <t>A 12935-2025</t>
        </is>
      </c>
      <c r="B1246" t="inlineStr">
        <is>
          <t>avverkningsanmälan</t>
        </is>
      </c>
      <c r="C1246" t="inlineStr">
        <is>
          <t>Föryngringsavverkning</t>
        </is>
      </c>
      <c r="D1246" s="1" t="n">
        <v>45734</v>
      </c>
      <c r="E1246" s="1" t="n">
        <v>46313</v>
      </c>
      <c r="F1246" t="inlineStr">
        <is>
          <t>GÄVLEBORGS LÄN</t>
        </is>
      </c>
      <c r="G1246" t="inlineStr">
        <is>
          <t>BOLLNÄS</t>
        </is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s="2" t="inlineStr"/>
    </row>
    <row r="1247" ht="15" customHeight="1">
      <c r="A1247" t="inlineStr">
        <is>
          <t>A 13548-2026</t>
        </is>
      </c>
      <c r="B1247" t="inlineStr">
        <is>
          <t>avverkningsanmälan</t>
        </is>
      </c>
      <c r="C1247" t="inlineStr">
        <is>
          <t>Föryngringsavverkning</t>
        </is>
      </c>
      <c r="D1247" s="1" t="n">
        <v>46094</v>
      </c>
      <c r="E1247" s="1" t="n">
        <v>46313</v>
      </c>
      <c r="F1247" t="inlineStr">
        <is>
          <t>GÄVLEBORGS LÄN</t>
        </is>
      </c>
      <c r="G1247" t="inlineStr">
        <is>
          <t>BOLLNÄS</t>
        </is>
      </c>
      <c r="I1247" t="n">
        <v>4.1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s="2" t="inlineStr"/>
    </row>
    <row r="1248" ht="15" customHeight="1">
      <c r="A1248" t="inlineStr">
        <is>
          <t>A 13556-2026</t>
        </is>
      </c>
      <c r="B1248" t="inlineStr">
        <is>
          <t>avverkningsanmälan</t>
        </is>
      </c>
      <c r="C1248" t="inlineStr">
        <is>
          <t>Föryngringsavverkning</t>
        </is>
      </c>
      <c r="D1248" s="1" t="n">
        <v>46094</v>
      </c>
      <c r="E1248" s="1" t="n">
        <v>46313</v>
      </c>
      <c r="F1248" t="inlineStr">
        <is>
          <t>GÄVLEBORGS LÄN</t>
        </is>
      </c>
      <c r="G1248" t="inlineStr">
        <is>
          <t>BOLLNÄS</t>
        </is>
      </c>
      <c r="I1248" t="n">
        <v>9.6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s="2" t="inlineStr"/>
    </row>
    <row r="1249" ht="15" customHeight="1">
      <c r="A1249" t="inlineStr">
        <is>
          <t>A 20778-2023</t>
        </is>
      </c>
      <c r="B1249" t="inlineStr">
        <is>
          <t>avverkningsanmälan</t>
        </is>
      </c>
      <c r="C1249" t="inlineStr">
        <is>
          <t>Föryngringsavverkning</t>
        </is>
      </c>
      <c r="D1249" s="1" t="n">
        <v>45058</v>
      </c>
      <c r="E1249" s="1" t="n">
        <v>46313</v>
      </c>
      <c r="F1249" t="inlineStr">
        <is>
          <t>GÄVLEBORGS LÄN</t>
        </is>
      </c>
      <c r="G1249" t="inlineStr">
        <is>
          <t>BOLLNÄS</t>
        </is>
      </c>
      <c r="H1249" t="inlineStr">
        <is>
          <t>Sveaskog</t>
        </is>
      </c>
      <c r="I1249" t="n">
        <v>0.9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s="2" t="inlineStr"/>
    </row>
    <row r="1250" ht="15" customHeight="1">
      <c r="A1250" t="inlineStr">
        <is>
          <t>A 13732-2026</t>
        </is>
      </c>
      <c r="B1250" t="inlineStr">
        <is>
          <t>avverkningsanmälan</t>
        </is>
      </c>
      <c r="C1250" t="inlineStr">
        <is>
          <t>Föryngringsavverkning</t>
        </is>
      </c>
      <c r="D1250" s="1" t="n">
        <v>46097</v>
      </c>
      <c r="E1250" s="1" t="n">
        <v>46313</v>
      </c>
      <c r="F1250" t="inlineStr">
        <is>
          <t>GÄVLEBORGS LÄN</t>
        </is>
      </c>
      <c r="G1250" t="inlineStr">
        <is>
          <t>BOLLNÄS</t>
        </is>
      </c>
      <c r="I1250" t="n">
        <v>2.4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s="2" t="inlineStr"/>
    </row>
    <row r="1251" ht="15" customHeight="1">
      <c r="A1251" t="inlineStr">
        <is>
          <t>A 13646-2026</t>
        </is>
      </c>
      <c r="B1251" t="inlineStr">
        <is>
          <t>avverkningsanmälan</t>
        </is>
      </c>
      <c r="C1251" t="inlineStr">
        <is>
          <t>Föryngringsavverkning</t>
        </is>
      </c>
      <c r="D1251" s="1" t="n">
        <v>46097</v>
      </c>
      <c r="E1251" s="1" t="n">
        <v>46313</v>
      </c>
      <c r="F1251" t="inlineStr">
        <is>
          <t>GÄVLEBORGS LÄN</t>
        </is>
      </c>
      <c r="G1251" t="inlineStr">
        <is>
          <t>BOLLNÄS</t>
        </is>
      </c>
      <c r="I1251" t="n">
        <v>0.9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s="2" t="inlineStr"/>
    </row>
    <row r="1252" ht="15" customHeight="1">
      <c r="A1252" t="inlineStr">
        <is>
          <t>A 13653-2026</t>
        </is>
      </c>
      <c r="B1252" t="inlineStr">
        <is>
          <t>avverkningsanmälan</t>
        </is>
      </c>
      <c r="C1252" t="inlineStr">
        <is>
          <t>Föryngringsavverkning</t>
        </is>
      </c>
      <c r="D1252" s="1" t="n">
        <v>46097</v>
      </c>
      <c r="E1252" s="1" t="n">
        <v>46313</v>
      </c>
      <c r="F1252" t="inlineStr">
        <is>
          <t>GÄVLEBORGS LÄN</t>
        </is>
      </c>
      <c r="G1252" t="inlineStr">
        <is>
          <t>BOLLNÄS</t>
        </is>
      </c>
      <c r="I1252" t="n">
        <v>1.2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s="2" t="inlineStr"/>
    </row>
    <row r="1253" ht="15" customHeight="1">
      <c r="A1253" t="inlineStr">
        <is>
          <t>A 13665-2026</t>
        </is>
      </c>
      <c r="B1253" t="inlineStr">
        <is>
          <t>avverkningsanmälan</t>
        </is>
      </c>
      <c r="C1253" t="inlineStr">
        <is>
          <t>Föryngringsavverkning</t>
        </is>
      </c>
      <c r="D1253" s="1" t="n">
        <v>46097</v>
      </c>
      <c r="E1253" s="1" t="n">
        <v>46313</v>
      </c>
      <c r="F1253" t="inlineStr">
        <is>
          <t>GÄVLEBORGS LÄN</t>
        </is>
      </c>
      <c r="G1253" t="inlineStr">
        <is>
          <t>BOLLNÄS</t>
        </is>
      </c>
      <c r="H1253" t="inlineStr">
        <is>
          <t>Bergvik skog väst AB</t>
        </is>
      </c>
      <c r="I1253" t="n">
        <v>7.6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s="2" t="inlineStr"/>
    </row>
    <row r="1254" ht="15" customHeight="1">
      <c r="A1254" t="inlineStr">
        <is>
          <t>A 17776-2025</t>
        </is>
      </c>
      <c r="B1254" t="inlineStr">
        <is>
          <t>avverkningsanmälan</t>
        </is>
      </c>
      <c r="C1254" t="inlineStr">
        <is>
          <t>Föryngringsavverkning</t>
        </is>
      </c>
      <c r="D1254" s="1" t="n">
        <v>45758</v>
      </c>
      <c r="E1254" s="1" t="n">
        <v>46313</v>
      </c>
      <c r="F1254" t="inlineStr">
        <is>
          <t>GÄVLEBORGS LÄN</t>
        </is>
      </c>
      <c r="G1254" t="inlineStr">
        <is>
          <t>BOLLNÄS</t>
        </is>
      </c>
      <c r="I1254" t="n">
        <v>0.4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s="2" t="inlineStr"/>
    </row>
    <row r="1255" ht="15" customHeight="1">
      <c r="A1255" t="inlineStr">
        <is>
          <t>A 13918-2026</t>
        </is>
      </c>
      <c r="B1255" t="inlineStr">
        <is>
          <t>avverkningsanmälan</t>
        </is>
      </c>
      <c r="C1255" t="inlineStr">
        <is>
          <t>Föryngringsavverkning</t>
        </is>
      </c>
      <c r="D1255" s="1" t="n">
        <v>46098</v>
      </c>
      <c r="E1255" s="1" t="n">
        <v>46313</v>
      </c>
      <c r="F1255" t="inlineStr">
        <is>
          <t>GÄVLEBORGS LÄN</t>
        </is>
      </c>
      <c r="G1255" t="inlineStr">
        <is>
          <t>BOLLNÄS</t>
        </is>
      </c>
      <c r="I1255" t="n">
        <v>0.7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s="2" t="inlineStr"/>
    </row>
    <row r="1256" ht="15" customHeight="1">
      <c r="A1256" t="inlineStr">
        <is>
          <t>A 13925-2026</t>
        </is>
      </c>
      <c r="B1256" t="inlineStr">
        <is>
          <t>avverkningsanmälan</t>
        </is>
      </c>
      <c r="C1256" t="inlineStr">
        <is>
          <t>Föryngringsavverkning</t>
        </is>
      </c>
      <c r="D1256" s="1" t="n">
        <v>46098</v>
      </c>
      <c r="E1256" s="1" t="n">
        <v>46313</v>
      </c>
      <c r="F1256" t="inlineStr">
        <is>
          <t>GÄVLEBORGS LÄN</t>
        </is>
      </c>
      <c r="G1256" t="inlineStr">
        <is>
          <t>BOLLNÄS</t>
        </is>
      </c>
      <c r="I1256" t="n">
        <v>1.2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s="2" t="inlineStr"/>
    </row>
    <row r="1257" ht="15" customHeight="1">
      <c r="A1257" t="inlineStr">
        <is>
          <t>A 13859-2026</t>
        </is>
      </c>
      <c r="B1257" t="inlineStr">
        <is>
          <t>avverkningsanmälan</t>
        </is>
      </c>
      <c r="C1257" t="inlineStr">
        <is>
          <t>Föryngringsavverkning</t>
        </is>
      </c>
      <c r="D1257" s="1" t="n">
        <v>46098</v>
      </c>
      <c r="E1257" s="1" t="n">
        <v>46313</v>
      </c>
      <c r="F1257" t="inlineStr">
        <is>
          <t>GÄVLEBORGS LÄN</t>
        </is>
      </c>
      <c r="G1257" t="inlineStr">
        <is>
          <t>BOLLNÄS</t>
        </is>
      </c>
      <c r="I1257" t="n">
        <v>0.9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s="2" t="inlineStr"/>
    </row>
    <row r="1258" ht="15" customHeight="1">
      <c r="A1258" t="inlineStr">
        <is>
          <t>A 9964-2026</t>
        </is>
      </c>
      <c r="B1258" t="inlineStr">
        <is>
          <t>avverkningsanmälan</t>
        </is>
      </c>
      <c r="C1258" t="inlineStr">
        <is>
          <t>Föryngringsavverkning</t>
        </is>
      </c>
      <c r="D1258" s="1" t="n">
        <v>46073</v>
      </c>
      <c r="E1258" s="1" t="n">
        <v>46313</v>
      </c>
      <c r="F1258" t="inlineStr">
        <is>
          <t>GÄVLEBORGS LÄN</t>
        </is>
      </c>
      <c r="G1258" t="inlineStr">
        <is>
          <t>BOLLNÄS</t>
        </is>
      </c>
      <c r="I1258" t="n">
        <v>1.2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s="2" t="inlineStr"/>
    </row>
    <row r="1259" ht="15" customHeight="1">
      <c r="A1259" t="inlineStr">
        <is>
          <t>A 13595-2026</t>
        </is>
      </c>
      <c r="B1259" t="inlineStr">
        <is>
          <t>avverkningsanmälan</t>
        </is>
      </c>
      <c r="C1259" t="inlineStr">
        <is>
          <t>Föryngringsavverkning</t>
        </is>
      </c>
      <c r="D1259" s="1" t="n">
        <v>46097</v>
      </c>
      <c r="E1259" s="1" t="n">
        <v>46313</v>
      </c>
      <c r="F1259" t="inlineStr">
        <is>
          <t>GÄVLEBORGS LÄN</t>
        </is>
      </c>
      <c r="G1259" t="inlineStr">
        <is>
          <t>BOLLNÄS</t>
        </is>
      </c>
      <c r="I1259" t="n">
        <v>2.7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s="2" t="inlineStr"/>
    </row>
    <row r="1260" ht="15" customHeight="1">
      <c r="A1260" t="inlineStr">
        <is>
          <t>A 13598-2026</t>
        </is>
      </c>
      <c r="B1260" t="inlineStr">
        <is>
          <t>avverkningsanmälan</t>
        </is>
      </c>
      <c r="C1260" t="inlineStr">
        <is>
          <t>Föryngringsavverkning</t>
        </is>
      </c>
      <c r="D1260" s="1" t="n">
        <v>46097</v>
      </c>
      <c r="E1260" s="1" t="n">
        <v>46313</v>
      </c>
      <c r="F1260" t="inlineStr">
        <is>
          <t>GÄVLEBORGS LÄN</t>
        </is>
      </c>
      <c r="G1260" t="inlineStr">
        <is>
          <t>BOLLNÄS</t>
        </is>
      </c>
      <c r="I1260" t="n">
        <v>3.1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s="2" t="inlineStr"/>
    </row>
    <row r="1261" ht="15" customHeight="1">
      <c r="A1261" t="inlineStr">
        <is>
          <t>A 13915-2026</t>
        </is>
      </c>
      <c r="B1261" t="inlineStr">
        <is>
          <t>avverkningsanmälan</t>
        </is>
      </c>
      <c r="C1261" t="inlineStr">
        <is>
          <t>Föryngringsavverkning</t>
        </is>
      </c>
      <c r="D1261" s="1" t="n">
        <v>46098</v>
      </c>
      <c r="E1261" s="1" t="n">
        <v>46313</v>
      </c>
      <c r="F1261" t="inlineStr">
        <is>
          <t>GÄVLEBORGS LÄN</t>
        </is>
      </c>
      <c r="G1261" t="inlineStr">
        <is>
          <t>BOLLNÄS</t>
        </is>
      </c>
      <c r="I1261" t="n">
        <v>2.1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s="2" t="inlineStr"/>
    </row>
    <row r="1262" ht="15" customHeight="1">
      <c r="A1262" t="inlineStr">
        <is>
          <t>A 45629-2023</t>
        </is>
      </c>
      <c r="B1262" t="inlineStr">
        <is>
          <t>avverkningsanmälan</t>
        </is>
      </c>
      <c r="C1262" t="inlineStr">
        <is>
          <t>Avverkning för att bevara och utveckla /försöksver</t>
        </is>
      </c>
      <c r="D1262" s="1" t="n">
        <v>45194</v>
      </c>
      <c r="E1262" s="1" t="n">
        <v>46313</v>
      </c>
      <c r="F1262" t="inlineStr">
        <is>
          <t>GÄVLEBORGS LÄN</t>
        </is>
      </c>
      <c r="G1262" t="inlineStr">
        <is>
          <t>BOLLNÄS</t>
        </is>
      </c>
      <c r="I1262" t="n">
        <v>11.5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s="2" t="inlineStr"/>
    </row>
    <row r="1263" ht="15" customHeight="1">
      <c r="A1263" t="inlineStr">
        <is>
          <t>A 13624-2026</t>
        </is>
      </c>
      <c r="B1263" t="inlineStr">
        <is>
          <t>avverkningsanmälan</t>
        </is>
      </c>
      <c r="C1263" t="inlineStr">
        <is>
          <t>Föryngringsavverkning</t>
        </is>
      </c>
      <c r="D1263" s="1" t="n">
        <v>46097</v>
      </c>
      <c r="E1263" s="1" t="n">
        <v>46313</v>
      </c>
      <c r="F1263" t="inlineStr">
        <is>
          <t>GÄVLEBORGS LÄN</t>
        </is>
      </c>
      <c r="G1263" t="inlineStr">
        <is>
          <t>BOLLNÄS</t>
        </is>
      </c>
      <c r="I1263" t="n">
        <v>3.9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s="2" t="inlineStr"/>
    </row>
    <row r="1264" ht="15" customHeight="1">
      <c r="A1264" t="inlineStr">
        <is>
          <t>A 14171-2026</t>
        </is>
      </c>
      <c r="B1264" t="inlineStr">
        <is>
          <t>avverkningsanmälan</t>
        </is>
      </c>
      <c r="C1264" t="inlineStr">
        <is>
          <t>Föryngringsavverkning</t>
        </is>
      </c>
      <c r="D1264" s="1" t="n">
        <v>46099</v>
      </c>
      <c r="E1264" s="1" t="n">
        <v>46313</v>
      </c>
      <c r="F1264" t="inlineStr">
        <is>
          <t>GÄVLEBORGS LÄN</t>
        </is>
      </c>
      <c r="G1264" t="inlineStr">
        <is>
          <t>BOLLNÄS</t>
        </is>
      </c>
      <c r="H1264" t="inlineStr">
        <is>
          <t>Bergvik skog väst AB</t>
        </is>
      </c>
      <c r="I1264" t="n">
        <v>3.5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s="2" t="inlineStr"/>
    </row>
    <row r="1265" ht="15" customHeight="1">
      <c r="A1265" t="inlineStr">
        <is>
          <t>A 14183-2026</t>
        </is>
      </c>
      <c r="B1265" t="inlineStr">
        <is>
          <t>avverkningsanmälan</t>
        </is>
      </c>
      <c r="C1265" t="inlineStr">
        <is>
          <t>Föryngringsavverkning</t>
        </is>
      </c>
      <c r="D1265" s="1" t="n">
        <v>46099</v>
      </c>
      <c r="E1265" s="1" t="n">
        <v>46313</v>
      </c>
      <c r="F1265" t="inlineStr">
        <is>
          <t>GÄVLEBORGS LÄN</t>
        </is>
      </c>
      <c r="G1265" t="inlineStr">
        <is>
          <t>BOLLNÄS</t>
        </is>
      </c>
      <c r="I1265" t="n">
        <v>7.1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s="2" t="inlineStr"/>
    </row>
    <row r="1266" ht="15" customHeight="1">
      <c r="A1266" t="inlineStr">
        <is>
          <t>A 14155-2026</t>
        </is>
      </c>
      <c r="B1266" t="inlineStr">
        <is>
          <t>avverkningsanmälan</t>
        </is>
      </c>
      <c r="C1266" t="inlineStr">
        <is>
          <t>Föryngringsavverkning</t>
        </is>
      </c>
      <c r="D1266" s="1" t="n">
        <v>46099</v>
      </c>
      <c r="E1266" s="1" t="n">
        <v>46313</v>
      </c>
      <c r="F1266" t="inlineStr">
        <is>
          <t>GÄVLEBORGS LÄN</t>
        </is>
      </c>
      <c r="G1266" t="inlineStr">
        <is>
          <t>BOLLNÄS</t>
        </is>
      </c>
      <c r="H1266" t="inlineStr">
        <is>
          <t>Bergvik skog väst AB</t>
        </is>
      </c>
      <c r="I1266" t="n">
        <v>2.8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s="2" t="inlineStr"/>
    </row>
    <row r="1267" ht="15" customHeight="1">
      <c r="A1267" t="inlineStr">
        <is>
          <t>A 14133-2026</t>
        </is>
      </c>
      <c r="B1267" t="inlineStr">
        <is>
          <t>avverkningsanmälan</t>
        </is>
      </c>
      <c r="C1267" t="inlineStr">
        <is>
          <t>Föryngringsavverkning</t>
        </is>
      </c>
      <c r="D1267" s="1" t="n">
        <v>46099</v>
      </c>
      <c r="E1267" s="1" t="n">
        <v>46313</v>
      </c>
      <c r="F1267" t="inlineStr">
        <is>
          <t>GÄVLEBORGS LÄN</t>
        </is>
      </c>
      <c r="G1267" t="inlineStr">
        <is>
          <t>BOLLNÄS</t>
        </is>
      </c>
      <c r="H1267" t="inlineStr">
        <is>
          <t>Bergvik skog väst AB</t>
        </is>
      </c>
      <c r="I1267" t="n">
        <v>7.4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s="2" t="inlineStr"/>
    </row>
    <row r="1268" ht="15" customHeight="1">
      <c r="A1268" t="inlineStr">
        <is>
          <t>A 14526-2026</t>
        </is>
      </c>
      <c r="B1268" t="inlineStr">
        <is>
          <t>avverkningsanmälan</t>
        </is>
      </c>
      <c r="C1268" t="inlineStr">
        <is>
          <t>Föryngringsavverkning</t>
        </is>
      </c>
      <c r="D1268" s="1" t="n">
        <v>46100</v>
      </c>
      <c r="E1268" s="1" t="n">
        <v>46313</v>
      </c>
      <c r="F1268" t="inlineStr">
        <is>
          <t>GÄVLEBORGS LÄN</t>
        </is>
      </c>
      <c r="G1268" t="inlineStr">
        <is>
          <t>BOLLNÄS</t>
        </is>
      </c>
      <c r="I1268" t="n">
        <v>10.9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s="2" t="inlineStr"/>
    </row>
    <row r="1269" ht="15" customHeight="1">
      <c r="A1269" t="inlineStr">
        <is>
          <t>A 14346-2026</t>
        </is>
      </c>
      <c r="B1269" t="inlineStr">
        <is>
          <t>avverkningsanmälan</t>
        </is>
      </c>
      <c r="C1269" t="inlineStr">
        <is>
          <t>Föryngringsavverkning</t>
        </is>
      </c>
      <c r="D1269" s="1" t="n">
        <v>46100</v>
      </c>
      <c r="E1269" s="1" t="n">
        <v>46313</v>
      </c>
      <c r="F1269" t="inlineStr">
        <is>
          <t>GÄVLEBORGS LÄN</t>
        </is>
      </c>
      <c r="G1269" t="inlineStr">
        <is>
          <t>BOLLNÄS</t>
        </is>
      </c>
      <c r="I1269" t="n">
        <v>0.8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s="2" t="inlineStr"/>
    </row>
    <row r="1270" ht="15" customHeight="1">
      <c r="A1270" t="inlineStr">
        <is>
          <t>A 14504-2026</t>
        </is>
      </c>
      <c r="B1270" t="inlineStr">
        <is>
          <t>avverkningsanmälan</t>
        </is>
      </c>
      <c r="C1270" t="inlineStr">
        <is>
          <t>Föryngringsavverkning</t>
        </is>
      </c>
      <c r="D1270" s="1" t="n">
        <v>46100</v>
      </c>
      <c r="E1270" s="1" t="n">
        <v>46313</v>
      </c>
      <c r="F1270" t="inlineStr">
        <is>
          <t>GÄVLEBORGS LÄN</t>
        </is>
      </c>
      <c r="G1270" t="inlineStr">
        <is>
          <t>BOLLNÄS</t>
        </is>
      </c>
      <c r="H1270" t="inlineStr">
        <is>
          <t>Bergvik skog väst AB</t>
        </is>
      </c>
      <c r="I1270" t="n">
        <v>0.9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s="2" t="inlineStr"/>
    </row>
    <row r="1271" ht="15" customHeight="1">
      <c r="A1271" t="inlineStr">
        <is>
          <t>A 14053-2026</t>
        </is>
      </c>
      <c r="B1271" t="inlineStr">
        <is>
          <t>avverkningsanmälan</t>
        </is>
      </c>
      <c r="C1271" t="inlineStr">
        <is>
          <t>Föryngringsavverkning</t>
        </is>
      </c>
      <c r="D1271" s="1" t="n">
        <v>46099</v>
      </c>
      <c r="E1271" s="1" t="n">
        <v>46313</v>
      </c>
      <c r="F1271" t="inlineStr">
        <is>
          <t>GÄVLEBORGS LÄN</t>
        </is>
      </c>
      <c r="G1271" t="inlineStr">
        <is>
          <t>BOLLNÄS</t>
        </is>
      </c>
      <c r="I1271" t="n">
        <v>2.2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s="2" t="inlineStr"/>
    </row>
    <row r="1272" ht="15" customHeight="1">
      <c r="A1272" t="inlineStr">
        <is>
          <t>A 14519-2026</t>
        </is>
      </c>
      <c r="B1272" t="inlineStr">
        <is>
          <t>avverkningsanmälan</t>
        </is>
      </c>
      <c r="C1272" t="inlineStr">
        <is>
          <t>Föryngringsavverkning</t>
        </is>
      </c>
      <c r="D1272" s="1" t="n">
        <v>46100</v>
      </c>
      <c r="E1272" s="1" t="n">
        <v>46313</v>
      </c>
      <c r="F1272" t="inlineStr">
        <is>
          <t>GÄVLEBORGS LÄN</t>
        </is>
      </c>
      <c r="G1272" t="inlineStr">
        <is>
          <t>BOLLNÄS</t>
        </is>
      </c>
      <c r="I1272" t="n">
        <v>0.8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s="2" t="inlineStr"/>
    </row>
    <row r="1273" ht="15" customHeight="1">
      <c r="A1273" t="inlineStr">
        <is>
          <t>A 14148-2026</t>
        </is>
      </c>
      <c r="B1273" t="inlineStr">
        <is>
          <t>avverkningsanmälan</t>
        </is>
      </c>
      <c r="C1273" t="inlineStr">
        <is>
          <t>Föryngringsavverkning</t>
        </is>
      </c>
      <c r="D1273" s="1" t="n">
        <v>46099</v>
      </c>
      <c r="E1273" s="1" t="n">
        <v>46313</v>
      </c>
      <c r="F1273" t="inlineStr">
        <is>
          <t>GÄVLEBORGS LÄN</t>
        </is>
      </c>
      <c r="G1273" t="inlineStr">
        <is>
          <t>BOLLNÄS</t>
        </is>
      </c>
      <c r="I1273" t="n">
        <v>0.3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s="2" t="inlineStr"/>
    </row>
    <row r="1274" ht="15" customHeight="1">
      <c r="A1274" t="inlineStr">
        <is>
          <t>A 14172-2026</t>
        </is>
      </c>
      <c r="B1274" t="inlineStr">
        <is>
          <t>avverkningsanmälan</t>
        </is>
      </c>
      <c r="C1274" t="inlineStr">
        <is>
          <t>Föryngringsavverkning</t>
        </is>
      </c>
      <c r="D1274" s="1" t="n">
        <v>46099</v>
      </c>
      <c r="E1274" s="1" t="n">
        <v>46313</v>
      </c>
      <c r="F1274" t="inlineStr">
        <is>
          <t>GÄVLEBORGS LÄN</t>
        </is>
      </c>
      <c r="G1274" t="inlineStr">
        <is>
          <t>BOLLNÄS</t>
        </is>
      </c>
      <c r="I1274" t="n">
        <v>1.2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s="2" t="inlineStr"/>
    </row>
    <row r="1275" ht="15" customHeight="1">
      <c r="A1275" t="inlineStr">
        <is>
          <t>A 16020-2024</t>
        </is>
      </c>
      <c r="B1275" t="inlineStr">
        <is>
          <t>avverkningsanmälan</t>
        </is>
      </c>
      <c r="C1275" t="inlineStr">
        <is>
          <t>Föryngringsavverkning</t>
        </is>
      </c>
      <c r="D1275" s="1" t="n">
        <v>45405</v>
      </c>
      <c r="E1275" s="1" t="n">
        <v>46313</v>
      </c>
      <c r="F1275" t="inlineStr">
        <is>
          <t>GÄVLEBORGS LÄN</t>
        </is>
      </c>
      <c r="G1275" t="inlineStr">
        <is>
          <t>BOLLNÄS</t>
        </is>
      </c>
      <c r="I1275" t="n">
        <v>1.6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s="2" t="inlineStr"/>
    </row>
    <row r="1276" ht="15" customHeight="1">
      <c r="A1276" t="inlineStr">
        <is>
          <t>A 14328-2026</t>
        </is>
      </c>
      <c r="B1276" t="inlineStr">
        <is>
          <t>avverkningsanmälan</t>
        </is>
      </c>
      <c r="C1276" t="inlineStr">
        <is>
          <t>Föryngringsavverkning</t>
        </is>
      </c>
      <c r="D1276" s="1" t="n">
        <v>46100</v>
      </c>
      <c r="E1276" s="1" t="n">
        <v>46313</v>
      </c>
      <c r="F1276" t="inlineStr">
        <is>
          <t>GÄVLEBORGS LÄN</t>
        </is>
      </c>
      <c r="G1276" t="inlineStr">
        <is>
          <t>BOLLNÄS</t>
        </is>
      </c>
      <c r="H1276" t="inlineStr">
        <is>
          <t>Bergvik skog väst AB</t>
        </is>
      </c>
      <c r="I1276" t="n">
        <v>2.3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s="2" t="inlineStr"/>
    </row>
    <row r="1277" ht="15" customHeight="1">
      <c r="A1277" t="inlineStr">
        <is>
          <t>A 14216-2026</t>
        </is>
      </c>
      <c r="B1277" t="inlineStr">
        <is>
          <t>avverkningsanmälan</t>
        </is>
      </c>
      <c r="C1277" t="inlineStr">
        <is>
          <t>Föryngringsavverkning</t>
        </is>
      </c>
      <c r="D1277" s="1" t="n">
        <v>46099</v>
      </c>
      <c r="E1277" s="1" t="n">
        <v>46313</v>
      </c>
      <c r="F1277" t="inlineStr">
        <is>
          <t>GÄVLEBORGS LÄN</t>
        </is>
      </c>
      <c r="G1277" t="inlineStr">
        <is>
          <t>BOLLNÄS</t>
        </is>
      </c>
      <c r="H1277" t="inlineStr">
        <is>
          <t>Bergvik skog väst AB</t>
        </is>
      </c>
      <c r="I1277" t="n">
        <v>7.1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s="2" t="inlineStr"/>
    </row>
    <row r="1278" ht="15" customHeight="1">
      <c r="A1278" t="inlineStr">
        <is>
          <t>A 14333-2026</t>
        </is>
      </c>
      <c r="B1278" t="inlineStr">
        <is>
          <t>avverkningsanmälan</t>
        </is>
      </c>
      <c r="C1278" t="inlineStr">
        <is>
          <t>Föryngringsavverkning</t>
        </is>
      </c>
      <c r="D1278" s="1" t="n">
        <v>46100</v>
      </c>
      <c r="E1278" s="1" t="n">
        <v>46313</v>
      </c>
      <c r="F1278" t="inlineStr">
        <is>
          <t>GÄVLEBORGS LÄN</t>
        </is>
      </c>
      <c r="G1278" t="inlineStr">
        <is>
          <t>BOLLNÄS</t>
        </is>
      </c>
      <c r="H1278" t="inlineStr">
        <is>
          <t>Bergvik skog väst AB</t>
        </is>
      </c>
      <c r="I1278" t="n">
        <v>11.9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s="2" t="inlineStr"/>
    </row>
    <row r="1279" ht="15" customHeight="1">
      <c r="A1279" t="inlineStr">
        <is>
          <t>A 14223-2026</t>
        </is>
      </c>
      <c r="B1279" t="inlineStr">
        <is>
          <t>avverkningsanmälan</t>
        </is>
      </c>
      <c r="C1279" t="inlineStr">
        <is>
          <t>Föryngringsavverkning</t>
        </is>
      </c>
      <c r="D1279" s="1" t="n">
        <v>46099</v>
      </c>
      <c r="E1279" s="1" t="n">
        <v>46313</v>
      </c>
      <c r="F1279" t="inlineStr">
        <is>
          <t>GÄVLEBORGS LÄN</t>
        </is>
      </c>
      <c r="G1279" t="inlineStr">
        <is>
          <t>BOLLNÄS</t>
        </is>
      </c>
      <c r="H1279" t="inlineStr">
        <is>
          <t>Bergvik skog väst AB</t>
        </is>
      </c>
      <c r="I1279" t="n">
        <v>6.1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s="2" t="inlineStr"/>
    </row>
    <row r="1280" ht="15" customHeight="1">
      <c r="A1280" t="inlineStr">
        <is>
          <t>A 14503-2026</t>
        </is>
      </c>
      <c r="B1280" t="inlineStr">
        <is>
          <t>avverkningsanmälan</t>
        </is>
      </c>
      <c r="C1280" t="inlineStr">
        <is>
          <t>Föryngringsavverkning</t>
        </is>
      </c>
      <c r="D1280" s="1" t="n">
        <v>46100</v>
      </c>
      <c r="E1280" s="1" t="n">
        <v>46313</v>
      </c>
      <c r="F1280" t="inlineStr">
        <is>
          <t>GÄVLEBORGS LÄN</t>
        </is>
      </c>
      <c r="G1280" t="inlineStr">
        <is>
          <t>BOLLNÄS</t>
        </is>
      </c>
      <c r="H1280" t="inlineStr">
        <is>
          <t>Bergvik skog väst AB</t>
        </is>
      </c>
      <c r="I1280" t="n">
        <v>2.9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s="2" t="inlineStr"/>
    </row>
    <row r="1281" ht="15" customHeight="1">
      <c r="A1281" t="inlineStr">
        <is>
          <t>A 14174-2026</t>
        </is>
      </c>
      <c r="B1281" t="inlineStr">
        <is>
          <t>avverkningsanmälan</t>
        </is>
      </c>
      <c r="C1281" t="inlineStr">
        <is>
          <t>Föryngringsavverkning</t>
        </is>
      </c>
      <c r="D1281" s="1" t="n">
        <v>46099</v>
      </c>
      <c r="E1281" s="1" t="n">
        <v>46313</v>
      </c>
      <c r="F1281" t="inlineStr">
        <is>
          <t>GÄVLEBORGS LÄN</t>
        </is>
      </c>
      <c r="G1281" t="inlineStr">
        <is>
          <t>BOLLNÄS</t>
        </is>
      </c>
      <c r="I1281" t="n">
        <v>1.3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s="2" t="inlineStr"/>
    </row>
    <row r="1282" ht="15" customHeight="1">
      <c r="A1282" t="inlineStr">
        <is>
          <t>A 14987-2026</t>
        </is>
      </c>
      <c r="B1282" t="inlineStr">
        <is>
          <t>avverkningsanmälan</t>
        </is>
      </c>
      <c r="C1282" t="inlineStr">
        <is>
          <t>Föryngringsavverkning</t>
        </is>
      </c>
      <c r="D1282" s="1" t="n">
        <v>46104</v>
      </c>
      <c r="E1282" s="1" t="n">
        <v>46313</v>
      </c>
      <c r="F1282" t="inlineStr">
        <is>
          <t>GÄVLEBORGS LÄN</t>
        </is>
      </c>
      <c r="G1282" t="inlineStr">
        <is>
          <t>BOLLNÄS</t>
        </is>
      </c>
      <c r="I1282" t="n">
        <v>1.2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s="2" t="inlineStr"/>
    </row>
    <row r="1283" ht="15" customHeight="1">
      <c r="A1283" t="inlineStr">
        <is>
          <t>A 14633-2026</t>
        </is>
      </c>
      <c r="B1283" t="inlineStr">
        <is>
          <t>avverkningsanmälan</t>
        </is>
      </c>
      <c r="C1283" t="inlineStr">
        <is>
          <t>Föryngringsavverkning</t>
        </is>
      </c>
      <c r="D1283" s="1" t="n">
        <v>46101</v>
      </c>
      <c r="E1283" s="1" t="n">
        <v>46313</v>
      </c>
      <c r="F1283" t="inlineStr">
        <is>
          <t>GÄVLEBORGS LÄN</t>
        </is>
      </c>
      <c r="G1283" t="inlineStr">
        <is>
          <t>BOLLNÄS</t>
        </is>
      </c>
      <c r="I1283" t="n">
        <v>2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s="2" t="inlineStr"/>
    </row>
    <row r="1284" ht="15" customHeight="1">
      <c r="A1284" t="inlineStr">
        <is>
          <t>A 14700-2026</t>
        </is>
      </c>
      <c r="B1284" t="inlineStr">
        <is>
          <t>avverkningsanmälan</t>
        </is>
      </c>
      <c r="C1284" t="inlineStr">
        <is>
          <t>Föryngringsavverkning</t>
        </is>
      </c>
      <c r="D1284" s="1" t="n">
        <v>46101</v>
      </c>
      <c r="E1284" s="1" t="n">
        <v>46313</v>
      </c>
      <c r="F1284" t="inlineStr">
        <is>
          <t>GÄVLEBORGS LÄN</t>
        </is>
      </c>
      <c r="G1284" t="inlineStr">
        <is>
          <t>BOLLNÄS</t>
        </is>
      </c>
      <c r="H1284" t="inlineStr">
        <is>
          <t>Kommuner</t>
        </is>
      </c>
      <c r="I1284" t="n">
        <v>10.4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s="2" t="inlineStr"/>
    </row>
    <row r="1285" ht="15" customHeight="1">
      <c r="A1285" t="inlineStr">
        <is>
          <t>A 14766-2026</t>
        </is>
      </c>
      <c r="B1285" t="inlineStr">
        <is>
          <t>avverkningsanmälan</t>
        </is>
      </c>
      <c r="C1285" t="inlineStr">
        <is>
          <t>Föryngringsavverkning</t>
        </is>
      </c>
      <c r="D1285" s="1" t="n">
        <v>46101</v>
      </c>
      <c r="E1285" s="1" t="n">
        <v>46313</v>
      </c>
      <c r="F1285" t="inlineStr">
        <is>
          <t>GÄVLEBORGS LÄN</t>
        </is>
      </c>
      <c r="G1285" t="inlineStr">
        <is>
          <t>BOLLNÄS</t>
        </is>
      </c>
      <c r="I1285" t="n">
        <v>0.8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s="2" t="inlineStr"/>
    </row>
    <row r="1286" ht="15" customHeight="1">
      <c r="A1286" t="inlineStr">
        <is>
          <t>A 60425-2024</t>
        </is>
      </c>
      <c r="B1286" t="inlineStr">
        <is>
          <t>avverkningsanmälan</t>
        </is>
      </c>
      <c r="C1286" t="inlineStr">
        <is>
          <t>Föryngringsavverkning</t>
        </is>
      </c>
      <c r="D1286" s="1" t="n">
        <v>45643</v>
      </c>
      <c r="E1286" s="1" t="n">
        <v>46313</v>
      </c>
      <c r="F1286" t="inlineStr">
        <is>
          <t>GÄVLEBORGS LÄN</t>
        </is>
      </c>
      <c r="G1286" t="inlineStr">
        <is>
          <t>BOLLNÄS</t>
        </is>
      </c>
      <c r="I1286" t="n">
        <v>0.7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s="2" t="inlineStr"/>
    </row>
    <row r="1287" ht="15" customHeight="1">
      <c r="A1287" t="inlineStr">
        <is>
          <t>A 15037-2026</t>
        </is>
      </c>
      <c r="B1287" t="inlineStr">
        <is>
          <t>avverkningsanmälan</t>
        </is>
      </c>
      <c r="C1287" t="inlineStr">
        <is>
          <t>Föryngringsavverkning</t>
        </is>
      </c>
      <c r="D1287" s="1" t="n">
        <v>46104</v>
      </c>
      <c r="E1287" s="1" t="n">
        <v>46313</v>
      </c>
      <c r="F1287" t="inlineStr">
        <is>
          <t>GÄVLEBORGS LÄN</t>
        </is>
      </c>
      <c r="G1287" t="inlineStr">
        <is>
          <t>BOLLNÄS</t>
        </is>
      </c>
      <c r="I1287" t="n">
        <v>7.1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s="2" t="inlineStr"/>
    </row>
    <row r="1288" ht="15" customHeight="1">
      <c r="A1288" t="inlineStr">
        <is>
          <t>A 14871-2026</t>
        </is>
      </c>
      <c r="B1288" t="inlineStr">
        <is>
          <t>avverkningsanmälan</t>
        </is>
      </c>
      <c r="C1288" t="inlineStr">
        <is>
          <t>Föryngringsavverkning</t>
        </is>
      </c>
      <c r="D1288" s="1" t="n">
        <v>46104</v>
      </c>
      <c r="E1288" s="1" t="n">
        <v>46313</v>
      </c>
      <c r="F1288" t="inlineStr">
        <is>
          <t>GÄVLEBORGS LÄN</t>
        </is>
      </c>
      <c r="G1288" t="inlineStr">
        <is>
          <t>BOLLNÄS</t>
        </is>
      </c>
      <c r="I1288" t="n">
        <v>0.5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s="2" t="inlineStr"/>
    </row>
    <row r="1289" ht="15" customHeight="1">
      <c r="A1289" t="inlineStr">
        <is>
          <t>A 14630-2026</t>
        </is>
      </c>
      <c r="B1289" t="inlineStr">
        <is>
          <t>avverkningsanmälan</t>
        </is>
      </c>
      <c r="C1289" t="inlineStr">
        <is>
          <t>Föryngringsavverkning</t>
        </is>
      </c>
      <c r="D1289" s="1" t="n">
        <v>46101</v>
      </c>
      <c r="E1289" s="1" t="n">
        <v>46313</v>
      </c>
      <c r="F1289" t="inlineStr">
        <is>
          <t>GÄVLEBORGS LÄN</t>
        </is>
      </c>
      <c r="G1289" t="inlineStr">
        <is>
          <t>BOLLNÄS</t>
        </is>
      </c>
      <c r="I1289" t="n">
        <v>1.1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s="2" t="inlineStr"/>
    </row>
    <row r="1290" ht="15" customHeight="1">
      <c r="A1290" t="inlineStr">
        <is>
          <t>A 14678-2026</t>
        </is>
      </c>
      <c r="B1290" t="inlineStr">
        <is>
          <t>avverkningsanmälan</t>
        </is>
      </c>
      <c r="C1290" t="inlineStr">
        <is>
          <t>Föryngringsavverkning</t>
        </is>
      </c>
      <c r="D1290" s="1" t="n">
        <v>46101</v>
      </c>
      <c r="E1290" s="1" t="n">
        <v>46313</v>
      </c>
      <c r="F1290" t="inlineStr">
        <is>
          <t>GÄVLEBORGS LÄN</t>
        </is>
      </c>
      <c r="G1290" t="inlineStr">
        <is>
          <t>BOLLNÄS</t>
        </is>
      </c>
      <c r="H1290" t="inlineStr">
        <is>
          <t>Kommuner</t>
        </is>
      </c>
      <c r="I1290" t="n">
        <v>23.7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s="2" t="inlineStr"/>
    </row>
    <row r="1291" ht="15" customHeight="1">
      <c r="A1291" t="inlineStr">
        <is>
          <t>A 14764-2026</t>
        </is>
      </c>
      <c r="B1291" t="inlineStr">
        <is>
          <t>avverkningsanmälan</t>
        </is>
      </c>
      <c r="C1291" t="inlineStr">
        <is>
          <t>Föryngringsavverkning</t>
        </is>
      </c>
      <c r="D1291" s="1" t="n">
        <v>46101</v>
      </c>
      <c r="E1291" s="1" t="n">
        <v>46313</v>
      </c>
      <c r="F1291" t="inlineStr">
        <is>
          <t>GÄVLEBORGS LÄN</t>
        </is>
      </c>
      <c r="G1291" t="inlineStr">
        <is>
          <t>BOLLNÄS</t>
        </is>
      </c>
      <c r="I1291" t="n">
        <v>1.1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s="2" t="inlineStr"/>
    </row>
    <row r="1292" ht="15" customHeight="1">
      <c r="A1292" t="inlineStr">
        <is>
          <t>A 14784-2026</t>
        </is>
      </c>
      <c r="B1292" t="inlineStr">
        <is>
          <t>avverkningsanmälan</t>
        </is>
      </c>
      <c r="C1292" t="inlineStr">
        <is>
          <t>Föryngringsavverkning</t>
        </is>
      </c>
      <c r="D1292" s="1" t="n">
        <v>46101</v>
      </c>
      <c r="E1292" s="1" t="n">
        <v>46313</v>
      </c>
      <c r="F1292" t="inlineStr">
        <is>
          <t>GÄVLEBORGS LÄN</t>
        </is>
      </c>
      <c r="G1292" t="inlineStr">
        <is>
          <t>BOLLNÄS</t>
        </is>
      </c>
      <c r="I1292" t="n">
        <v>1.7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s="2" t="inlineStr"/>
    </row>
    <row r="1293" ht="15" customHeight="1">
      <c r="A1293" t="inlineStr">
        <is>
          <t>A 14598-2026</t>
        </is>
      </c>
      <c r="B1293" t="inlineStr">
        <is>
          <t>avverkningsanmälan</t>
        </is>
      </c>
      <c r="C1293" t="inlineStr">
        <is>
          <t>Föryngringsavverkning</t>
        </is>
      </c>
      <c r="D1293" s="1" t="n">
        <v>46101</v>
      </c>
      <c r="E1293" s="1" t="n">
        <v>46313</v>
      </c>
      <c r="F1293" t="inlineStr">
        <is>
          <t>GÄVLEBORGS LÄN</t>
        </is>
      </c>
      <c r="G1293" t="inlineStr">
        <is>
          <t>BOLLNÄS</t>
        </is>
      </c>
      <c r="I1293" t="n">
        <v>0.8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s="2" t="inlineStr"/>
    </row>
    <row r="1294" ht="15" customHeight="1">
      <c r="A1294" t="inlineStr">
        <is>
          <t>A 14599-2026</t>
        </is>
      </c>
      <c r="B1294" t="inlineStr">
        <is>
          <t>avverkningsanmälan</t>
        </is>
      </c>
      <c r="C1294" t="inlineStr">
        <is>
          <t>Föryngringsavverkning</t>
        </is>
      </c>
      <c r="D1294" s="1" t="n">
        <v>46101</v>
      </c>
      <c r="E1294" s="1" t="n">
        <v>46313</v>
      </c>
      <c r="F1294" t="inlineStr">
        <is>
          <t>GÄVLEBORGS LÄN</t>
        </is>
      </c>
      <c r="G1294" t="inlineStr">
        <is>
          <t>BOLLNÄS</t>
        </is>
      </c>
      <c r="H1294" t="inlineStr">
        <is>
          <t>Kyrkan</t>
        </is>
      </c>
      <c r="I1294" t="n">
        <v>2.8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s="2" t="inlineStr"/>
    </row>
    <row r="1295" ht="15" customHeight="1">
      <c r="A1295" t="inlineStr">
        <is>
          <t>A 14729-2026</t>
        </is>
      </c>
      <c r="B1295" t="inlineStr">
        <is>
          <t>avverkningsanmälan</t>
        </is>
      </c>
      <c r="C1295" t="inlineStr">
        <is>
          <t>Föryngringsavverkning</t>
        </is>
      </c>
      <c r="D1295" s="1" t="n">
        <v>46101</v>
      </c>
      <c r="E1295" s="1" t="n">
        <v>46313</v>
      </c>
      <c r="F1295" t="inlineStr">
        <is>
          <t>GÄVLEBORGS LÄN</t>
        </is>
      </c>
      <c r="G1295" t="inlineStr">
        <is>
          <t>BOLLNÄS</t>
        </is>
      </c>
      <c r="H1295" t="inlineStr">
        <is>
          <t>Kommuner</t>
        </is>
      </c>
      <c r="I1295" t="n">
        <v>4.7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s="2" t="inlineStr"/>
    </row>
    <row r="1296" ht="15" customHeight="1">
      <c r="A1296" t="inlineStr">
        <is>
          <t>A 14735-2026</t>
        </is>
      </c>
      <c r="B1296" t="inlineStr">
        <is>
          <t>avverkningsanmälan</t>
        </is>
      </c>
      <c r="C1296" t="inlineStr">
        <is>
          <t>Föryngringsavverkning</t>
        </is>
      </c>
      <c r="D1296" s="1" t="n">
        <v>46101</v>
      </c>
      <c r="E1296" s="1" t="n">
        <v>46313</v>
      </c>
      <c r="F1296" t="inlineStr">
        <is>
          <t>GÄVLEBORGS LÄN</t>
        </is>
      </c>
      <c r="G1296" t="inlineStr">
        <is>
          <t>BOLLNÄS</t>
        </is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s="2" t="inlineStr"/>
    </row>
    <row r="1297" ht="15" customHeight="1">
      <c r="A1297" t="inlineStr">
        <is>
          <t>A 14741-2026</t>
        </is>
      </c>
      <c r="B1297" t="inlineStr">
        <is>
          <t>avverkningsanmälan</t>
        </is>
      </c>
      <c r="C1297" t="inlineStr">
        <is>
          <t>Föryngringsavverkning</t>
        </is>
      </c>
      <c r="D1297" s="1" t="n">
        <v>46101</v>
      </c>
      <c r="E1297" s="1" t="n">
        <v>46313</v>
      </c>
      <c r="F1297" t="inlineStr">
        <is>
          <t>GÄVLEBORGS LÄN</t>
        </is>
      </c>
      <c r="G1297" t="inlineStr">
        <is>
          <t>BOLLNÄS</t>
        </is>
      </c>
      <c r="H1297" t="inlineStr">
        <is>
          <t>Bergvik skog väst AB</t>
        </is>
      </c>
      <c r="I1297" t="n">
        <v>2.2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s="2" t="inlineStr"/>
    </row>
    <row r="1298" ht="15" customHeight="1">
      <c r="A1298" t="inlineStr">
        <is>
          <t>A 14899-2026</t>
        </is>
      </c>
      <c r="B1298" t="inlineStr">
        <is>
          <t>avverkningsanmälan</t>
        </is>
      </c>
      <c r="C1298" t="inlineStr">
        <is>
          <t>Föryngringsavverkning</t>
        </is>
      </c>
      <c r="D1298" s="1" t="n">
        <v>46104</v>
      </c>
      <c r="E1298" s="1" t="n">
        <v>46313</v>
      </c>
      <c r="F1298" t="inlineStr">
        <is>
          <t>GÄVLEBORGS LÄN</t>
        </is>
      </c>
      <c r="G1298" t="inlineStr">
        <is>
          <t>BOLLNÄS</t>
        </is>
      </c>
      <c r="I1298" t="n">
        <v>7.3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s="2" t="inlineStr"/>
    </row>
    <row r="1299" ht="15" customHeight="1">
      <c r="A1299" t="inlineStr">
        <is>
          <t>A 14864-2026</t>
        </is>
      </c>
      <c r="B1299" t="inlineStr">
        <is>
          <t>avverkningsanmälan</t>
        </is>
      </c>
      <c r="C1299" t="inlineStr">
        <is>
          <t>Föryngringsavverkning</t>
        </is>
      </c>
      <c r="D1299" s="1" t="n">
        <v>46104</v>
      </c>
      <c r="E1299" s="1" t="n">
        <v>46313</v>
      </c>
      <c r="F1299" t="inlineStr">
        <is>
          <t>GÄVLEBORGS LÄN</t>
        </is>
      </c>
      <c r="G1299" t="inlineStr">
        <is>
          <t>BOLLNÄS</t>
        </is>
      </c>
      <c r="I1299" t="n">
        <v>7.9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s="2" t="inlineStr"/>
    </row>
    <row r="1300" ht="15" customHeight="1">
      <c r="A1300" t="inlineStr">
        <is>
          <t>A 14594-2026</t>
        </is>
      </c>
      <c r="B1300" t="inlineStr">
        <is>
          <t>avverkningsanmälan</t>
        </is>
      </c>
      <c r="C1300" t="inlineStr">
        <is>
          <t>Föryngringsavverkning</t>
        </is>
      </c>
      <c r="D1300" s="1" t="n">
        <v>46101</v>
      </c>
      <c r="E1300" s="1" t="n">
        <v>46313</v>
      </c>
      <c r="F1300" t="inlineStr">
        <is>
          <t>GÄVLEBORGS LÄN</t>
        </is>
      </c>
      <c r="G1300" t="inlineStr">
        <is>
          <t>BOLLNÄS</t>
        </is>
      </c>
      <c r="I1300" t="n">
        <v>1.7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s="2" t="inlineStr"/>
    </row>
    <row r="1301" ht="15" customHeight="1">
      <c r="A1301" t="inlineStr">
        <is>
          <t>A 14872-2026</t>
        </is>
      </c>
      <c r="B1301" t="inlineStr">
        <is>
          <t>avverkningsanmälan</t>
        </is>
      </c>
      <c r="C1301" t="inlineStr">
        <is>
          <t>Föryngringsavverkning</t>
        </is>
      </c>
      <c r="D1301" s="1" t="n">
        <v>46104</v>
      </c>
      <c r="E1301" s="1" t="n">
        <v>46313</v>
      </c>
      <c r="F1301" t="inlineStr">
        <is>
          <t>GÄVLEBORGS LÄN</t>
        </is>
      </c>
      <c r="G1301" t="inlineStr">
        <is>
          <t>BOLLNÄS</t>
        </is>
      </c>
      <c r="I1301" t="n">
        <v>0.9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s="2" t="inlineStr"/>
    </row>
    <row r="1302" ht="15" customHeight="1">
      <c r="A1302" t="inlineStr">
        <is>
          <t>A 14586-2026</t>
        </is>
      </c>
      <c r="B1302" t="inlineStr">
        <is>
          <t>avverkningsanmälan</t>
        </is>
      </c>
      <c r="C1302" t="inlineStr">
        <is>
          <t>Föryngringsavverkning</t>
        </is>
      </c>
      <c r="D1302" s="1" t="n">
        <v>46101</v>
      </c>
      <c r="E1302" s="1" t="n">
        <v>46313</v>
      </c>
      <c r="F1302" t="inlineStr">
        <is>
          <t>GÄVLEBORGS LÄN</t>
        </is>
      </c>
      <c r="G1302" t="inlineStr">
        <is>
          <t>BOLLNÄS</t>
        </is>
      </c>
      <c r="I1302" t="n">
        <v>1.1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s="2" t="inlineStr"/>
    </row>
    <row r="1303" ht="15" customHeight="1">
      <c r="A1303" t="inlineStr">
        <is>
          <t>A 14589-2026</t>
        </is>
      </c>
      <c r="B1303" t="inlineStr">
        <is>
          <t>avverkningsanmälan</t>
        </is>
      </c>
      <c r="C1303" t="inlineStr">
        <is>
          <t>Föryngringsavverkning</t>
        </is>
      </c>
      <c r="D1303" s="1" t="n">
        <v>46101</v>
      </c>
      <c r="E1303" s="1" t="n">
        <v>46313</v>
      </c>
      <c r="F1303" t="inlineStr">
        <is>
          <t>GÄVLEBORGS LÄN</t>
        </is>
      </c>
      <c r="G1303" t="inlineStr">
        <is>
          <t>BOLLNÄS</t>
        </is>
      </c>
      <c r="I1303" t="n">
        <v>2.8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s="2" t="inlineStr"/>
    </row>
    <row r="1304" ht="15" customHeight="1">
      <c r="A1304" t="inlineStr">
        <is>
          <t>A 14888-2026</t>
        </is>
      </c>
      <c r="B1304" t="inlineStr">
        <is>
          <t>avverkningsanmälan</t>
        </is>
      </c>
      <c r="C1304" t="inlineStr">
        <is>
          <t>Föryngringsavverkning</t>
        </is>
      </c>
      <c r="D1304" s="1" t="n">
        <v>46104</v>
      </c>
      <c r="E1304" s="1" t="n">
        <v>46313</v>
      </c>
      <c r="F1304" t="inlineStr">
        <is>
          <t>GÄVLEBORGS LÄN</t>
        </is>
      </c>
      <c r="G1304" t="inlineStr">
        <is>
          <t>BOLLNÄS</t>
        </is>
      </c>
      <c r="I1304" t="n">
        <v>11.3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s="2" t="inlineStr"/>
    </row>
    <row r="1305" ht="15" customHeight="1">
      <c r="A1305" t="inlineStr">
        <is>
          <t>A 14866-2026</t>
        </is>
      </c>
      <c r="B1305" t="inlineStr">
        <is>
          <t>avverkningsanmälan</t>
        </is>
      </c>
      <c r="C1305" t="inlineStr">
        <is>
          <t>Föryngringsavverkning</t>
        </is>
      </c>
      <c r="D1305" s="1" t="n">
        <v>46104</v>
      </c>
      <c r="E1305" s="1" t="n">
        <v>46313</v>
      </c>
      <c r="F1305" t="inlineStr">
        <is>
          <t>GÄVLEBORGS LÄN</t>
        </is>
      </c>
      <c r="G1305" t="inlineStr">
        <is>
          <t>BOLLNÄS</t>
        </is>
      </c>
      <c r="I1305" t="n">
        <v>3.1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s="2" t="inlineStr"/>
    </row>
    <row r="1306" ht="15" customHeight="1">
      <c r="A1306" t="inlineStr">
        <is>
          <t>A 15149-2026</t>
        </is>
      </c>
      <c r="B1306" t="inlineStr">
        <is>
          <t>avverkningsanmälan</t>
        </is>
      </c>
      <c r="C1306" t="inlineStr">
        <is>
          <t>Föryngringsavverkning</t>
        </is>
      </c>
      <c r="D1306" s="1" t="n">
        <v>46105</v>
      </c>
      <c r="E1306" s="1" t="n">
        <v>46313</v>
      </c>
      <c r="F1306" t="inlineStr">
        <is>
          <t>GÄVLEBORGS LÄN</t>
        </is>
      </c>
      <c r="G1306" t="inlineStr">
        <is>
          <t>BOLLNÄS</t>
        </is>
      </c>
      <c r="H1306" t="inlineStr">
        <is>
          <t>Holmen skog AB</t>
        </is>
      </c>
      <c r="I1306" t="n">
        <v>8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s="2" t="inlineStr"/>
    </row>
    <row r="1307" ht="15" customHeight="1">
      <c r="A1307" t="inlineStr">
        <is>
          <t>A 15643-2026</t>
        </is>
      </c>
      <c r="B1307" t="inlineStr">
        <is>
          <t>avverkningsanmälan</t>
        </is>
      </c>
      <c r="C1307" t="inlineStr">
        <is>
          <t>Föryngringsavverkning</t>
        </is>
      </c>
      <c r="D1307" s="1" t="n">
        <v>46106</v>
      </c>
      <c r="E1307" s="1" t="n">
        <v>46313</v>
      </c>
      <c r="F1307" t="inlineStr">
        <is>
          <t>GÄVLEBORGS LÄN</t>
        </is>
      </c>
      <c r="G1307" t="inlineStr">
        <is>
          <t>BOLLNÄS</t>
        </is>
      </c>
      <c r="I1307" t="n">
        <v>3.4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s="2" t="inlineStr"/>
    </row>
    <row r="1308" ht="15" customHeight="1">
      <c r="A1308" t="inlineStr">
        <is>
          <t>A 28196-2026</t>
        </is>
      </c>
      <c r="B1308" t="inlineStr">
        <is>
          <t>avverkningsanmälan</t>
        </is>
      </c>
      <c r="C1308" t="inlineStr">
        <is>
          <t>Föryngringsavverkning</t>
        </is>
      </c>
      <c r="D1308" s="1" t="n">
        <v>46196</v>
      </c>
      <c r="E1308" s="1" t="n">
        <v>46313</v>
      </c>
      <c r="F1308" t="inlineStr">
        <is>
          <t>GÄVLEBORGS LÄN</t>
        </is>
      </c>
      <c r="G1308" t="inlineStr">
        <is>
          <t>BOLLNÄS</t>
        </is>
      </c>
      <c r="I1308" t="n">
        <v>1.9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s="2" t="inlineStr"/>
    </row>
    <row r="1309" ht="15" customHeight="1">
      <c r="A1309" t="inlineStr">
        <is>
          <t>A 15511-2026</t>
        </is>
      </c>
      <c r="B1309" t="inlineStr">
        <is>
          <t>avverkningsanmälan</t>
        </is>
      </c>
      <c r="C1309" t="inlineStr">
        <is>
          <t>Föryngringsavverkning</t>
        </is>
      </c>
      <c r="D1309" s="1" t="n">
        <v>46106</v>
      </c>
      <c r="E1309" s="1" t="n">
        <v>46313</v>
      </c>
      <c r="F1309" t="inlineStr">
        <is>
          <t>GÄVLEBORGS LÄN</t>
        </is>
      </c>
      <c r="G1309" t="inlineStr">
        <is>
          <t>BOLLNÄS</t>
        </is>
      </c>
      <c r="I1309" t="n">
        <v>2.9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s="2" t="inlineStr"/>
    </row>
    <row r="1310" ht="15" customHeight="1">
      <c r="A1310" t="inlineStr">
        <is>
          <t>A 15449-2026</t>
        </is>
      </c>
      <c r="B1310" t="inlineStr">
        <is>
          <t>avverkningsanmälan</t>
        </is>
      </c>
      <c r="C1310" t="inlineStr">
        <is>
          <t>Föryngringsavverkning</t>
        </is>
      </c>
      <c r="D1310" s="1" t="n">
        <v>46106</v>
      </c>
      <c r="E1310" s="1" t="n">
        <v>46313</v>
      </c>
      <c r="F1310" t="inlineStr">
        <is>
          <t>GÄVLEBORGS LÄN</t>
        </is>
      </c>
      <c r="G1310" t="inlineStr">
        <is>
          <t>BOLLNÄS</t>
        </is>
      </c>
      <c r="I1310" t="n">
        <v>0.5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s="2" t="inlineStr"/>
    </row>
    <row r="1311" ht="15" customHeight="1">
      <c r="A1311" t="inlineStr">
        <is>
          <t>A 15605-2026</t>
        </is>
      </c>
      <c r="B1311" t="inlineStr">
        <is>
          <t>avverkningsanmälan</t>
        </is>
      </c>
      <c r="C1311" t="inlineStr">
        <is>
          <t>Föryngringsavverkning</t>
        </is>
      </c>
      <c r="D1311" s="1" t="n">
        <v>46106</v>
      </c>
      <c r="E1311" s="1" t="n">
        <v>46313</v>
      </c>
      <c r="F1311" t="inlineStr">
        <is>
          <t>GÄVLEBORGS LÄN</t>
        </is>
      </c>
      <c r="G1311" t="inlineStr">
        <is>
          <t>BOLLNÄS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s="2" t="inlineStr"/>
    </row>
    <row r="1312" ht="15" customHeight="1">
      <c r="A1312" t="inlineStr">
        <is>
          <t>A 15507-2026</t>
        </is>
      </c>
      <c r="B1312" t="inlineStr">
        <is>
          <t>avverkningsanmälan</t>
        </is>
      </c>
      <c r="C1312" t="inlineStr">
        <is>
          <t>Föryngringsavverkning</t>
        </is>
      </c>
      <c r="D1312" s="1" t="n">
        <v>46106</v>
      </c>
      <c r="E1312" s="1" t="n">
        <v>46313</v>
      </c>
      <c r="F1312" t="inlineStr">
        <is>
          <t>GÄVLEBORGS LÄN</t>
        </is>
      </c>
      <c r="G1312" t="inlineStr">
        <is>
          <t>BOLLNÄS</t>
        </is>
      </c>
      <c r="I1312" t="n">
        <v>2.4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s="2" t="inlineStr"/>
    </row>
    <row r="1313" ht="15" customHeight="1">
      <c r="A1313" t="inlineStr">
        <is>
          <t>A 15520-2026</t>
        </is>
      </c>
      <c r="B1313" t="inlineStr">
        <is>
          <t>avverkningsanmälan</t>
        </is>
      </c>
      <c r="C1313" t="inlineStr">
        <is>
          <t>Föryngringsavverkning</t>
        </is>
      </c>
      <c r="D1313" s="1" t="n">
        <v>46106</v>
      </c>
      <c r="E1313" s="1" t="n">
        <v>46313</v>
      </c>
      <c r="F1313" t="inlineStr">
        <is>
          <t>GÄVLEBORGS LÄN</t>
        </is>
      </c>
      <c r="G1313" t="inlineStr">
        <is>
          <t>BOLLNÄS</t>
        </is>
      </c>
      <c r="I1313" t="n">
        <v>1.2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s="2" t="inlineStr"/>
    </row>
    <row r="1314" ht="15" customHeight="1">
      <c r="A1314" t="inlineStr">
        <is>
          <t>A 15528-2026</t>
        </is>
      </c>
      <c r="B1314" t="inlineStr">
        <is>
          <t>avverkningsanmälan</t>
        </is>
      </c>
      <c r="C1314" t="inlineStr">
        <is>
          <t>Föryngringsavverkning</t>
        </is>
      </c>
      <c r="D1314" s="1" t="n">
        <v>46106</v>
      </c>
      <c r="E1314" s="1" t="n">
        <v>46313</v>
      </c>
      <c r="F1314" t="inlineStr">
        <is>
          <t>GÄVLEBORGS LÄN</t>
        </is>
      </c>
      <c r="G1314" t="inlineStr">
        <is>
          <t>BOLLNÄS</t>
        </is>
      </c>
      <c r="I1314" t="n">
        <v>3.9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s="2" t="inlineStr"/>
    </row>
    <row r="1315" ht="15" customHeight="1">
      <c r="A1315" t="inlineStr">
        <is>
          <t>A 15522-2026</t>
        </is>
      </c>
      <c r="B1315" t="inlineStr">
        <is>
          <t>avverkningsanmälan</t>
        </is>
      </c>
      <c r="C1315" t="inlineStr">
        <is>
          <t>Föryngringsavverkning</t>
        </is>
      </c>
      <c r="D1315" s="1" t="n">
        <v>46106</v>
      </c>
      <c r="E1315" s="1" t="n">
        <v>46313</v>
      </c>
      <c r="F1315" t="inlineStr">
        <is>
          <t>GÄVLEBORGS LÄN</t>
        </is>
      </c>
      <c r="G1315" t="inlineStr">
        <is>
          <t>BOLLNÄS</t>
        </is>
      </c>
      <c r="I1315" t="n">
        <v>0.8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s="2" t="inlineStr"/>
    </row>
    <row r="1316" ht="15" customHeight="1">
      <c r="A1316" t="inlineStr">
        <is>
          <t>A 28124-2026</t>
        </is>
      </c>
      <c r="B1316" t="inlineStr">
        <is>
          <t>avverkningsanmälan</t>
        </is>
      </c>
      <c r="C1316" t="inlineStr">
        <is>
          <t>Föryngringsavverkning</t>
        </is>
      </c>
      <c r="D1316" s="1" t="n">
        <v>46195</v>
      </c>
      <c r="E1316" s="1" t="n">
        <v>46313</v>
      </c>
      <c r="F1316" t="inlineStr">
        <is>
          <t>GÄVLEBORGS LÄN</t>
        </is>
      </c>
      <c r="G1316" t="inlineStr">
        <is>
          <t>BOLLNÄS</t>
        </is>
      </c>
      <c r="I1316" t="n">
        <v>3.3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s="2" t="inlineStr"/>
    </row>
    <row r="1317" ht="15" customHeight="1">
      <c r="A1317" t="inlineStr">
        <is>
          <t>A 15387-2026</t>
        </is>
      </c>
      <c r="B1317" t="inlineStr">
        <is>
          <t>avverkningsanmälan</t>
        </is>
      </c>
      <c r="C1317" t="inlineStr">
        <is>
          <t>Föryngringsavverkning</t>
        </is>
      </c>
      <c r="D1317" s="1" t="n">
        <v>46106</v>
      </c>
      <c r="E1317" s="1" t="n">
        <v>46313</v>
      </c>
      <c r="F1317" t="inlineStr">
        <is>
          <t>GÄVLEBORGS LÄN</t>
        </is>
      </c>
      <c r="G1317" t="inlineStr">
        <is>
          <t>BOLLNÄS</t>
        </is>
      </c>
      <c r="H1317" t="inlineStr">
        <is>
          <t>Bergvik skog väst AB</t>
        </is>
      </c>
      <c r="I1317" t="n">
        <v>3.3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s="2" t="inlineStr"/>
    </row>
    <row r="1318" ht="15" customHeight="1">
      <c r="A1318" t="inlineStr">
        <is>
          <t>A 28270-2026</t>
        </is>
      </c>
      <c r="B1318" t="inlineStr">
        <is>
          <t>avverkningsanmälan</t>
        </is>
      </c>
      <c r="C1318" t="inlineStr">
        <is>
          <t>Föryngringsavverkning</t>
        </is>
      </c>
      <c r="D1318" s="1" t="n">
        <v>46196</v>
      </c>
      <c r="E1318" s="1" t="n">
        <v>46313</v>
      </c>
      <c r="F1318" t="inlineStr">
        <is>
          <t>GÄVLEBORGS LÄN</t>
        </is>
      </c>
      <c r="G1318" t="inlineStr">
        <is>
          <t>BOLLNÄS</t>
        </is>
      </c>
      <c r="I1318" t="n">
        <v>2.4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s="2" t="inlineStr"/>
    </row>
    <row r="1319" ht="15" customHeight="1">
      <c r="A1319" t="inlineStr">
        <is>
          <t>A 16036-2026</t>
        </is>
      </c>
      <c r="B1319" t="inlineStr">
        <is>
          <t>avverkningsanmälan</t>
        </is>
      </c>
      <c r="C1319" t="inlineStr">
        <is>
          <t>Föryngringsavverkning</t>
        </is>
      </c>
      <c r="D1319" s="1" t="n">
        <v>46108</v>
      </c>
      <c r="E1319" s="1" t="n">
        <v>46313</v>
      </c>
      <c r="F1319" t="inlineStr">
        <is>
          <t>GÄVLEBORGS LÄN</t>
        </is>
      </c>
      <c r="G1319" t="inlineStr">
        <is>
          <t>BOLLNÄS</t>
        </is>
      </c>
      <c r="H1319" t="inlineStr">
        <is>
          <t>Bergvik skog väst AB</t>
        </is>
      </c>
      <c r="I1319" t="n">
        <v>1.7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s="2" t="inlineStr"/>
    </row>
    <row r="1320" ht="15" customHeight="1">
      <c r="A1320" t="inlineStr">
        <is>
          <t>A 15995-2026</t>
        </is>
      </c>
      <c r="B1320" t="inlineStr">
        <is>
          <t>avverkningsanmälan</t>
        </is>
      </c>
      <c r="C1320" t="inlineStr">
        <is>
          <t>Föryngringsavverkning</t>
        </is>
      </c>
      <c r="D1320" s="1" t="n">
        <v>46108</v>
      </c>
      <c r="E1320" s="1" t="n">
        <v>46313</v>
      </c>
      <c r="F1320" t="inlineStr">
        <is>
          <t>GÄVLEBORGS LÄN</t>
        </is>
      </c>
      <c r="G1320" t="inlineStr">
        <is>
          <t>BOLLNÄS</t>
        </is>
      </c>
      <c r="I1320" t="n">
        <v>0.5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s="2" t="inlineStr"/>
    </row>
    <row r="1321" ht="15" customHeight="1">
      <c r="A1321" t="inlineStr">
        <is>
          <t>A 40928-2024</t>
        </is>
      </c>
      <c r="B1321" t="inlineStr">
        <is>
          <t>avverkningsanmälan</t>
        </is>
      </c>
      <c r="C1321" t="inlineStr">
        <is>
          <t>Föryngringsavverkning</t>
        </is>
      </c>
      <c r="D1321" s="1" t="n">
        <v>45558</v>
      </c>
      <c r="E1321" s="1" t="n">
        <v>46313</v>
      </c>
      <c r="F1321" t="inlineStr">
        <is>
          <t>GÄVLEBORGS LÄN</t>
        </is>
      </c>
      <c r="G1321" t="inlineStr">
        <is>
          <t>BOLLNÄS</t>
        </is>
      </c>
      <c r="I1321" t="n">
        <v>1.5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s="2" t="inlineStr"/>
    </row>
    <row r="1322" ht="15" customHeight="1">
      <c r="A1322" t="inlineStr">
        <is>
          <t>A 16029-2026</t>
        </is>
      </c>
      <c r="B1322" t="inlineStr">
        <is>
          <t>avverkningsanmälan</t>
        </is>
      </c>
      <c r="C1322" t="inlineStr">
        <is>
          <t>Föryngringsavverkning</t>
        </is>
      </c>
      <c r="D1322" s="1" t="n">
        <v>46108</v>
      </c>
      <c r="E1322" s="1" t="n">
        <v>46313</v>
      </c>
      <c r="F1322" t="inlineStr">
        <is>
          <t>GÄVLEBORGS LÄN</t>
        </is>
      </c>
      <c r="G1322" t="inlineStr">
        <is>
          <t>BOLLNÄS</t>
        </is>
      </c>
      <c r="I1322" t="n">
        <v>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s="2" t="inlineStr"/>
    </row>
    <row r="1323" ht="15" customHeight="1">
      <c r="A1323" t="inlineStr">
        <is>
          <t>A 16057-2026</t>
        </is>
      </c>
      <c r="B1323" t="inlineStr">
        <is>
          <t>avverkningsanmälan</t>
        </is>
      </c>
      <c r="C1323" t="inlineStr">
        <is>
          <t>Föryngringsavverkning</t>
        </is>
      </c>
      <c r="D1323" s="1" t="n">
        <v>46108</v>
      </c>
      <c r="E1323" s="1" t="n">
        <v>46313</v>
      </c>
      <c r="F1323" t="inlineStr">
        <is>
          <t>GÄVLEBORGS LÄN</t>
        </is>
      </c>
      <c r="G1323" t="inlineStr">
        <is>
          <t>BOLLNÄS</t>
        </is>
      </c>
      <c r="I1323" t="n">
        <v>2.1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s="2" t="inlineStr"/>
    </row>
    <row r="1324" ht="15" customHeight="1">
      <c r="A1324" t="inlineStr">
        <is>
          <t>A 16058-2026</t>
        </is>
      </c>
      <c r="B1324" t="inlineStr">
        <is>
          <t>avverkningsanmälan</t>
        </is>
      </c>
      <c r="C1324" t="inlineStr">
        <is>
          <t>Föryngringsavverkning</t>
        </is>
      </c>
      <c r="D1324" s="1" t="n">
        <v>46108</v>
      </c>
      <c r="E1324" s="1" t="n">
        <v>46313</v>
      </c>
      <c r="F1324" t="inlineStr">
        <is>
          <t>GÄVLEBORGS LÄN</t>
        </is>
      </c>
      <c r="G1324" t="inlineStr">
        <is>
          <t>BOLLNÄS</t>
        </is>
      </c>
      <c r="I1324" t="n">
        <v>0.4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s="2" t="inlineStr"/>
    </row>
    <row r="1325" ht="15" customHeight="1">
      <c r="A1325" t="inlineStr">
        <is>
          <t>A 16059-2026</t>
        </is>
      </c>
      <c r="B1325" t="inlineStr">
        <is>
          <t>avverkningsanmälan</t>
        </is>
      </c>
      <c r="C1325" t="inlineStr">
        <is>
          <t>Föryngringsavverkning</t>
        </is>
      </c>
      <c r="D1325" s="1" t="n">
        <v>46108</v>
      </c>
      <c r="E1325" s="1" t="n">
        <v>46313</v>
      </c>
      <c r="F1325" t="inlineStr">
        <is>
          <t>GÄVLEBORGS LÄN</t>
        </is>
      </c>
      <c r="G1325" t="inlineStr">
        <is>
          <t>BOLLNÄS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s="2" t="inlineStr"/>
    </row>
    <row r="1326" ht="15" customHeight="1">
      <c r="A1326" t="inlineStr">
        <is>
          <t>A 16068-2026</t>
        </is>
      </c>
      <c r="B1326" t="inlineStr">
        <is>
          <t>avverkningsanmälan</t>
        </is>
      </c>
      <c r="C1326" t="inlineStr">
        <is>
          <t>Föryngringsavverkning</t>
        </is>
      </c>
      <c r="D1326" s="1" t="n">
        <v>46108</v>
      </c>
      <c r="E1326" s="1" t="n">
        <v>46313</v>
      </c>
      <c r="F1326" t="inlineStr">
        <is>
          <t>GÄVLEBORGS LÄN</t>
        </is>
      </c>
      <c r="G1326" t="inlineStr">
        <is>
          <t>BOLLNÄS</t>
        </is>
      </c>
      <c r="I1326" t="n">
        <v>4.7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s="2" t="inlineStr"/>
    </row>
    <row r="1327" ht="15" customHeight="1">
      <c r="A1327" t="inlineStr">
        <is>
          <t>A 15980-2026</t>
        </is>
      </c>
      <c r="B1327" t="inlineStr">
        <is>
          <t>avverkningsanmälan</t>
        </is>
      </c>
      <c r="C1327" t="inlineStr">
        <is>
          <t>Föryngringsavverkning</t>
        </is>
      </c>
      <c r="D1327" s="1" t="n">
        <v>46108</v>
      </c>
      <c r="E1327" s="1" t="n">
        <v>46313</v>
      </c>
      <c r="F1327" t="inlineStr">
        <is>
          <t>GÄVLEBORGS LÄN</t>
        </is>
      </c>
      <c r="G1327" t="inlineStr">
        <is>
          <t>BOLLNÄS</t>
        </is>
      </c>
      <c r="H1327" t="inlineStr">
        <is>
          <t>Holmen skog AB</t>
        </is>
      </c>
      <c r="I1327" t="n">
        <v>26.2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s="2" t="inlineStr"/>
    </row>
    <row r="1328" ht="15" customHeight="1">
      <c r="A1328" t="inlineStr">
        <is>
          <t>A 16028-2026</t>
        </is>
      </c>
      <c r="B1328" t="inlineStr">
        <is>
          <t>avverkningsanmälan</t>
        </is>
      </c>
      <c r="C1328" t="inlineStr">
        <is>
          <t>Föryngringsavverkning</t>
        </is>
      </c>
      <c r="D1328" s="1" t="n">
        <v>46108</v>
      </c>
      <c r="E1328" s="1" t="n">
        <v>46313</v>
      </c>
      <c r="F1328" t="inlineStr">
        <is>
          <t>GÄVLEBORGS LÄN</t>
        </is>
      </c>
      <c r="G1328" t="inlineStr">
        <is>
          <t>BOLLNÄS</t>
        </is>
      </c>
      <c r="I1328" t="n">
        <v>1.5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s="2" t="inlineStr"/>
    </row>
    <row r="1329" ht="15" customHeight="1">
      <c r="A1329" t="inlineStr">
        <is>
          <t>A 15768-2026</t>
        </is>
      </c>
      <c r="B1329" t="inlineStr">
        <is>
          <t>avverkningsanmälan</t>
        </is>
      </c>
      <c r="C1329" t="inlineStr">
        <is>
          <t>Föryngringsavverkning</t>
        </is>
      </c>
      <c r="D1329" s="1" t="n">
        <v>46107</v>
      </c>
      <c r="E1329" s="1" t="n">
        <v>46313</v>
      </c>
      <c r="F1329" t="inlineStr">
        <is>
          <t>GÄVLEBORGS LÄN</t>
        </is>
      </c>
      <c r="G1329" t="inlineStr">
        <is>
          <t>BOLLNÄS</t>
        </is>
      </c>
      <c r="H1329" t="inlineStr">
        <is>
          <t>Bergvik skog väst AB</t>
        </is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s="2" t="inlineStr"/>
    </row>
    <row r="1330" ht="15" customHeight="1">
      <c r="A1330" t="inlineStr">
        <is>
          <t>A 15818-2026</t>
        </is>
      </c>
      <c r="B1330" t="inlineStr">
        <is>
          <t>avverkningsanmälan</t>
        </is>
      </c>
      <c r="C1330" t="inlineStr">
        <is>
          <t>Föryngringsavverkning</t>
        </is>
      </c>
      <c r="D1330" s="1" t="n">
        <v>46107</v>
      </c>
      <c r="E1330" s="1" t="n">
        <v>46313</v>
      </c>
      <c r="F1330" t="inlineStr">
        <is>
          <t>GÄVLEBORGS LÄN</t>
        </is>
      </c>
      <c r="G1330" t="inlineStr">
        <is>
          <t>BOLLNÄS</t>
        </is>
      </c>
      <c r="H1330" t="inlineStr">
        <is>
          <t>Bergvik skog väst AB</t>
        </is>
      </c>
      <c r="I1330" t="n">
        <v>41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s="2" t="inlineStr"/>
    </row>
    <row r="1331" ht="15" customHeight="1">
      <c r="A1331" t="inlineStr">
        <is>
          <t>A 15996-2026</t>
        </is>
      </c>
      <c r="B1331" t="inlineStr">
        <is>
          <t>avverkningsanmälan</t>
        </is>
      </c>
      <c r="C1331" t="inlineStr">
        <is>
          <t>Föryngringsavverkning</t>
        </is>
      </c>
      <c r="D1331" s="1" t="n">
        <v>46108</v>
      </c>
      <c r="E1331" s="1" t="n">
        <v>46313</v>
      </c>
      <c r="F1331" t="inlineStr">
        <is>
          <t>GÄVLEBORGS LÄN</t>
        </is>
      </c>
      <c r="G1331" t="inlineStr">
        <is>
          <t>BOLLNÄS</t>
        </is>
      </c>
      <c r="H1331" t="inlineStr">
        <is>
          <t>Holmen skog AB</t>
        </is>
      </c>
      <c r="I1331" t="n">
        <v>51.8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s="2" t="inlineStr"/>
    </row>
    <row r="1332" ht="15" customHeight="1">
      <c r="A1332" t="inlineStr">
        <is>
          <t>A 15718-2026</t>
        </is>
      </c>
      <c r="B1332" t="inlineStr">
        <is>
          <t>avverkningsanmälan</t>
        </is>
      </c>
      <c r="C1332" t="inlineStr">
        <is>
          <t>Föryngringsavverkning</t>
        </is>
      </c>
      <c r="D1332" s="1" t="n">
        <v>46107</v>
      </c>
      <c r="E1332" s="1" t="n">
        <v>46313</v>
      </c>
      <c r="F1332" t="inlineStr">
        <is>
          <t>GÄVLEBORGS LÄN</t>
        </is>
      </c>
      <c r="G1332" t="inlineStr">
        <is>
          <t>BOLLNÄS</t>
        </is>
      </c>
      <c r="I1332" t="n">
        <v>2.8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s="2" t="inlineStr"/>
    </row>
    <row r="1333" ht="15" customHeight="1">
      <c r="A1333" t="inlineStr">
        <is>
          <t>A 15832-2026</t>
        </is>
      </c>
      <c r="B1333" t="inlineStr">
        <is>
          <t>avverkningsanmälan</t>
        </is>
      </c>
      <c r="C1333" t="inlineStr">
        <is>
          <t>Föryngringsavverkning</t>
        </is>
      </c>
      <c r="D1333" s="1" t="n">
        <v>46107</v>
      </c>
      <c r="E1333" s="1" t="n">
        <v>46313</v>
      </c>
      <c r="F1333" t="inlineStr">
        <is>
          <t>GÄVLEBORGS LÄN</t>
        </is>
      </c>
      <c r="G1333" t="inlineStr">
        <is>
          <t>BOLLNÄS</t>
        </is>
      </c>
      <c r="I1333" t="n">
        <v>0.9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s="2" t="inlineStr"/>
    </row>
    <row r="1334" ht="15" customHeight="1">
      <c r="A1334" t="inlineStr">
        <is>
          <t>A 16025-2026</t>
        </is>
      </c>
      <c r="B1334" t="inlineStr">
        <is>
          <t>avverkningsanmälan</t>
        </is>
      </c>
      <c r="C1334" t="inlineStr">
        <is>
          <t>Föryngringsavverkning</t>
        </is>
      </c>
      <c r="D1334" s="1" t="n">
        <v>46108</v>
      </c>
      <c r="E1334" s="1" t="n">
        <v>46313</v>
      </c>
      <c r="F1334" t="inlineStr">
        <is>
          <t>GÄVLEBORGS LÄN</t>
        </is>
      </c>
      <c r="G1334" t="inlineStr">
        <is>
          <t>BOLLNÄS</t>
        </is>
      </c>
      <c r="I1334" t="n">
        <v>1.2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s="2" t="inlineStr"/>
    </row>
    <row r="1335" ht="15" customHeight="1">
      <c r="A1335" t="inlineStr">
        <is>
          <t>A 15813-2026</t>
        </is>
      </c>
      <c r="B1335" t="inlineStr">
        <is>
          <t>avverkningsanmälan</t>
        </is>
      </c>
      <c r="C1335" t="inlineStr">
        <is>
          <t>Föryngringsavverkning</t>
        </is>
      </c>
      <c r="D1335" s="1" t="n">
        <v>46107</v>
      </c>
      <c r="E1335" s="1" t="n">
        <v>46313</v>
      </c>
      <c r="F1335" t="inlineStr">
        <is>
          <t>GÄVLEBORGS LÄN</t>
        </is>
      </c>
      <c r="G1335" t="inlineStr">
        <is>
          <t>BOLLNÄS</t>
        </is>
      </c>
      <c r="H1335" t="inlineStr">
        <is>
          <t>Bergvik skog väst AB</t>
        </is>
      </c>
      <c r="I1335" t="n">
        <v>6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s="2" t="inlineStr"/>
    </row>
    <row r="1336" ht="15" customHeight="1">
      <c r="A1336" t="inlineStr">
        <is>
          <t>A 69620-2021</t>
        </is>
      </c>
      <c r="B1336" t="inlineStr">
        <is>
          <t>avverkningsanmälan</t>
        </is>
      </c>
      <c r="C1336" t="inlineStr">
        <is>
          <t>Föryngringsavverkning</t>
        </is>
      </c>
      <c r="D1336" s="1" t="n">
        <v>44532</v>
      </c>
      <c r="E1336" s="1" t="n">
        <v>46313</v>
      </c>
      <c r="F1336" t="inlineStr">
        <is>
          <t>GÄVLEBORGS LÄN</t>
        </is>
      </c>
      <c r="G1336" t="inlineStr">
        <is>
          <t>BOLLNÄS</t>
        </is>
      </c>
      <c r="H1336" t="inlineStr">
        <is>
          <t>Bergvik skog väst AB</t>
        </is>
      </c>
      <c r="I1336" t="n">
        <v>2.5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s="2" t="inlineStr"/>
    </row>
    <row r="1337" ht="15" customHeight="1">
      <c r="A1337" t="inlineStr">
        <is>
          <t>A 15727-2026</t>
        </is>
      </c>
      <c r="B1337" t="inlineStr">
        <is>
          <t>avverkningsanmälan</t>
        </is>
      </c>
      <c r="C1337" t="inlineStr">
        <is>
          <t>Föryngringsavverkning</t>
        </is>
      </c>
      <c r="D1337" s="1" t="n">
        <v>46107</v>
      </c>
      <c r="E1337" s="1" t="n">
        <v>46313</v>
      </c>
      <c r="F1337" t="inlineStr">
        <is>
          <t>GÄVLEBORGS LÄN</t>
        </is>
      </c>
      <c r="G1337" t="inlineStr">
        <is>
          <t>BOLLNÄS</t>
        </is>
      </c>
      <c r="H1337" t="inlineStr">
        <is>
          <t>Bergvik skog väst AB</t>
        </is>
      </c>
      <c r="I1337" t="n">
        <v>32.5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s="2" t="inlineStr"/>
    </row>
    <row r="1338" ht="15" customHeight="1">
      <c r="A1338" t="inlineStr">
        <is>
          <t>A 16635-2026</t>
        </is>
      </c>
      <c r="B1338" t="inlineStr">
        <is>
          <t>avverkningsanmälan</t>
        </is>
      </c>
      <c r="C1338" t="inlineStr">
        <is>
          <t>Föryngringsavverkning</t>
        </is>
      </c>
      <c r="D1338" s="1" t="n">
        <v>46112</v>
      </c>
      <c r="E1338" s="1" t="n">
        <v>46313</v>
      </c>
      <c r="F1338" t="inlineStr">
        <is>
          <t>GÄVLEBORGS LÄN</t>
        </is>
      </c>
      <c r="G1338" t="inlineStr">
        <is>
          <t>BOLLNÄS</t>
        </is>
      </c>
      <c r="I1338" t="n">
        <v>1.9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s="2" t="inlineStr"/>
    </row>
    <row r="1339" ht="15" customHeight="1">
      <c r="A1339" t="inlineStr">
        <is>
          <t>A 16418-2026</t>
        </is>
      </c>
      <c r="B1339" t="inlineStr">
        <is>
          <t>avverkningsanmälan</t>
        </is>
      </c>
      <c r="C1339" t="inlineStr">
        <is>
          <t>Föryngringsavverkning</t>
        </is>
      </c>
      <c r="D1339" s="1" t="n">
        <v>46111</v>
      </c>
      <c r="E1339" s="1" t="n">
        <v>46313</v>
      </c>
      <c r="F1339" t="inlineStr">
        <is>
          <t>GÄVLEBORGS LÄN</t>
        </is>
      </c>
      <c r="G1339" t="inlineStr">
        <is>
          <t>BOLLNÄS</t>
        </is>
      </c>
      <c r="H1339" t="inlineStr">
        <is>
          <t>Sveaskog</t>
        </is>
      </c>
      <c r="I1339" t="n">
        <v>1.6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s="2" t="inlineStr"/>
    </row>
    <row r="1340" ht="15" customHeight="1">
      <c r="A1340" t="inlineStr">
        <is>
          <t>A 28494-2026</t>
        </is>
      </c>
      <c r="B1340" t="inlineStr">
        <is>
          <t>avverkningsanmälan</t>
        </is>
      </c>
      <c r="C1340" t="inlineStr">
        <is>
          <t>Föryngringsavverkning</t>
        </is>
      </c>
      <c r="D1340" s="1" t="n">
        <v>46197</v>
      </c>
      <c r="E1340" s="1" t="n">
        <v>46313</v>
      </c>
      <c r="F1340" t="inlineStr">
        <is>
          <t>GÄVLEBORGS LÄN</t>
        </is>
      </c>
      <c r="G1340" t="inlineStr">
        <is>
          <t>BOLLNÄS</t>
        </is>
      </c>
      <c r="I1340" t="n">
        <v>1.5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s="2" t="inlineStr"/>
    </row>
    <row r="1341" ht="15" customHeight="1">
      <c r="A1341" t="inlineStr">
        <is>
          <t>A 16451-2026</t>
        </is>
      </c>
      <c r="B1341" t="inlineStr">
        <is>
          <t>avverkningsanmälan</t>
        </is>
      </c>
      <c r="C1341" t="inlineStr">
        <is>
          <t>Föryngringsavverkning</t>
        </is>
      </c>
      <c r="D1341" s="1" t="n">
        <v>46112</v>
      </c>
      <c r="E1341" s="1" t="n">
        <v>46313</v>
      </c>
      <c r="F1341" t="inlineStr">
        <is>
          <t>GÄVLEBORGS LÄN</t>
        </is>
      </c>
      <c r="G1341" t="inlineStr">
        <is>
          <t>BOLLNÄS</t>
        </is>
      </c>
      <c r="I1341" t="n">
        <v>1.6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s="2" t="inlineStr"/>
    </row>
    <row r="1342" ht="15" customHeight="1">
      <c r="A1342" t="inlineStr">
        <is>
          <t>A 16514-2026</t>
        </is>
      </c>
      <c r="B1342" t="inlineStr">
        <is>
          <t>avverkningsanmälan</t>
        </is>
      </c>
      <c r="C1342" t="inlineStr">
        <is>
          <t>Föryngringsavverkning</t>
        </is>
      </c>
      <c r="D1342" s="1" t="n">
        <v>46112</v>
      </c>
      <c r="E1342" s="1" t="n">
        <v>46313</v>
      </c>
      <c r="F1342" t="inlineStr">
        <is>
          <t>GÄVLEBORGS LÄN</t>
        </is>
      </c>
      <c r="G1342" t="inlineStr">
        <is>
          <t>BOLLNÄS</t>
        </is>
      </c>
      <c r="H1342" t="inlineStr">
        <is>
          <t>Bergvik skog väst AB</t>
        </is>
      </c>
      <c r="I1342" t="n">
        <v>5.5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s="2" t="inlineStr"/>
    </row>
    <row r="1343" ht="15" customHeight="1">
      <c r="A1343" t="inlineStr">
        <is>
          <t>A 16592-2026</t>
        </is>
      </c>
      <c r="B1343" t="inlineStr">
        <is>
          <t>avverkningsanmälan</t>
        </is>
      </c>
      <c r="C1343" t="inlineStr">
        <is>
          <t>Föryngringsavverkning</t>
        </is>
      </c>
      <c r="D1343" s="1" t="n">
        <v>46112</v>
      </c>
      <c r="E1343" s="1" t="n">
        <v>46313</v>
      </c>
      <c r="F1343" t="inlineStr">
        <is>
          <t>GÄVLEBORGS LÄN</t>
        </is>
      </c>
      <c r="G1343" t="inlineStr">
        <is>
          <t>BOLLNÄS</t>
        </is>
      </c>
      <c r="H1343" t="inlineStr">
        <is>
          <t>Bergvik skog väst AB</t>
        </is>
      </c>
      <c r="I1343" t="n">
        <v>0.9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s="2" t="inlineStr"/>
    </row>
    <row r="1344" ht="15" customHeight="1">
      <c r="A1344" t="inlineStr">
        <is>
          <t>A 16589-2026</t>
        </is>
      </c>
      <c r="B1344" t="inlineStr">
        <is>
          <t>avverkningsanmälan</t>
        </is>
      </c>
      <c r="C1344" t="inlineStr">
        <is>
          <t>Föryngringsavverkning</t>
        </is>
      </c>
      <c r="D1344" s="1" t="n">
        <v>46112</v>
      </c>
      <c r="E1344" s="1" t="n">
        <v>46313</v>
      </c>
      <c r="F1344" t="inlineStr">
        <is>
          <t>GÄVLEBORGS LÄN</t>
        </is>
      </c>
      <c r="G1344" t="inlineStr">
        <is>
          <t>BOLLNÄS</t>
        </is>
      </c>
      <c r="I1344" t="n">
        <v>0.7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s="2" t="inlineStr"/>
    </row>
    <row r="1345" ht="15" customHeight="1">
      <c r="A1345" t="inlineStr">
        <is>
          <t>A 16568-2026</t>
        </is>
      </c>
      <c r="B1345" t="inlineStr">
        <is>
          <t>avverkningsanmälan</t>
        </is>
      </c>
      <c r="C1345" t="inlineStr">
        <is>
          <t>Föryngringsavverkning</t>
        </is>
      </c>
      <c r="D1345" s="1" t="n">
        <v>46112</v>
      </c>
      <c r="E1345" s="1" t="n">
        <v>46313</v>
      </c>
      <c r="F1345" t="inlineStr">
        <is>
          <t>GÄVLEBORGS LÄN</t>
        </is>
      </c>
      <c r="G1345" t="inlineStr">
        <is>
          <t>BOLLNÄS</t>
        </is>
      </c>
      <c r="I1345" t="n">
        <v>3.1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s="2" t="inlineStr"/>
    </row>
    <row r="1346" ht="15" customHeight="1">
      <c r="A1346" t="inlineStr">
        <is>
          <t>A 16565-2026</t>
        </is>
      </c>
      <c r="B1346" t="inlineStr">
        <is>
          <t>avverkningsanmälan</t>
        </is>
      </c>
      <c r="C1346" t="inlineStr">
        <is>
          <t>Föryngringsavverkning</t>
        </is>
      </c>
      <c r="D1346" s="1" t="n">
        <v>46112</v>
      </c>
      <c r="E1346" s="1" t="n">
        <v>46313</v>
      </c>
      <c r="F1346" t="inlineStr">
        <is>
          <t>GÄVLEBORGS LÄN</t>
        </is>
      </c>
      <c r="G1346" t="inlineStr">
        <is>
          <t>BOLLNÄS</t>
        </is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s="2" t="inlineStr"/>
    </row>
    <row r="1347" ht="15" customHeight="1">
      <c r="A1347" t="inlineStr">
        <is>
          <t>A 16575-2026</t>
        </is>
      </c>
      <c r="B1347" t="inlineStr">
        <is>
          <t>avverkningsanmälan</t>
        </is>
      </c>
      <c r="C1347" t="inlineStr">
        <is>
          <t>Föryngringsavverkning</t>
        </is>
      </c>
      <c r="D1347" s="1" t="n">
        <v>46112</v>
      </c>
      <c r="E1347" s="1" t="n">
        <v>46313</v>
      </c>
      <c r="F1347" t="inlineStr">
        <is>
          <t>GÄVLEBORGS LÄN</t>
        </is>
      </c>
      <c r="G1347" t="inlineStr">
        <is>
          <t>BOLLNÄS</t>
        </is>
      </c>
      <c r="I1347" t="n">
        <v>0.8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s="2" t="inlineStr"/>
    </row>
    <row r="1348" ht="15" customHeight="1">
      <c r="A1348" t="inlineStr">
        <is>
          <t>A 29037-2026</t>
        </is>
      </c>
      <c r="B1348" t="inlineStr">
        <is>
          <t>avverkningsanmälan</t>
        </is>
      </c>
      <c r="C1348" t="inlineStr">
        <is>
          <t>Avverkning för att bevara och utveckla /försöksver</t>
        </is>
      </c>
      <c r="D1348" s="1" t="n">
        <v>46199</v>
      </c>
      <c r="E1348" s="1" t="n">
        <v>46313</v>
      </c>
      <c r="F1348" t="inlineStr">
        <is>
          <t>GÄVLEBORGS LÄN</t>
        </is>
      </c>
      <c r="G1348" t="inlineStr">
        <is>
          <t>BOLLNÄS</t>
        </is>
      </c>
      <c r="I1348" t="n">
        <v>0.4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s="2" t="inlineStr"/>
    </row>
    <row r="1349" ht="15" customHeight="1">
      <c r="A1349" t="inlineStr">
        <is>
          <t>A 37194-2023</t>
        </is>
      </c>
      <c r="B1349" t="inlineStr">
        <is>
          <t>avverkningsanmälan</t>
        </is>
      </c>
      <c r="C1349" t="inlineStr">
        <is>
          <t>Föryngringsavverkning</t>
        </is>
      </c>
      <c r="D1349" s="1" t="n">
        <v>45155</v>
      </c>
      <c r="E1349" s="1" t="n">
        <v>46313</v>
      </c>
      <c r="F1349" t="inlineStr">
        <is>
          <t>GÄVLEBORGS LÄN</t>
        </is>
      </c>
      <c r="G1349" t="inlineStr">
        <is>
          <t>BOLLNÄS</t>
        </is>
      </c>
      <c r="I1349" t="n">
        <v>2.7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s="2" t="inlineStr"/>
    </row>
    <row r="1350" ht="15" customHeight="1">
      <c r="A1350" t="inlineStr">
        <is>
          <t>A 37233-2023</t>
        </is>
      </c>
      <c r="B1350" t="inlineStr">
        <is>
          <t>avverkningsanmälan</t>
        </is>
      </c>
      <c r="C1350" t="inlineStr">
        <is>
          <t>Föryngringsavverkning</t>
        </is>
      </c>
      <c r="D1350" s="1" t="n">
        <v>45155</v>
      </c>
      <c r="E1350" s="1" t="n">
        <v>46313</v>
      </c>
      <c r="F1350" t="inlineStr">
        <is>
          <t>GÄVLEBORGS LÄN</t>
        </is>
      </c>
      <c r="G1350" t="inlineStr">
        <is>
          <t>BOLLNÄS</t>
        </is>
      </c>
      <c r="I1350" t="n">
        <v>3.7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s="2" t="inlineStr"/>
    </row>
    <row r="1351" ht="15" customHeight="1">
      <c r="A1351" t="inlineStr">
        <is>
          <t>A 16417-2026</t>
        </is>
      </c>
      <c r="B1351" t="inlineStr">
        <is>
          <t>avverkningsanmälan</t>
        </is>
      </c>
      <c r="C1351" t="inlineStr">
        <is>
          <t>Föryngringsavverkning</t>
        </is>
      </c>
      <c r="D1351" s="1" t="n">
        <v>46111</v>
      </c>
      <c r="E1351" s="1" t="n">
        <v>46313</v>
      </c>
      <c r="F1351" t="inlineStr">
        <is>
          <t>GÄVLEBORGS LÄN</t>
        </is>
      </c>
      <c r="G1351" t="inlineStr">
        <is>
          <t>BOLLNÄS</t>
        </is>
      </c>
      <c r="H1351" t="inlineStr">
        <is>
          <t>Sveaskog</t>
        </is>
      </c>
      <c r="I1351" t="n">
        <v>0.5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s="2" t="inlineStr"/>
    </row>
    <row r="1352" ht="15" customHeight="1">
      <c r="A1352" t="inlineStr">
        <is>
          <t>A 16529-2026</t>
        </is>
      </c>
      <c r="B1352" t="inlineStr">
        <is>
          <t>avverkningsanmälan</t>
        </is>
      </c>
      <c r="C1352" t="inlineStr">
        <is>
          <t>Föryngringsavverkning</t>
        </is>
      </c>
      <c r="D1352" s="1" t="n">
        <v>46112</v>
      </c>
      <c r="E1352" s="1" t="n">
        <v>46313</v>
      </c>
      <c r="F1352" t="inlineStr">
        <is>
          <t>GÄVLEBORGS LÄN</t>
        </is>
      </c>
      <c r="G1352" t="inlineStr">
        <is>
          <t>BOLLNÄS</t>
        </is>
      </c>
      <c r="I1352" t="n">
        <v>5.9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s="2" t="inlineStr"/>
    </row>
    <row r="1353" ht="15" customHeight="1">
      <c r="A1353" t="inlineStr">
        <is>
          <t>A 28398-2026</t>
        </is>
      </c>
      <c r="B1353" t="inlineStr">
        <is>
          <t>avverkningsanmälan</t>
        </is>
      </c>
      <c r="C1353" t="inlineStr">
        <is>
          <t>Föryngringsavverkning</t>
        </is>
      </c>
      <c r="D1353" s="1" t="n">
        <v>46197</v>
      </c>
      <c r="E1353" s="1" t="n">
        <v>46313</v>
      </c>
      <c r="F1353" t="inlineStr">
        <is>
          <t>GÄVLEBORGS LÄN</t>
        </is>
      </c>
      <c r="G1353" t="inlineStr">
        <is>
          <t>BOLLNÄS</t>
        </is>
      </c>
      <c r="H1353" t="inlineStr">
        <is>
          <t>Bergvik skog väst AB</t>
        </is>
      </c>
      <c r="I1353" t="n">
        <v>2.2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s="2" t="inlineStr"/>
    </row>
    <row r="1354" ht="15" customHeight="1">
      <c r="A1354" t="inlineStr">
        <is>
          <t>A 28439-2026</t>
        </is>
      </c>
      <c r="B1354" t="inlineStr">
        <is>
          <t>avverkningsanmälan</t>
        </is>
      </c>
      <c r="C1354" t="inlineStr">
        <is>
          <t>Föryngringsavverkning</t>
        </is>
      </c>
      <c r="D1354" s="1" t="n">
        <v>46197</v>
      </c>
      <c r="E1354" s="1" t="n">
        <v>46313</v>
      </c>
      <c r="F1354" t="inlineStr">
        <is>
          <t>GÄVLEBORGS LÄN</t>
        </is>
      </c>
      <c r="G1354" t="inlineStr">
        <is>
          <t>BOLLNÄS</t>
        </is>
      </c>
      <c r="I1354" t="n">
        <v>2.2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s="2" t="inlineStr"/>
    </row>
    <row r="1355" ht="15" customHeight="1">
      <c r="A1355" t="inlineStr">
        <is>
          <t>A 16574-2026</t>
        </is>
      </c>
      <c r="B1355" t="inlineStr">
        <is>
          <t>avverkningsanmälan</t>
        </is>
      </c>
      <c r="C1355" t="inlineStr">
        <is>
          <t>Föryngringsavverkning</t>
        </is>
      </c>
      <c r="D1355" s="1" t="n">
        <v>46112</v>
      </c>
      <c r="E1355" s="1" t="n">
        <v>46313</v>
      </c>
      <c r="F1355" t="inlineStr">
        <is>
          <t>GÄVLEBORGS LÄN</t>
        </is>
      </c>
      <c r="G1355" t="inlineStr">
        <is>
          <t>BOLLNÄS</t>
        </is>
      </c>
      <c r="I1355" t="n">
        <v>1.7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s="2" t="inlineStr"/>
    </row>
    <row r="1356" ht="15" customHeight="1">
      <c r="A1356" t="inlineStr">
        <is>
          <t>A 16459-2026</t>
        </is>
      </c>
      <c r="B1356" t="inlineStr">
        <is>
          <t>avverkningsanmälan</t>
        </is>
      </c>
      <c r="C1356" t="inlineStr">
        <is>
          <t>Föryngringsavverkning</t>
        </is>
      </c>
      <c r="D1356" s="1" t="n">
        <v>46112</v>
      </c>
      <c r="E1356" s="1" t="n">
        <v>46313</v>
      </c>
      <c r="F1356" t="inlineStr">
        <is>
          <t>GÄVLEBORGS LÄN</t>
        </is>
      </c>
      <c r="G1356" t="inlineStr">
        <is>
          <t>BOLLNÄS</t>
        </is>
      </c>
      <c r="H1356" t="inlineStr">
        <is>
          <t>Bergvik skog väst AB</t>
        </is>
      </c>
      <c r="I1356" t="n">
        <v>5.9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s="2" t="inlineStr"/>
    </row>
    <row r="1357" ht="15" customHeight="1">
      <c r="A1357" t="inlineStr">
        <is>
          <t>A 44628-2025</t>
        </is>
      </c>
      <c r="B1357" t="inlineStr">
        <is>
          <t>avverkningsanmälan</t>
        </is>
      </c>
      <c r="C1357" t="inlineStr">
        <is>
          <t>Föryngringsavverkning</t>
        </is>
      </c>
      <c r="D1357" s="1" t="n">
        <v>45917</v>
      </c>
      <c r="E1357" s="1" t="n">
        <v>46313</v>
      </c>
      <c r="F1357" t="inlineStr">
        <is>
          <t>GÄVLEBORGS LÄN</t>
        </is>
      </c>
      <c r="G1357" t="inlineStr">
        <is>
          <t>BOLLNÄS</t>
        </is>
      </c>
      <c r="I1357" t="n">
        <v>2.7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s="2" t="inlineStr"/>
    </row>
    <row r="1358" ht="15" customHeight="1">
      <c r="A1358" t="inlineStr">
        <is>
          <t>A 16566-2026</t>
        </is>
      </c>
      <c r="B1358" t="inlineStr">
        <is>
          <t>avverkningsanmälan</t>
        </is>
      </c>
      <c r="C1358" t="inlineStr">
        <is>
          <t>Föryngringsavverkning</t>
        </is>
      </c>
      <c r="D1358" s="1" t="n">
        <v>46112</v>
      </c>
      <c r="E1358" s="1" t="n">
        <v>46313</v>
      </c>
      <c r="F1358" t="inlineStr">
        <is>
          <t>GÄVLEBORGS LÄN</t>
        </is>
      </c>
      <c r="G1358" t="inlineStr">
        <is>
          <t>BOLLNÄS</t>
        </is>
      </c>
      <c r="I1358" t="n">
        <v>0.8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s="2" t="inlineStr"/>
    </row>
    <row r="1359" ht="15" customHeight="1">
      <c r="A1359" t="inlineStr">
        <is>
          <t>A 28429-2026</t>
        </is>
      </c>
      <c r="B1359" t="inlineStr">
        <is>
          <t>avverkningsanmälan</t>
        </is>
      </c>
      <c r="C1359" t="inlineStr">
        <is>
          <t>Föryngringsavverkning</t>
        </is>
      </c>
      <c r="D1359" s="1" t="n">
        <v>46197</v>
      </c>
      <c r="E1359" s="1" t="n">
        <v>46313</v>
      </c>
      <c r="F1359" t="inlineStr">
        <is>
          <t>GÄVLEBORGS LÄN</t>
        </is>
      </c>
      <c r="G1359" t="inlineStr">
        <is>
          <t>BOLLNÄS</t>
        </is>
      </c>
      <c r="I1359" t="n">
        <v>2.3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s="2" t="inlineStr"/>
    </row>
    <row r="1360" ht="15" customHeight="1">
      <c r="A1360" t="inlineStr">
        <is>
          <t>A 16623-2026</t>
        </is>
      </c>
      <c r="B1360" t="inlineStr">
        <is>
          <t>avverkningsanmälan</t>
        </is>
      </c>
      <c r="C1360" t="inlineStr">
        <is>
          <t>Föryngringsavverkning</t>
        </is>
      </c>
      <c r="D1360" s="1" t="n">
        <v>46112</v>
      </c>
      <c r="E1360" s="1" t="n">
        <v>46313</v>
      </c>
      <c r="F1360" t="inlineStr">
        <is>
          <t>GÄVLEBORGS LÄN</t>
        </is>
      </c>
      <c r="G1360" t="inlineStr">
        <is>
          <t>BOLLNÄS</t>
        </is>
      </c>
      <c r="I1360" t="n">
        <v>2.4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s="2" t="inlineStr"/>
    </row>
    <row r="1361" ht="15" customHeight="1">
      <c r="A1361" t="inlineStr">
        <is>
          <t>A 16450-2026</t>
        </is>
      </c>
      <c r="B1361" t="inlineStr">
        <is>
          <t>avverkningsanmälan</t>
        </is>
      </c>
      <c r="C1361" t="inlineStr">
        <is>
          <t>Föryngringsavverkning</t>
        </is>
      </c>
      <c r="D1361" s="1" t="n">
        <v>46112</v>
      </c>
      <c r="E1361" s="1" t="n">
        <v>46313</v>
      </c>
      <c r="F1361" t="inlineStr">
        <is>
          <t>GÄVLEBORGS LÄN</t>
        </is>
      </c>
      <c r="G1361" t="inlineStr">
        <is>
          <t>BOLLNÄS</t>
        </is>
      </c>
      <c r="H1361" t="inlineStr">
        <is>
          <t>Bergvik skog väst AB</t>
        </is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s="2" t="inlineStr"/>
    </row>
    <row r="1362" ht="15" customHeight="1">
      <c r="A1362" t="inlineStr">
        <is>
          <t>A 28828-2026</t>
        </is>
      </c>
      <c r="B1362" t="inlineStr">
        <is>
          <t>avverkningsanmälan</t>
        </is>
      </c>
      <c r="C1362" t="inlineStr">
        <is>
          <t>Föryngringsavverkning</t>
        </is>
      </c>
      <c r="D1362" s="1" t="n">
        <v>46198</v>
      </c>
      <c r="E1362" s="1" t="n">
        <v>46313</v>
      </c>
      <c r="F1362" t="inlineStr">
        <is>
          <t>GÄVLEBORGS LÄN</t>
        </is>
      </c>
      <c r="G1362" t="inlineStr">
        <is>
          <t>BOLLNÄS</t>
        </is>
      </c>
      <c r="I1362" t="n">
        <v>1.7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s="2" t="inlineStr"/>
    </row>
    <row r="1363" ht="15" customHeight="1">
      <c r="A1363" t="inlineStr">
        <is>
          <t>A 16622-2026</t>
        </is>
      </c>
      <c r="B1363" t="inlineStr">
        <is>
          <t>avverkningsanmälan</t>
        </is>
      </c>
      <c r="C1363" t="inlineStr">
        <is>
          <t>Föryngringsavverkning</t>
        </is>
      </c>
      <c r="D1363" s="1" t="n">
        <v>46112</v>
      </c>
      <c r="E1363" s="1" t="n">
        <v>46313</v>
      </c>
      <c r="F1363" t="inlineStr">
        <is>
          <t>GÄVLEBORGS LÄN</t>
        </is>
      </c>
      <c r="G1363" t="inlineStr">
        <is>
          <t>BOLLNÄS</t>
        </is>
      </c>
      <c r="I1363" t="n">
        <v>0.7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s="2" t="inlineStr"/>
    </row>
    <row r="1364" ht="15" customHeight="1">
      <c r="A1364" t="inlineStr">
        <is>
          <t>A 16637-2026</t>
        </is>
      </c>
      <c r="B1364" t="inlineStr">
        <is>
          <t>avverkningsanmälan</t>
        </is>
      </c>
      <c r="C1364" t="inlineStr">
        <is>
          <t>Föryngringsavverkning</t>
        </is>
      </c>
      <c r="D1364" s="1" t="n">
        <v>46112</v>
      </c>
      <c r="E1364" s="1" t="n">
        <v>46313</v>
      </c>
      <c r="F1364" t="inlineStr">
        <is>
          <t>GÄVLEBORGS LÄN</t>
        </is>
      </c>
      <c r="G1364" t="inlineStr">
        <is>
          <t>BOLLNÄS</t>
        </is>
      </c>
      <c r="H1364" t="inlineStr">
        <is>
          <t>Bergvik skog väst AB</t>
        </is>
      </c>
      <c r="I1364" t="n">
        <v>0.6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s="2" t="inlineStr"/>
    </row>
    <row r="1365" ht="15" customHeight="1">
      <c r="A1365" t="inlineStr">
        <is>
          <t>A 28497-2026</t>
        </is>
      </c>
      <c r="B1365" t="inlineStr">
        <is>
          <t>avverkningsanmälan</t>
        </is>
      </c>
      <c r="C1365" t="inlineStr">
        <is>
          <t>Föryngringsavverkning</t>
        </is>
      </c>
      <c r="D1365" s="1" t="n">
        <v>46197</v>
      </c>
      <c r="E1365" s="1" t="n">
        <v>46313</v>
      </c>
      <c r="F1365" t="inlineStr">
        <is>
          <t>GÄVLEBORGS LÄN</t>
        </is>
      </c>
      <c r="G1365" t="inlineStr">
        <is>
          <t>BOLLNÄS</t>
        </is>
      </c>
      <c r="I1365" t="n">
        <v>1.1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s="2" t="inlineStr"/>
    </row>
    <row r="1366" ht="15" customHeight="1">
      <c r="A1366" t="inlineStr">
        <is>
          <t>A 16599-2026</t>
        </is>
      </c>
      <c r="B1366" t="inlineStr">
        <is>
          <t>avverkningsanmälan</t>
        </is>
      </c>
      <c r="C1366" t="inlineStr">
        <is>
          <t>Föryngringsavverkning</t>
        </is>
      </c>
      <c r="D1366" s="1" t="n">
        <v>46112</v>
      </c>
      <c r="E1366" s="1" t="n">
        <v>46313</v>
      </c>
      <c r="F1366" t="inlineStr">
        <is>
          <t>GÄVLEBORGS LÄN</t>
        </is>
      </c>
      <c r="G1366" t="inlineStr">
        <is>
          <t>BOLLNÄS</t>
        </is>
      </c>
      <c r="I1366" t="n">
        <v>2.4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s="2" t="inlineStr"/>
    </row>
    <row r="1367" ht="15" customHeight="1">
      <c r="A1367" t="inlineStr">
        <is>
          <t>A 16620-2026</t>
        </is>
      </c>
      <c r="B1367" t="inlineStr">
        <is>
          <t>avverkningsanmälan</t>
        </is>
      </c>
      <c r="C1367" t="inlineStr">
        <is>
          <t>Föryngringsavverkning</t>
        </is>
      </c>
      <c r="D1367" s="1" t="n">
        <v>46112</v>
      </c>
      <c r="E1367" s="1" t="n">
        <v>46313</v>
      </c>
      <c r="F1367" t="inlineStr">
        <is>
          <t>GÄVLEBORGS LÄN</t>
        </is>
      </c>
      <c r="G1367" t="inlineStr">
        <is>
          <t>BOLLNÄS</t>
        </is>
      </c>
      <c r="I1367" t="n">
        <v>4.3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s="2" t="inlineStr"/>
    </row>
    <row r="1368" ht="15" customHeight="1">
      <c r="A1368" t="inlineStr">
        <is>
          <t>A 17007-2026</t>
        </is>
      </c>
      <c r="B1368" t="inlineStr">
        <is>
          <t>avverkningsanmälan</t>
        </is>
      </c>
      <c r="C1368" t="inlineStr">
        <is>
          <t>Föryngringsavverkning</t>
        </is>
      </c>
      <c r="D1368" s="1" t="n">
        <v>46114</v>
      </c>
      <c r="E1368" s="1" t="n">
        <v>46313</v>
      </c>
      <c r="F1368" t="inlineStr">
        <is>
          <t>GÄVLEBORGS LÄN</t>
        </is>
      </c>
      <c r="G1368" t="inlineStr">
        <is>
          <t>BOLLNÄS</t>
        </is>
      </c>
      <c r="I1368" t="n">
        <v>2.1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s="2" t="inlineStr"/>
    </row>
    <row r="1369" ht="15" customHeight="1">
      <c r="A1369" t="inlineStr">
        <is>
          <t>A 17016-2026</t>
        </is>
      </c>
      <c r="B1369" t="inlineStr">
        <is>
          <t>avverkningsanmälan</t>
        </is>
      </c>
      <c r="C1369" t="inlineStr">
        <is>
          <t>Föryngringsavverkning</t>
        </is>
      </c>
      <c r="D1369" s="1" t="n">
        <v>46114</v>
      </c>
      <c r="E1369" s="1" t="n">
        <v>46313</v>
      </c>
      <c r="F1369" t="inlineStr">
        <is>
          <t>GÄVLEBORGS LÄN</t>
        </is>
      </c>
      <c r="G1369" t="inlineStr">
        <is>
          <t>BOLLNÄS</t>
        </is>
      </c>
      <c r="H1369" t="inlineStr">
        <is>
          <t>Holmen skog AB</t>
        </is>
      </c>
      <c r="I1369" t="n">
        <v>2.4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s="2" t="inlineStr"/>
    </row>
    <row r="1370" ht="15" customHeight="1">
      <c r="A1370" t="inlineStr">
        <is>
          <t>A 16942-2026</t>
        </is>
      </c>
      <c r="B1370" t="inlineStr">
        <is>
          <t>avverkningsanmälan</t>
        </is>
      </c>
      <c r="C1370" t="inlineStr">
        <is>
          <t>Föryngringsavverkning</t>
        </is>
      </c>
      <c r="D1370" s="1" t="n">
        <v>46113</v>
      </c>
      <c r="E1370" s="1" t="n">
        <v>46313</v>
      </c>
      <c r="F1370" t="inlineStr">
        <is>
          <t>GÄVLEBORGS LÄN</t>
        </is>
      </c>
      <c r="G1370" t="inlineStr">
        <is>
          <t>BOLLNÄS</t>
        </is>
      </c>
      <c r="I1370" t="n">
        <v>3.2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s="2" t="inlineStr"/>
    </row>
    <row r="1371" ht="15" customHeight="1">
      <c r="A1371" t="inlineStr">
        <is>
          <t>A 17070-2026</t>
        </is>
      </c>
      <c r="B1371" t="inlineStr">
        <is>
          <t>avverkningsanmälan</t>
        </is>
      </c>
      <c r="C1371" t="inlineStr">
        <is>
          <t>Föryngringsavverkning</t>
        </is>
      </c>
      <c r="D1371" s="1" t="n">
        <v>46114</v>
      </c>
      <c r="E1371" s="1" t="n">
        <v>46313</v>
      </c>
      <c r="F1371" t="inlineStr">
        <is>
          <t>GÄVLEBORGS LÄN</t>
        </is>
      </c>
      <c r="G1371" t="inlineStr">
        <is>
          <t>BOLLNÄS</t>
        </is>
      </c>
      <c r="I1371" t="n">
        <v>1.3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s="2" t="inlineStr"/>
    </row>
    <row r="1372" ht="15" customHeight="1">
      <c r="A1372" t="inlineStr">
        <is>
          <t>A 55520-2023</t>
        </is>
      </c>
      <c r="B1372" t="inlineStr">
        <is>
          <t>avverkningsanmälan</t>
        </is>
      </c>
      <c r="C1372" t="inlineStr">
        <is>
          <t>Föryngringsavverkning</t>
        </is>
      </c>
      <c r="D1372" s="1" t="n">
        <v>45238</v>
      </c>
      <c r="E1372" s="1" t="n">
        <v>46313</v>
      </c>
      <c r="F1372" t="inlineStr">
        <is>
          <t>GÄVLEBORGS LÄN</t>
        </is>
      </c>
      <c r="G1372" t="inlineStr">
        <is>
          <t>BOLLNÄS</t>
        </is>
      </c>
      <c r="I1372" t="n">
        <v>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s="2" t="inlineStr"/>
    </row>
    <row r="1373" ht="15" customHeight="1">
      <c r="A1373" t="inlineStr">
        <is>
          <t>A 16992-2026</t>
        </is>
      </c>
      <c r="B1373" t="inlineStr">
        <is>
          <t>avverkningsanmälan</t>
        </is>
      </c>
      <c r="C1373" t="inlineStr">
        <is>
          <t>Föryngringsavverkning</t>
        </is>
      </c>
      <c r="D1373" s="1" t="n">
        <v>46114</v>
      </c>
      <c r="E1373" s="1" t="n">
        <v>46313</v>
      </c>
      <c r="F1373" t="inlineStr">
        <is>
          <t>GÄVLEBORGS LÄN</t>
        </is>
      </c>
      <c r="G1373" t="inlineStr">
        <is>
          <t>BOLLNÄS</t>
        </is>
      </c>
      <c r="H1373" t="inlineStr">
        <is>
          <t>Holmen skog AB</t>
        </is>
      </c>
      <c r="I1373" t="n">
        <v>2.4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s="2" t="inlineStr"/>
    </row>
    <row r="1374" ht="15" customHeight="1">
      <c r="A1374" t="inlineStr">
        <is>
          <t>A 38837-2024</t>
        </is>
      </c>
      <c r="B1374" t="inlineStr">
        <is>
          <t>avverkningsanmälan</t>
        </is>
      </c>
      <c r="C1374" t="inlineStr">
        <is>
          <t>Föryngringsavverkning</t>
        </is>
      </c>
      <c r="D1374" s="1" t="n">
        <v>45547</v>
      </c>
      <c r="E1374" s="1" t="n">
        <v>46313</v>
      </c>
      <c r="F1374" t="inlineStr">
        <is>
          <t>GÄVLEBORGS LÄN</t>
        </is>
      </c>
      <c r="G1374" t="inlineStr">
        <is>
          <t>BOLLNÄS</t>
        </is>
      </c>
      <c r="I1374" t="n">
        <v>0.9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s="2" t="inlineStr"/>
    </row>
    <row r="1375" ht="15" customHeight="1">
      <c r="A1375" t="inlineStr">
        <is>
          <t>A 16858-2026</t>
        </is>
      </c>
      <c r="B1375" t="inlineStr">
        <is>
          <t>avverkningsanmälan</t>
        </is>
      </c>
      <c r="C1375" t="inlineStr">
        <is>
          <t>Föryngringsavverkning</t>
        </is>
      </c>
      <c r="D1375" s="1" t="n">
        <v>46113</v>
      </c>
      <c r="E1375" s="1" t="n">
        <v>46313</v>
      </c>
      <c r="F1375" t="inlineStr">
        <is>
          <t>GÄVLEBORGS LÄN</t>
        </is>
      </c>
      <c r="G1375" t="inlineStr">
        <is>
          <t>BOLLNÄS</t>
        </is>
      </c>
      <c r="I1375" t="n">
        <v>3.5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s="2" t="inlineStr"/>
    </row>
    <row r="1376" ht="15" customHeight="1">
      <c r="A1376" t="inlineStr">
        <is>
          <t>A 17092-2026</t>
        </is>
      </c>
      <c r="B1376" t="inlineStr">
        <is>
          <t>avverkningsanmälan</t>
        </is>
      </c>
      <c r="C1376" t="inlineStr">
        <is>
          <t>Föryngringsavverkning</t>
        </is>
      </c>
      <c r="D1376" s="1" t="n">
        <v>46114</v>
      </c>
      <c r="E1376" s="1" t="n">
        <v>46313</v>
      </c>
      <c r="F1376" t="inlineStr">
        <is>
          <t>GÄVLEBORGS LÄN</t>
        </is>
      </c>
      <c r="G1376" t="inlineStr">
        <is>
          <t>BOLLNÄS</t>
        </is>
      </c>
      <c r="I1376" t="n">
        <v>1.2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s="2" t="inlineStr"/>
    </row>
    <row r="1377" ht="15" customHeight="1">
      <c r="A1377" t="inlineStr">
        <is>
          <t>A 17093-2026</t>
        </is>
      </c>
      <c r="B1377" t="inlineStr">
        <is>
          <t>avverkningsanmälan</t>
        </is>
      </c>
      <c r="C1377" t="inlineStr">
        <is>
          <t>Föryngringsavverkning</t>
        </is>
      </c>
      <c r="D1377" s="1" t="n">
        <v>46114</v>
      </c>
      <c r="E1377" s="1" t="n">
        <v>46313</v>
      </c>
      <c r="F1377" t="inlineStr">
        <is>
          <t>GÄVLEBORGS LÄN</t>
        </is>
      </c>
      <c r="G1377" t="inlineStr">
        <is>
          <t>BOLLNÄS</t>
        </is>
      </c>
      <c r="I1377" t="n">
        <v>0.8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s="2" t="inlineStr"/>
    </row>
    <row r="1378" ht="15" customHeight="1">
      <c r="A1378" t="inlineStr">
        <is>
          <t>A 16700-2026</t>
        </is>
      </c>
      <c r="B1378" t="inlineStr">
        <is>
          <t>avverkningsanmälan</t>
        </is>
      </c>
      <c r="C1378" t="inlineStr">
        <is>
          <t>Föryngringsavverkning</t>
        </is>
      </c>
      <c r="D1378" s="1" t="n">
        <v>46113</v>
      </c>
      <c r="E1378" s="1" t="n">
        <v>46313</v>
      </c>
      <c r="F1378" t="inlineStr">
        <is>
          <t>GÄVLEBORGS LÄN</t>
        </is>
      </c>
      <c r="G1378" t="inlineStr">
        <is>
          <t>BOLLNÄS</t>
        </is>
      </c>
      <c r="I1378" t="n">
        <v>3.5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s="2" t="inlineStr"/>
    </row>
    <row r="1379" ht="15" customHeight="1">
      <c r="A1379" t="inlineStr">
        <is>
          <t>A 17187-2026</t>
        </is>
      </c>
      <c r="B1379" t="inlineStr">
        <is>
          <t>avverkningsanmälan</t>
        </is>
      </c>
      <c r="C1379" t="inlineStr">
        <is>
          <t>Föryngringsavverkning</t>
        </is>
      </c>
      <c r="D1379" s="1" t="n">
        <v>46117</v>
      </c>
      <c r="E1379" s="1" t="n">
        <v>46313</v>
      </c>
      <c r="F1379" t="inlineStr">
        <is>
          <t>GÄVLEBORGS LÄN</t>
        </is>
      </c>
      <c r="G1379" t="inlineStr">
        <is>
          <t>BOLLNÄS</t>
        </is>
      </c>
      <c r="I1379" t="n">
        <v>2.2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s="2" t="inlineStr"/>
    </row>
    <row r="1380" ht="15" customHeight="1">
      <c r="A1380" t="inlineStr">
        <is>
          <t>A 17279-2026</t>
        </is>
      </c>
      <c r="B1380" t="inlineStr">
        <is>
          <t>avverkningsanmälan</t>
        </is>
      </c>
      <c r="C1380" t="inlineStr">
        <is>
          <t>Föryngringsavverkning</t>
        </is>
      </c>
      <c r="D1380" s="1" t="n">
        <v>46119</v>
      </c>
      <c r="E1380" s="1" t="n">
        <v>46313</v>
      </c>
      <c r="F1380" t="inlineStr">
        <is>
          <t>GÄVLEBORGS LÄN</t>
        </is>
      </c>
      <c r="G1380" t="inlineStr">
        <is>
          <t>BOLLNÄS</t>
        </is>
      </c>
      <c r="H1380" t="inlineStr">
        <is>
          <t>Bergvik skog väst AB</t>
        </is>
      </c>
      <c r="I1380" t="n">
        <v>2.3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s="2" t="inlineStr"/>
    </row>
    <row r="1381" ht="15" customHeight="1">
      <c r="A1381" t="inlineStr">
        <is>
          <t>A 19418-2026</t>
        </is>
      </c>
      <c r="B1381" t="inlineStr">
        <is>
          <t>avverkningsanmälan</t>
        </is>
      </c>
      <c r="C1381" t="inlineStr">
        <is>
          <t>Föryngringsavverkning</t>
        </is>
      </c>
      <c r="D1381" s="1" t="n">
        <v>46133</v>
      </c>
      <c r="E1381" s="1" t="n">
        <v>46313</v>
      </c>
      <c r="F1381" t="inlineStr">
        <is>
          <t>GÄVLEBORGS LÄN</t>
        </is>
      </c>
      <c r="G1381" t="inlineStr">
        <is>
          <t>BOLLNÄS</t>
        </is>
      </c>
      <c r="I1381" t="n">
        <v>2.5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s="2" t="inlineStr"/>
    </row>
    <row r="1382" ht="15" customHeight="1">
      <c r="A1382" t="inlineStr">
        <is>
          <t>A 54961-2025</t>
        </is>
      </c>
      <c r="B1382" t="inlineStr">
        <is>
          <t>avverkningsanmälan</t>
        </is>
      </c>
      <c r="C1382" t="inlineStr">
        <is>
          <t>Föryngringsavverkning</t>
        </is>
      </c>
      <c r="D1382" s="1" t="n">
        <v>45967</v>
      </c>
      <c r="E1382" s="1" t="n">
        <v>46313</v>
      </c>
      <c r="F1382" t="inlineStr">
        <is>
          <t>GÄVLEBORGS LÄN</t>
        </is>
      </c>
      <c r="G1382" t="inlineStr">
        <is>
          <t>BOLLNÄS</t>
        </is>
      </c>
      <c r="I1382" t="n">
        <v>9.1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s="2" t="inlineStr"/>
    </row>
    <row r="1383" ht="15" customHeight="1">
      <c r="A1383" t="inlineStr">
        <is>
          <t>A 29187-2026</t>
        </is>
      </c>
      <c r="B1383" t="inlineStr">
        <is>
          <t>avverkningsanmälan</t>
        </is>
      </c>
      <c r="C1383" t="inlineStr">
        <is>
          <t>Föryngringsavverkning</t>
        </is>
      </c>
      <c r="D1383" s="1" t="n">
        <v>46202</v>
      </c>
      <c r="E1383" s="1" t="n">
        <v>46313</v>
      </c>
      <c r="F1383" t="inlineStr">
        <is>
          <t>GÄVLEBORGS LÄN</t>
        </is>
      </c>
      <c r="G1383" t="inlineStr">
        <is>
          <t>BOLLNÄS</t>
        </is>
      </c>
      <c r="H1383" t="inlineStr">
        <is>
          <t>Bergvik skog väst AB</t>
        </is>
      </c>
      <c r="I1383" t="n">
        <v>2.3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s="2" t="inlineStr"/>
    </row>
    <row r="1384" ht="15" customHeight="1">
      <c r="A1384" t="inlineStr">
        <is>
          <t>A 11151-2026</t>
        </is>
      </c>
      <c r="B1384" t="inlineStr">
        <is>
          <t>avverkningsanmälan</t>
        </is>
      </c>
      <c r="C1384" t="inlineStr">
        <is>
          <t>Föryngringsavverkning</t>
        </is>
      </c>
      <c r="D1384" s="1" t="n">
        <v>46080</v>
      </c>
      <c r="E1384" s="1" t="n">
        <v>46313</v>
      </c>
      <c r="F1384" t="inlineStr">
        <is>
          <t>GÄVLEBORGS LÄN</t>
        </is>
      </c>
      <c r="G1384" t="inlineStr">
        <is>
          <t>BOLLNÄS</t>
        </is>
      </c>
      <c r="I1384" t="n">
        <v>4.2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s="2" t="inlineStr"/>
    </row>
    <row r="1385" ht="15" customHeight="1">
      <c r="A1385" t="inlineStr">
        <is>
          <t>A 226-2025</t>
        </is>
      </c>
      <c r="B1385" t="inlineStr">
        <is>
          <t>avverkningsanmälan</t>
        </is>
      </c>
      <c r="C1385" t="inlineStr">
        <is>
          <t>Föryngringsavverkning</t>
        </is>
      </c>
      <c r="D1385" s="1" t="n">
        <v>45660</v>
      </c>
      <c r="E1385" s="1" t="n">
        <v>46313</v>
      </c>
      <c r="F1385" t="inlineStr">
        <is>
          <t>GÄVLEBORGS LÄN</t>
        </is>
      </c>
      <c r="G1385" t="inlineStr">
        <is>
          <t>BOLLNÄS</t>
        </is>
      </c>
      <c r="I1385" t="n">
        <v>0.9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s="2" t="inlineStr"/>
    </row>
    <row r="1386" ht="15" customHeight="1">
      <c r="A1386" t="inlineStr">
        <is>
          <t>A 17960-2026</t>
        </is>
      </c>
      <c r="B1386" t="inlineStr">
        <is>
          <t>avverkningsanmälan</t>
        </is>
      </c>
      <c r="C1386" t="inlineStr">
        <is>
          <t>Föryngringsavverkning</t>
        </is>
      </c>
      <c r="D1386" s="1" t="n">
        <v>46122</v>
      </c>
      <c r="E1386" s="1" t="n">
        <v>46313</v>
      </c>
      <c r="F1386" t="inlineStr">
        <is>
          <t>GÄVLEBORGS LÄN</t>
        </is>
      </c>
      <c r="G1386" t="inlineStr">
        <is>
          <t>BOLLNÄS</t>
        </is>
      </c>
      <c r="I1386" t="n">
        <v>0.9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s="2" t="inlineStr"/>
    </row>
    <row r="1387" ht="15" customHeight="1">
      <c r="A1387" t="inlineStr">
        <is>
          <t>A 17652-2026</t>
        </is>
      </c>
      <c r="B1387" t="inlineStr">
        <is>
          <t>avverkningsanmälan</t>
        </is>
      </c>
      <c r="C1387" t="inlineStr">
        <is>
          <t>Föryngringsavverkning</t>
        </is>
      </c>
      <c r="D1387" s="1" t="n">
        <v>46121</v>
      </c>
      <c r="E1387" s="1" t="n">
        <v>46313</v>
      </c>
      <c r="F1387" t="inlineStr">
        <is>
          <t>GÄVLEBORGS LÄN</t>
        </is>
      </c>
      <c r="G1387" t="inlineStr">
        <is>
          <t>BOLLNÄS</t>
        </is>
      </c>
      <c r="I1387" t="n">
        <v>1.4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s="2" t="inlineStr"/>
    </row>
    <row r="1388" ht="15" customHeight="1">
      <c r="A1388" t="inlineStr">
        <is>
          <t>A 29150-2026</t>
        </is>
      </c>
      <c r="B1388" t="inlineStr">
        <is>
          <t>avverkningsanmälan</t>
        </is>
      </c>
      <c r="C1388" t="inlineStr">
        <is>
          <t>Föryngringsavverkning</t>
        </is>
      </c>
      <c r="D1388" s="1" t="n">
        <v>46202</v>
      </c>
      <c r="E1388" s="1" t="n">
        <v>46313</v>
      </c>
      <c r="F1388" t="inlineStr">
        <is>
          <t>GÄVLEBORGS LÄN</t>
        </is>
      </c>
      <c r="G1388" t="inlineStr">
        <is>
          <t>BOLLNÄS</t>
        </is>
      </c>
      <c r="I1388" t="n">
        <v>3.9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s="2" t="inlineStr"/>
    </row>
    <row r="1389" ht="15" customHeight="1">
      <c r="A1389" t="inlineStr">
        <is>
          <t>A 17647-2026</t>
        </is>
      </c>
      <c r="B1389" t="inlineStr">
        <is>
          <t>avverkningsanmälan</t>
        </is>
      </c>
      <c r="C1389" t="inlineStr">
        <is>
          <t>Föryngringsavverkning</t>
        </is>
      </c>
      <c r="D1389" s="1" t="n">
        <v>46121</v>
      </c>
      <c r="E1389" s="1" t="n">
        <v>46313</v>
      </c>
      <c r="F1389" t="inlineStr">
        <is>
          <t>GÄVLEBORGS LÄN</t>
        </is>
      </c>
      <c r="G1389" t="inlineStr">
        <is>
          <t>BOLLNÄS</t>
        </is>
      </c>
      <c r="I1389" t="n">
        <v>7.2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s="2" t="inlineStr"/>
    </row>
    <row r="1390" ht="15" customHeight="1">
      <c r="A1390" t="inlineStr">
        <is>
          <t>A 28943-2026</t>
        </is>
      </c>
      <c r="B1390" t="inlineStr">
        <is>
          <t>avverkningsanmälan</t>
        </is>
      </c>
      <c r="C1390" t="inlineStr">
        <is>
          <t>Föryngringsavverkning</t>
        </is>
      </c>
      <c r="D1390" s="1" t="n">
        <v>46199</v>
      </c>
      <c r="E1390" s="1" t="n">
        <v>46313</v>
      </c>
      <c r="F1390" t="inlineStr">
        <is>
          <t>GÄVLEBORGS LÄN</t>
        </is>
      </c>
      <c r="G1390" t="inlineStr">
        <is>
          <t>BOLLNÄS</t>
        </is>
      </c>
      <c r="I1390" t="n">
        <v>2.2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s="2" t="inlineStr"/>
    </row>
    <row r="1391" ht="15" customHeight="1">
      <c r="A1391" t="inlineStr">
        <is>
          <t>A 18088-2026</t>
        </is>
      </c>
      <c r="B1391" t="inlineStr">
        <is>
          <t>avverkningsanmälan</t>
        </is>
      </c>
      <c r="C1391" t="inlineStr">
        <is>
          <t>Föryngringsavverkning</t>
        </is>
      </c>
      <c r="D1391" s="1" t="n">
        <v>46125</v>
      </c>
      <c r="E1391" s="1" t="n">
        <v>46313</v>
      </c>
      <c r="F1391" t="inlineStr">
        <is>
          <t>GÄVLEBORGS LÄN</t>
        </is>
      </c>
      <c r="G1391" t="inlineStr">
        <is>
          <t>BOLLNÄS</t>
        </is>
      </c>
      <c r="I1391" t="n">
        <v>5.1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s="2" t="inlineStr"/>
    </row>
    <row r="1392" ht="15" customHeight="1">
      <c r="A1392" t="inlineStr">
        <is>
          <t>A 18010-2026</t>
        </is>
      </c>
      <c r="B1392" t="inlineStr">
        <is>
          <t>avverkningsanmälan</t>
        </is>
      </c>
      <c r="C1392" t="inlineStr">
        <is>
          <t>Föryngringsavverkning</t>
        </is>
      </c>
      <c r="D1392" s="1" t="n">
        <v>46125</v>
      </c>
      <c r="E1392" s="1" t="n">
        <v>46313</v>
      </c>
      <c r="F1392" t="inlineStr">
        <is>
          <t>GÄVLEBORGS LÄN</t>
        </is>
      </c>
      <c r="G1392" t="inlineStr">
        <is>
          <t>BOLLNÄS</t>
        </is>
      </c>
      <c r="H1392" t="inlineStr">
        <is>
          <t>Holmen skog AB</t>
        </is>
      </c>
      <c r="I1392" t="n">
        <v>5.1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s="2" t="inlineStr"/>
    </row>
    <row r="1393" ht="15" customHeight="1">
      <c r="A1393" t="inlineStr">
        <is>
          <t>A 18196-2026</t>
        </is>
      </c>
      <c r="B1393" t="inlineStr">
        <is>
          <t>avverkningsanmälan</t>
        </is>
      </c>
      <c r="C1393" t="inlineStr">
        <is>
          <t>Föryngringsavverkning</t>
        </is>
      </c>
      <c r="D1393" s="1" t="n">
        <v>46125</v>
      </c>
      <c r="E1393" s="1" t="n">
        <v>46313</v>
      </c>
      <c r="F1393" t="inlineStr">
        <is>
          <t>GÄVLEBORGS LÄN</t>
        </is>
      </c>
      <c r="G1393" t="inlineStr">
        <is>
          <t>BOLLNÄS</t>
        </is>
      </c>
      <c r="H1393" t="inlineStr">
        <is>
          <t>Bergvik skog väst AB</t>
        </is>
      </c>
      <c r="I1393" t="n">
        <v>5.7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s="2" t="inlineStr"/>
    </row>
    <row r="1394" ht="15" customHeight="1">
      <c r="A1394" t="inlineStr">
        <is>
          <t>A 18361-2026</t>
        </is>
      </c>
      <c r="B1394" t="inlineStr">
        <is>
          <t>avverkningsanmälan</t>
        </is>
      </c>
      <c r="C1394" t="inlineStr">
        <is>
          <t>Föryngringsavverkning</t>
        </is>
      </c>
      <c r="D1394" s="1" t="n">
        <v>46126</v>
      </c>
      <c r="E1394" s="1" t="n">
        <v>46313</v>
      </c>
      <c r="F1394" t="inlineStr">
        <is>
          <t>GÄVLEBORGS LÄN</t>
        </is>
      </c>
      <c r="G1394" t="inlineStr">
        <is>
          <t>BOLLNÄS</t>
        </is>
      </c>
      <c r="H1394" t="inlineStr">
        <is>
          <t>Kyrkan</t>
        </is>
      </c>
      <c r="I1394" t="n">
        <v>0.6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s="2" t="inlineStr"/>
    </row>
    <row r="1395" ht="15" customHeight="1">
      <c r="A1395" t="inlineStr">
        <is>
          <t>A 18364-2026</t>
        </is>
      </c>
      <c r="B1395" t="inlineStr">
        <is>
          <t>avverkningsanmälan</t>
        </is>
      </c>
      <c r="C1395" t="inlineStr">
        <is>
          <t>Föryngringsavverkning</t>
        </is>
      </c>
      <c r="D1395" s="1" t="n">
        <v>46126</v>
      </c>
      <c r="E1395" s="1" t="n">
        <v>46313</v>
      </c>
      <c r="F1395" t="inlineStr">
        <is>
          <t>GÄVLEBORGS LÄN</t>
        </is>
      </c>
      <c r="G1395" t="inlineStr">
        <is>
          <t>BOLLNÄS</t>
        </is>
      </c>
      <c r="I1395" t="n">
        <v>0.8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s="2" t="inlineStr"/>
    </row>
    <row r="1396" ht="15" customHeight="1">
      <c r="A1396" t="inlineStr">
        <is>
          <t>A 18228-2026</t>
        </is>
      </c>
      <c r="B1396" t="inlineStr">
        <is>
          <t>avverkningsanmälan</t>
        </is>
      </c>
      <c r="C1396" t="inlineStr">
        <is>
          <t>Föryngringsavverkning</t>
        </is>
      </c>
      <c r="D1396" s="1" t="n">
        <v>46126</v>
      </c>
      <c r="E1396" s="1" t="n">
        <v>46313</v>
      </c>
      <c r="F1396" t="inlineStr">
        <is>
          <t>GÄVLEBORGS LÄN</t>
        </is>
      </c>
      <c r="G1396" t="inlineStr">
        <is>
          <t>BOLLNÄS</t>
        </is>
      </c>
      <c r="H1396" t="inlineStr">
        <is>
          <t>Kyrkan</t>
        </is>
      </c>
      <c r="I1396" t="n">
        <v>1.6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s="2" t="inlineStr"/>
    </row>
    <row r="1397" ht="15" customHeight="1">
      <c r="A1397" t="inlineStr">
        <is>
          <t>A 18317-2026</t>
        </is>
      </c>
      <c r="B1397" t="inlineStr">
        <is>
          <t>avverkningsanmälan</t>
        </is>
      </c>
      <c r="C1397" t="inlineStr">
        <is>
          <t>Föryngringsavverkning</t>
        </is>
      </c>
      <c r="D1397" s="1" t="n">
        <v>46126</v>
      </c>
      <c r="E1397" s="1" t="n">
        <v>46313</v>
      </c>
      <c r="F1397" t="inlineStr">
        <is>
          <t>GÄVLEBORGS LÄN</t>
        </is>
      </c>
      <c r="G1397" t="inlineStr">
        <is>
          <t>BOLLNÄS</t>
        </is>
      </c>
      <c r="I1397" t="n">
        <v>2.6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s="2" t="inlineStr"/>
    </row>
    <row r="1398" ht="15" customHeight="1">
      <c r="A1398" t="inlineStr">
        <is>
          <t>A 17970-2026</t>
        </is>
      </c>
      <c r="B1398" t="inlineStr">
        <is>
          <t>avverkningsanmälan</t>
        </is>
      </c>
      <c r="C1398" t="inlineStr">
        <is>
          <t>Föryngringsavverkning</t>
        </is>
      </c>
      <c r="D1398" s="1" t="n">
        <v>46123</v>
      </c>
      <c r="E1398" s="1" t="n">
        <v>46313</v>
      </c>
      <c r="F1398" t="inlineStr">
        <is>
          <t>GÄVLEBORGS LÄN</t>
        </is>
      </c>
      <c r="G1398" t="inlineStr">
        <is>
          <t>BOLLNÄS</t>
        </is>
      </c>
      <c r="I1398" t="n">
        <v>1.1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s="2" t="inlineStr"/>
    </row>
    <row r="1399" ht="15" customHeight="1">
      <c r="A1399" t="inlineStr">
        <is>
          <t>A 19408-2026</t>
        </is>
      </c>
      <c r="B1399" t="inlineStr">
        <is>
          <t>avverkningsanmälan</t>
        </is>
      </c>
      <c r="C1399" t="inlineStr">
        <is>
          <t>Föryngringsavverkning</t>
        </is>
      </c>
      <c r="D1399" s="1" t="n">
        <v>46133</v>
      </c>
      <c r="E1399" s="1" t="n">
        <v>46313</v>
      </c>
      <c r="F1399" t="inlineStr">
        <is>
          <t>GÄVLEBORGS LÄN</t>
        </is>
      </c>
      <c r="G1399" t="inlineStr">
        <is>
          <t>BOLLNÄS</t>
        </is>
      </c>
      <c r="I1399" t="n">
        <v>0.9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s="2" t="inlineStr"/>
    </row>
    <row r="1400" ht="15" customHeight="1">
      <c r="A1400" t="inlineStr">
        <is>
          <t>A 18397-2026</t>
        </is>
      </c>
      <c r="B1400" t="inlineStr">
        <is>
          <t>avverkningsanmälan</t>
        </is>
      </c>
      <c r="C1400" t="inlineStr">
        <is>
          <t>Föryngringsavverkning</t>
        </is>
      </c>
      <c r="D1400" s="1" t="n">
        <v>46126</v>
      </c>
      <c r="E1400" s="1" t="n">
        <v>46313</v>
      </c>
      <c r="F1400" t="inlineStr">
        <is>
          <t>GÄVLEBORGS LÄN</t>
        </is>
      </c>
      <c r="G1400" t="inlineStr">
        <is>
          <t>BOLLNÄS</t>
        </is>
      </c>
      <c r="I1400" t="n">
        <v>2.2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s="2" t="inlineStr"/>
    </row>
    <row r="1401" ht="15" customHeight="1">
      <c r="A1401" t="inlineStr">
        <is>
          <t>A 18195-2026</t>
        </is>
      </c>
      <c r="B1401" t="inlineStr">
        <is>
          <t>avverkningsanmälan</t>
        </is>
      </c>
      <c r="C1401" t="inlineStr">
        <is>
          <t>Föryngringsavverkning</t>
        </is>
      </c>
      <c r="D1401" s="1" t="n">
        <v>46125</v>
      </c>
      <c r="E1401" s="1" t="n">
        <v>46313</v>
      </c>
      <c r="F1401" t="inlineStr">
        <is>
          <t>GÄVLEBORGS LÄN</t>
        </is>
      </c>
      <c r="G1401" t="inlineStr">
        <is>
          <t>BOLLNÄS</t>
        </is>
      </c>
      <c r="H1401" t="inlineStr">
        <is>
          <t>Bergvik skog väst AB</t>
        </is>
      </c>
      <c r="I1401" t="n">
        <v>4.6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s="2" t="inlineStr"/>
    </row>
    <row r="1402" ht="15" customHeight="1">
      <c r="A1402" t="inlineStr">
        <is>
          <t>A 29154-2026</t>
        </is>
      </c>
      <c r="B1402" t="inlineStr">
        <is>
          <t>avverkningsanmälan</t>
        </is>
      </c>
      <c r="C1402" t="inlineStr">
        <is>
          <t>Föryngringsavverkning</t>
        </is>
      </c>
      <c r="D1402" s="1" t="n">
        <v>46202</v>
      </c>
      <c r="E1402" s="1" t="n">
        <v>46313</v>
      </c>
      <c r="F1402" t="inlineStr">
        <is>
          <t>GÄVLEBORGS LÄN</t>
        </is>
      </c>
      <c r="G1402" t="inlineStr">
        <is>
          <t>BOLLNÄS</t>
        </is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s="2" t="inlineStr"/>
    </row>
    <row r="1403" ht="15" customHeight="1">
      <c r="A1403" t="inlineStr">
        <is>
          <t>A 18198-2026</t>
        </is>
      </c>
      <c r="B1403" t="inlineStr">
        <is>
          <t>avverkningsanmälan</t>
        </is>
      </c>
      <c r="C1403" t="inlineStr">
        <is>
          <t>Föryngringsavverkning</t>
        </is>
      </c>
      <c r="D1403" s="1" t="n">
        <v>46125</v>
      </c>
      <c r="E1403" s="1" t="n">
        <v>46313</v>
      </c>
      <c r="F1403" t="inlineStr">
        <is>
          <t>GÄVLEBORGS LÄN</t>
        </is>
      </c>
      <c r="G1403" t="inlineStr">
        <is>
          <t>BOLLNÄS</t>
        </is>
      </c>
      <c r="H1403" t="inlineStr">
        <is>
          <t>Bergvik skog väst AB</t>
        </is>
      </c>
      <c r="I1403" t="n">
        <v>11.6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s="2" t="inlineStr"/>
    </row>
    <row r="1404" ht="15" customHeight="1">
      <c r="A1404" t="inlineStr">
        <is>
          <t>A 18211-2026</t>
        </is>
      </c>
      <c r="B1404" t="inlineStr">
        <is>
          <t>avverkningsanmälan</t>
        </is>
      </c>
      <c r="C1404" t="inlineStr">
        <is>
          <t>Föryngringsavverkning</t>
        </is>
      </c>
      <c r="D1404" s="1" t="n">
        <v>46125</v>
      </c>
      <c r="E1404" s="1" t="n">
        <v>46313</v>
      </c>
      <c r="F1404" t="inlineStr">
        <is>
          <t>GÄVLEBORGS LÄN</t>
        </is>
      </c>
      <c r="G1404" t="inlineStr">
        <is>
          <t>BOLLNÄS</t>
        </is>
      </c>
      <c r="I1404" t="n">
        <v>3.4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s="2" t="inlineStr"/>
    </row>
    <row r="1405" ht="15" customHeight="1">
      <c r="A1405" t="inlineStr">
        <is>
          <t>A 18721-2026</t>
        </is>
      </c>
      <c r="B1405" t="inlineStr">
        <is>
          <t>avverkningsanmälan</t>
        </is>
      </c>
      <c r="C1405" t="inlineStr">
        <is>
          <t>Föryngringsavverkning</t>
        </is>
      </c>
      <c r="D1405" s="1" t="n">
        <v>46128</v>
      </c>
      <c r="E1405" s="1" t="n">
        <v>46313</v>
      </c>
      <c r="F1405" t="inlineStr">
        <is>
          <t>GÄVLEBORGS LÄN</t>
        </is>
      </c>
      <c r="G1405" t="inlineStr">
        <is>
          <t>BOLLNÄS</t>
        </is>
      </c>
      <c r="I1405" t="n">
        <v>1.7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s="2" t="inlineStr"/>
    </row>
    <row r="1406" ht="15" customHeight="1">
      <c r="A1406" t="inlineStr">
        <is>
          <t>A 18672-2026</t>
        </is>
      </c>
      <c r="B1406" t="inlineStr">
        <is>
          <t>avverkningsanmälan</t>
        </is>
      </c>
      <c r="C1406" t="inlineStr">
        <is>
          <t>Föryngringsavverkning</t>
        </is>
      </c>
      <c r="D1406" s="1" t="n">
        <v>46128</v>
      </c>
      <c r="E1406" s="1" t="n">
        <v>46313</v>
      </c>
      <c r="F1406" t="inlineStr">
        <is>
          <t>GÄVLEBORGS LÄN</t>
        </is>
      </c>
      <c r="G1406" t="inlineStr">
        <is>
          <t>BOLLNÄS</t>
        </is>
      </c>
      <c r="I1406" t="n">
        <v>0.9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s="2" t="inlineStr"/>
    </row>
    <row r="1407" ht="15" customHeight="1">
      <c r="A1407" t="inlineStr">
        <is>
          <t>A 18791-2026</t>
        </is>
      </c>
      <c r="B1407" t="inlineStr">
        <is>
          <t>avverkningsanmälan</t>
        </is>
      </c>
      <c r="C1407" t="inlineStr">
        <is>
          <t>Föryngringsavverkning</t>
        </is>
      </c>
      <c r="D1407" s="1" t="n">
        <v>46128</v>
      </c>
      <c r="E1407" s="1" t="n">
        <v>46313</v>
      </c>
      <c r="F1407" t="inlineStr">
        <is>
          <t>GÄVLEBORGS LÄN</t>
        </is>
      </c>
      <c r="G1407" t="inlineStr">
        <is>
          <t>BOLLNÄS</t>
        </is>
      </c>
      <c r="I1407" t="n">
        <v>2.4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s="2" t="inlineStr"/>
    </row>
    <row r="1408" ht="15" customHeight="1">
      <c r="A1408" t="inlineStr">
        <is>
          <t>A 18792-2026</t>
        </is>
      </c>
      <c r="B1408" t="inlineStr">
        <is>
          <t>avverkningsanmälan</t>
        </is>
      </c>
      <c r="C1408" t="inlineStr">
        <is>
          <t>Föryngringsavverkning</t>
        </is>
      </c>
      <c r="D1408" s="1" t="n">
        <v>46128</v>
      </c>
      <c r="E1408" s="1" t="n">
        <v>46313</v>
      </c>
      <c r="F1408" t="inlineStr">
        <is>
          <t>GÄVLEBORGS LÄN</t>
        </is>
      </c>
      <c r="G1408" t="inlineStr">
        <is>
          <t>BOLLNÄS</t>
        </is>
      </c>
      <c r="I1408" t="n">
        <v>8.9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s="2" t="inlineStr"/>
    </row>
    <row r="1409" ht="15" customHeight="1">
      <c r="A1409" t="inlineStr">
        <is>
          <t>A 18865-2026</t>
        </is>
      </c>
      <c r="B1409" t="inlineStr">
        <is>
          <t>avverkningsanmälan</t>
        </is>
      </c>
      <c r="C1409" t="inlineStr">
        <is>
          <t>Föryngringsavverkning</t>
        </is>
      </c>
      <c r="D1409" s="1" t="n">
        <v>46129</v>
      </c>
      <c r="E1409" s="1" t="n">
        <v>46313</v>
      </c>
      <c r="F1409" t="inlineStr">
        <is>
          <t>GÄVLEBORGS LÄN</t>
        </is>
      </c>
      <c r="G1409" t="inlineStr">
        <is>
          <t>BOLLNÄS</t>
        </is>
      </c>
      <c r="I1409" t="n">
        <v>1.6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s="2" t="inlineStr"/>
    </row>
    <row r="1410" ht="15" customHeight="1">
      <c r="A1410" t="inlineStr">
        <is>
          <t>A 18768-2026</t>
        </is>
      </c>
      <c r="B1410" t="inlineStr">
        <is>
          <t>avverkningsanmälan</t>
        </is>
      </c>
      <c r="C1410" t="inlineStr">
        <is>
          <t>Föryngringsavverkning</t>
        </is>
      </c>
      <c r="D1410" s="1" t="n">
        <v>46128</v>
      </c>
      <c r="E1410" s="1" t="n">
        <v>46313</v>
      </c>
      <c r="F1410" t="inlineStr">
        <is>
          <t>GÄVLEBORGS LÄN</t>
        </is>
      </c>
      <c r="G1410" t="inlineStr">
        <is>
          <t>BOLLNÄS</t>
        </is>
      </c>
      <c r="H1410" t="inlineStr">
        <is>
          <t>Bergvik skog öst AB</t>
        </is>
      </c>
      <c r="I1410" t="n">
        <v>3.3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s="2" t="inlineStr"/>
    </row>
    <row r="1411" ht="15" customHeight="1">
      <c r="A1411" t="inlineStr">
        <is>
          <t>A 18794-2026</t>
        </is>
      </c>
      <c r="B1411" t="inlineStr">
        <is>
          <t>avverkningsanmälan</t>
        </is>
      </c>
      <c r="C1411" t="inlineStr">
        <is>
          <t>Föryngringsavverkning</t>
        </is>
      </c>
      <c r="D1411" s="1" t="n">
        <v>46128</v>
      </c>
      <c r="E1411" s="1" t="n">
        <v>46313</v>
      </c>
      <c r="F1411" t="inlineStr">
        <is>
          <t>GÄVLEBORGS LÄN</t>
        </is>
      </c>
      <c r="G1411" t="inlineStr">
        <is>
          <t>BOLLNÄS</t>
        </is>
      </c>
      <c r="I1411" t="n">
        <v>8.800000000000001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s="2" t="inlineStr"/>
    </row>
    <row r="1412" ht="15" customHeight="1">
      <c r="A1412" t="inlineStr">
        <is>
          <t>A 16349-2026</t>
        </is>
      </c>
      <c r="B1412" t="inlineStr">
        <is>
          <t>avverkningsanmälan</t>
        </is>
      </c>
      <c r="C1412" t="inlineStr">
        <is>
          <t>Föryngringsavverkning</t>
        </is>
      </c>
      <c r="D1412" s="1" t="n">
        <v>46111</v>
      </c>
      <c r="E1412" s="1" t="n">
        <v>46313</v>
      </c>
      <c r="F1412" t="inlineStr">
        <is>
          <t>GÄVLEBORGS LÄN</t>
        </is>
      </c>
      <c r="G1412" t="inlineStr">
        <is>
          <t>BOLLNÄS</t>
        </is>
      </c>
      <c r="H1412" t="inlineStr">
        <is>
          <t>Bergvik skog öst AB</t>
        </is>
      </c>
      <c r="I1412" t="n">
        <v>1.3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s="2" t="inlineStr"/>
    </row>
    <row r="1413" ht="15" customHeight="1">
      <c r="A1413" t="inlineStr">
        <is>
          <t>A 26440-2024</t>
        </is>
      </c>
      <c r="B1413" t="inlineStr">
        <is>
          <t>avverkningsanmälan</t>
        </is>
      </c>
      <c r="C1413" t="inlineStr">
        <is>
          <t>Föryngringsavverkning</t>
        </is>
      </c>
      <c r="D1413" s="1" t="n">
        <v>45469</v>
      </c>
      <c r="E1413" s="1" t="n">
        <v>46313</v>
      </c>
      <c r="F1413" t="inlineStr">
        <is>
          <t>GÄVLEBORGS LÄN</t>
        </is>
      </c>
      <c r="G1413" t="inlineStr">
        <is>
          <t>BOLLNÄS</t>
        </is>
      </c>
      <c r="H1413" t="inlineStr">
        <is>
          <t>Bergvik skog väst AB</t>
        </is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s="2" t="inlineStr"/>
    </row>
    <row r="1414" ht="15" customHeight="1">
      <c r="A1414" t="inlineStr">
        <is>
          <t>A 53566-2022</t>
        </is>
      </c>
      <c r="B1414" t="inlineStr">
        <is>
          <t>avverkningsanmälan</t>
        </is>
      </c>
      <c r="C1414" t="inlineStr">
        <is>
          <t>Föryngringsavverkning</t>
        </is>
      </c>
      <c r="D1414" s="1" t="n">
        <v>44879</v>
      </c>
      <c r="E1414" s="1" t="n">
        <v>46313</v>
      </c>
      <c r="F1414" t="inlineStr">
        <is>
          <t>GÄVLEBORGS LÄN</t>
        </is>
      </c>
      <c r="G1414" t="inlineStr">
        <is>
          <t>BOLLNÄS</t>
        </is>
      </c>
      <c r="H1414" t="inlineStr">
        <is>
          <t>Holmen skog AB</t>
        </is>
      </c>
      <c r="I1414" t="n">
        <v>2.6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s="2" t="inlineStr"/>
    </row>
    <row r="1415" ht="15" customHeight="1">
      <c r="A1415" t="inlineStr">
        <is>
          <t>A 13547-2026</t>
        </is>
      </c>
      <c r="B1415" t="inlineStr">
        <is>
          <t>avverkningsanmälan</t>
        </is>
      </c>
      <c r="C1415" t="inlineStr">
        <is>
          <t>Föryngringsavverkning</t>
        </is>
      </c>
      <c r="D1415" s="1" t="n">
        <v>46094</v>
      </c>
      <c r="E1415" s="1" t="n">
        <v>46313</v>
      </c>
      <c r="F1415" t="inlineStr">
        <is>
          <t>GÄVLEBORGS LÄN</t>
        </is>
      </c>
      <c r="G1415" t="inlineStr">
        <is>
          <t>BOLLNÄS</t>
        </is>
      </c>
      <c r="I1415" t="n">
        <v>7.5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s="2" t="inlineStr"/>
    </row>
    <row r="1416" ht="15" customHeight="1">
      <c r="A1416" t="inlineStr">
        <is>
          <t>A 18462-2026</t>
        </is>
      </c>
      <c r="B1416" t="inlineStr">
        <is>
          <t>avverkningsanmälan</t>
        </is>
      </c>
      <c r="C1416" t="inlineStr">
        <is>
          <t>Föryngringsavverkning</t>
        </is>
      </c>
      <c r="D1416" s="1" t="n">
        <v>46127</v>
      </c>
      <c r="E1416" s="1" t="n">
        <v>46313</v>
      </c>
      <c r="F1416" t="inlineStr">
        <is>
          <t>GÄVLEBORGS LÄN</t>
        </is>
      </c>
      <c r="G1416" t="inlineStr">
        <is>
          <t>BOLLNÄS</t>
        </is>
      </c>
      <c r="I1416" t="n">
        <v>0.5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s="2" t="inlineStr"/>
    </row>
    <row r="1417" ht="15" customHeight="1">
      <c r="A1417" t="inlineStr">
        <is>
          <t>A 12624-2025</t>
        </is>
      </c>
      <c r="B1417" t="inlineStr">
        <is>
          <t>avverkningsanmälan</t>
        </is>
      </c>
      <c r="C1417" t="inlineStr">
        <is>
          <t>Föryngringsavverkning</t>
        </is>
      </c>
      <c r="D1417" s="1" t="n">
        <v>45733</v>
      </c>
      <c r="E1417" s="1" t="n">
        <v>46313</v>
      </c>
      <c r="F1417" t="inlineStr">
        <is>
          <t>GÄVLEBORGS LÄN</t>
        </is>
      </c>
      <c r="G1417" t="inlineStr">
        <is>
          <t>BOLLNÄS</t>
        </is>
      </c>
      <c r="I1417" t="n">
        <v>2.1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s="2" t="inlineStr"/>
    </row>
    <row r="1418" ht="15" customHeight="1">
      <c r="A1418" t="inlineStr">
        <is>
          <t>A 18539-2026</t>
        </is>
      </c>
      <c r="B1418" t="inlineStr">
        <is>
          <t>avverkningsanmälan</t>
        </is>
      </c>
      <c r="C1418" t="inlineStr">
        <is>
          <t>Föryngringsavverkning</t>
        </is>
      </c>
      <c r="D1418" s="1" t="n">
        <v>46127</v>
      </c>
      <c r="E1418" s="1" t="n">
        <v>46313</v>
      </c>
      <c r="F1418" t="inlineStr">
        <is>
          <t>GÄVLEBORGS LÄN</t>
        </is>
      </c>
      <c r="G1418" t="inlineStr">
        <is>
          <t>BOLLNÄS</t>
        </is>
      </c>
      <c r="I1418" t="n">
        <v>2.4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s="2" t="inlineStr"/>
    </row>
    <row r="1419" ht="15" customHeight="1">
      <c r="A1419" t="inlineStr">
        <is>
          <t>A 18842-2026</t>
        </is>
      </c>
      <c r="B1419" t="inlineStr">
        <is>
          <t>avverkningsanmälan</t>
        </is>
      </c>
      <c r="C1419" t="inlineStr">
        <is>
          <t>Föryngringsavverkning</t>
        </is>
      </c>
      <c r="D1419" s="1" t="n">
        <v>46129</v>
      </c>
      <c r="E1419" s="1" t="n">
        <v>46313</v>
      </c>
      <c r="F1419" t="inlineStr">
        <is>
          <t>GÄVLEBORGS LÄN</t>
        </is>
      </c>
      <c r="G1419" t="inlineStr">
        <is>
          <t>BOLLNÄS</t>
        </is>
      </c>
      <c r="I1419" t="n">
        <v>1.1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s="2" t="inlineStr"/>
    </row>
    <row r="1420" ht="15" customHeight="1">
      <c r="A1420" t="inlineStr">
        <is>
          <t>A 18832-2026</t>
        </is>
      </c>
      <c r="B1420" t="inlineStr">
        <is>
          <t>avverkningsanmälan</t>
        </is>
      </c>
      <c r="C1420" t="inlineStr">
        <is>
          <t>Föryngringsavverkning</t>
        </is>
      </c>
      <c r="D1420" s="1" t="n">
        <v>46129</v>
      </c>
      <c r="E1420" s="1" t="n">
        <v>46313</v>
      </c>
      <c r="F1420" t="inlineStr">
        <is>
          <t>GÄVLEBORGS LÄN</t>
        </is>
      </c>
      <c r="G1420" t="inlineStr">
        <is>
          <t>BOLLNÄS</t>
        </is>
      </c>
      <c r="I1420" t="n">
        <v>0.7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s="2" t="inlineStr"/>
    </row>
    <row r="1421" ht="15" customHeight="1">
      <c r="A1421" t="inlineStr">
        <is>
          <t>A 18723-2026</t>
        </is>
      </c>
      <c r="B1421" t="inlineStr">
        <is>
          <t>avverkningsanmälan</t>
        </is>
      </c>
      <c r="C1421" t="inlineStr">
        <is>
          <t>Föryngringsavverkning</t>
        </is>
      </c>
      <c r="D1421" s="1" t="n">
        <v>46128</v>
      </c>
      <c r="E1421" s="1" t="n">
        <v>46313</v>
      </c>
      <c r="F1421" t="inlineStr">
        <is>
          <t>GÄVLEBORGS LÄN</t>
        </is>
      </c>
      <c r="G1421" t="inlineStr">
        <is>
          <t>BOLLNÄS</t>
        </is>
      </c>
      <c r="I1421" t="n">
        <v>2.3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s="2" t="inlineStr"/>
    </row>
    <row r="1422" ht="15" customHeight="1">
      <c r="A1422" t="inlineStr">
        <is>
          <t>A 19288-2026</t>
        </is>
      </c>
      <c r="B1422" t="inlineStr">
        <is>
          <t>avverkningsanmälan</t>
        </is>
      </c>
      <c r="C1422" t="inlineStr">
        <is>
          <t>Föryngringsavverkning</t>
        </is>
      </c>
      <c r="D1422" s="1" t="n">
        <v>46133</v>
      </c>
      <c r="E1422" s="1" t="n">
        <v>46313</v>
      </c>
      <c r="F1422" t="inlineStr">
        <is>
          <t>GÄVLEBORGS LÄN</t>
        </is>
      </c>
      <c r="G1422" t="inlineStr">
        <is>
          <t>BOLLNÄS</t>
        </is>
      </c>
      <c r="I1422" t="n">
        <v>2.5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s="2" t="inlineStr"/>
    </row>
    <row r="1423" ht="15" customHeight="1">
      <c r="A1423" t="inlineStr">
        <is>
          <t>A 19391-2026</t>
        </is>
      </c>
      <c r="B1423" t="inlineStr">
        <is>
          <t>avverkningsanmälan</t>
        </is>
      </c>
      <c r="C1423" t="inlineStr">
        <is>
          <t>Föryngringsavverkning</t>
        </is>
      </c>
      <c r="D1423" s="1" t="n">
        <v>46133</v>
      </c>
      <c r="E1423" s="1" t="n">
        <v>46313</v>
      </c>
      <c r="F1423" t="inlineStr">
        <is>
          <t>GÄVLEBORGS LÄN</t>
        </is>
      </c>
      <c r="G1423" t="inlineStr">
        <is>
          <t>BOLLNÄS</t>
        </is>
      </c>
      <c r="I1423" t="n">
        <v>3.1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s="2" t="inlineStr"/>
    </row>
    <row r="1424" ht="15" customHeight="1">
      <c r="A1424" t="inlineStr">
        <is>
          <t>A 19403-2026</t>
        </is>
      </c>
      <c r="B1424" t="inlineStr">
        <is>
          <t>avverkningsanmälan</t>
        </is>
      </c>
      <c r="C1424" t="inlineStr">
        <is>
          <t>Föryngringsavverkning</t>
        </is>
      </c>
      <c r="D1424" s="1" t="n">
        <v>46133</v>
      </c>
      <c r="E1424" s="1" t="n">
        <v>46313</v>
      </c>
      <c r="F1424" t="inlineStr">
        <is>
          <t>GÄVLEBORGS LÄN</t>
        </is>
      </c>
      <c r="G1424" t="inlineStr">
        <is>
          <t>BOLLNÄS</t>
        </is>
      </c>
      <c r="I1424" t="n">
        <v>2.7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s="2" t="inlineStr"/>
    </row>
    <row r="1425" ht="15" customHeight="1">
      <c r="A1425" t="inlineStr">
        <is>
          <t>A 19396-2026</t>
        </is>
      </c>
      <c r="B1425" t="inlineStr">
        <is>
          <t>avverkningsanmälan</t>
        </is>
      </c>
      <c r="C1425" t="inlineStr">
        <is>
          <t>Föryngringsavverkning</t>
        </is>
      </c>
      <c r="D1425" s="1" t="n">
        <v>46133</v>
      </c>
      <c r="E1425" s="1" t="n">
        <v>46313</v>
      </c>
      <c r="F1425" t="inlineStr">
        <is>
          <t>GÄVLEBORGS LÄN</t>
        </is>
      </c>
      <c r="G1425" t="inlineStr">
        <is>
          <t>BOLLNÄS</t>
        </is>
      </c>
      <c r="I1425" t="n">
        <v>4.5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s="2" t="inlineStr"/>
    </row>
    <row r="1426" ht="15" customHeight="1">
      <c r="A1426" t="inlineStr">
        <is>
          <t>A 19159-2026</t>
        </is>
      </c>
      <c r="B1426" t="inlineStr">
        <is>
          <t>avverkningsanmälan</t>
        </is>
      </c>
      <c r="C1426" t="inlineStr">
        <is>
          <t>Föryngringsavverkning</t>
        </is>
      </c>
      <c r="D1426" s="1" t="n">
        <v>46132</v>
      </c>
      <c r="E1426" s="1" t="n">
        <v>46313</v>
      </c>
      <c r="F1426" t="inlineStr">
        <is>
          <t>GÄVLEBORGS LÄN</t>
        </is>
      </c>
      <c r="G1426" t="inlineStr">
        <is>
          <t>BOLLNÄS</t>
        </is>
      </c>
      <c r="I1426" t="n">
        <v>0.6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s="2" t="inlineStr"/>
    </row>
    <row r="1427" ht="15" customHeight="1">
      <c r="A1427" t="inlineStr">
        <is>
          <t>A 19340-2026</t>
        </is>
      </c>
      <c r="B1427" t="inlineStr">
        <is>
          <t>avverkningsanmälan</t>
        </is>
      </c>
      <c r="C1427" t="inlineStr">
        <is>
          <t>Föryngringsavverkning</t>
        </is>
      </c>
      <c r="D1427" s="1" t="n">
        <v>46133</v>
      </c>
      <c r="E1427" s="1" t="n">
        <v>46313</v>
      </c>
      <c r="F1427" t="inlineStr">
        <is>
          <t>GÄVLEBORGS LÄN</t>
        </is>
      </c>
      <c r="G1427" t="inlineStr">
        <is>
          <t>BOLLNÄS</t>
        </is>
      </c>
      <c r="H1427" t="inlineStr">
        <is>
          <t>Bergvik skog väst AB</t>
        </is>
      </c>
      <c r="I1427" t="n">
        <v>6.8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s="2" t="inlineStr"/>
    </row>
    <row r="1428" ht="15" customHeight="1">
      <c r="A1428" t="inlineStr">
        <is>
          <t>A 19228-2026</t>
        </is>
      </c>
      <c r="B1428" t="inlineStr">
        <is>
          <t>avverkningsanmälan</t>
        </is>
      </c>
      <c r="C1428" t="inlineStr">
        <is>
          <t>Föryngringsavverkning</t>
        </is>
      </c>
      <c r="D1428" s="1" t="n">
        <v>46132</v>
      </c>
      <c r="E1428" s="1" t="n">
        <v>46313</v>
      </c>
      <c r="F1428" t="inlineStr">
        <is>
          <t>GÄVLEBORGS LÄN</t>
        </is>
      </c>
      <c r="G1428" t="inlineStr">
        <is>
          <t>BOLLNÄS</t>
        </is>
      </c>
      <c r="I1428" t="n">
        <v>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s="2" t="inlineStr"/>
    </row>
    <row r="1429" ht="15" customHeight="1">
      <c r="A1429" t="inlineStr">
        <is>
          <t>A 19117-2026</t>
        </is>
      </c>
      <c r="B1429" t="inlineStr">
        <is>
          <t>avverkningsanmälan</t>
        </is>
      </c>
      <c r="C1429" t="inlineStr">
        <is>
          <t>Föryngringsavverkning</t>
        </is>
      </c>
      <c r="D1429" s="1" t="n">
        <v>46132</v>
      </c>
      <c r="E1429" s="1" t="n">
        <v>46313</v>
      </c>
      <c r="F1429" t="inlineStr">
        <is>
          <t>GÄVLEBORGS LÄN</t>
        </is>
      </c>
      <c r="G1429" t="inlineStr">
        <is>
          <t>BOLLNÄS</t>
        </is>
      </c>
      <c r="I1429" t="n">
        <v>1.4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s="2" t="inlineStr"/>
    </row>
    <row r="1430" ht="15" customHeight="1">
      <c r="A1430" t="inlineStr">
        <is>
          <t>A 19234-2026</t>
        </is>
      </c>
      <c r="B1430" t="inlineStr">
        <is>
          <t>avverkningsanmälan</t>
        </is>
      </c>
      <c r="C1430" t="inlineStr">
        <is>
          <t>Föryngringsavverkning</t>
        </is>
      </c>
      <c r="D1430" s="1" t="n">
        <v>46132</v>
      </c>
      <c r="E1430" s="1" t="n">
        <v>46313</v>
      </c>
      <c r="F1430" t="inlineStr">
        <is>
          <t>GÄVLEBORGS LÄN</t>
        </is>
      </c>
      <c r="G1430" t="inlineStr">
        <is>
          <t>BOLLNÄS</t>
        </is>
      </c>
      <c r="I1430" t="n">
        <v>2.8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s="2" t="inlineStr"/>
    </row>
    <row r="1431" ht="15" customHeight="1">
      <c r="A1431" t="inlineStr">
        <is>
          <t>A 19333-2026</t>
        </is>
      </c>
      <c r="B1431" t="inlineStr">
        <is>
          <t>avverkningsanmälan</t>
        </is>
      </c>
      <c r="C1431" t="inlineStr">
        <is>
          <t>Föryngringsavverkning</t>
        </is>
      </c>
      <c r="D1431" s="1" t="n">
        <v>46133</v>
      </c>
      <c r="E1431" s="1" t="n">
        <v>46313</v>
      </c>
      <c r="F1431" t="inlineStr">
        <is>
          <t>GÄVLEBORGS LÄN</t>
        </is>
      </c>
      <c r="G1431" t="inlineStr">
        <is>
          <t>BOLLNÄS</t>
        </is>
      </c>
      <c r="H1431" t="inlineStr">
        <is>
          <t>Bergvik skog väst AB</t>
        </is>
      </c>
      <c r="I1431" t="n">
        <v>7.9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s="2" t="inlineStr"/>
    </row>
    <row r="1432" ht="15" customHeight="1">
      <c r="A1432" t="inlineStr">
        <is>
          <t>A 29632-2026</t>
        </is>
      </c>
      <c r="B1432" t="inlineStr">
        <is>
          <t>avverkningsanmälan</t>
        </is>
      </c>
      <c r="C1432" t="inlineStr">
        <is>
          <t>Föryngringsavverkning</t>
        </is>
      </c>
      <c r="D1432" s="1" t="n">
        <v>46204</v>
      </c>
      <c r="E1432" s="1" t="n">
        <v>46313</v>
      </c>
      <c r="F1432" t="inlineStr">
        <is>
          <t>GÄVLEBORGS LÄN</t>
        </is>
      </c>
      <c r="G1432" t="inlineStr">
        <is>
          <t>BOLLNÄS</t>
        </is>
      </c>
      <c r="I1432" t="n">
        <v>0.8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s="2" t="inlineStr"/>
    </row>
    <row r="1433" ht="15" customHeight="1">
      <c r="A1433" t="inlineStr">
        <is>
          <t>A 29633-2026</t>
        </is>
      </c>
      <c r="B1433" t="inlineStr">
        <is>
          <t>avverkningsanmälan</t>
        </is>
      </c>
      <c r="C1433" t="inlineStr">
        <is>
          <t>Föryngringsavverkning</t>
        </is>
      </c>
      <c r="D1433" s="1" t="n">
        <v>46204</v>
      </c>
      <c r="E1433" s="1" t="n">
        <v>46313</v>
      </c>
      <c r="F1433" t="inlineStr">
        <is>
          <t>GÄVLEBORGS LÄN</t>
        </is>
      </c>
      <c r="G1433" t="inlineStr">
        <is>
          <t>BOLLNÄS</t>
        </is>
      </c>
      <c r="I1433" t="n">
        <v>2.1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s="2" t="inlineStr"/>
    </row>
    <row r="1434" ht="15" customHeight="1">
      <c r="A1434" t="inlineStr">
        <is>
          <t>A 19276-2026</t>
        </is>
      </c>
      <c r="B1434" t="inlineStr">
        <is>
          <t>avverkningsanmälan</t>
        </is>
      </c>
      <c r="C1434" t="inlineStr">
        <is>
          <t>Föryngringsavverkning</t>
        </is>
      </c>
      <c r="D1434" s="1" t="n">
        <v>46133</v>
      </c>
      <c r="E1434" s="1" t="n">
        <v>46313</v>
      </c>
      <c r="F1434" t="inlineStr">
        <is>
          <t>GÄVLEBORGS LÄN</t>
        </is>
      </c>
      <c r="G1434" t="inlineStr">
        <is>
          <t>BOLLNÄS</t>
        </is>
      </c>
      <c r="I1434" t="n">
        <v>1.9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s="2" t="inlineStr"/>
    </row>
    <row r="1435" ht="15" customHeight="1">
      <c r="A1435" t="inlineStr">
        <is>
          <t>A 19284-2026</t>
        </is>
      </c>
      <c r="B1435" t="inlineStr">
        <is>
          <t>avverkningsanmälan</t>
        </is>
      </c>
      <c r="C1435" t="inlineStr">
        <is>
          <t>Föryngringsavverkning</t>
        </is>
      </c>
      <c r="D1435" s="1" t="n">
        <v>46133</v>
      </c>
      <c r="E1435" s="1" t="n">
        <v>46313</v>
      </c>
      <c r="F1435" t="inlineStr">
        <is>
          <t>GÄVLEBORGS LÄN</t>
        </is>
      </c>
      <c r="G1435" t="inlineStr">
        <is>
          <t>BOLLNÄS</t>
        </is>
      </c>
      <c r="I1435" t="n">
        <v>3.2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s="2" t="inlineStr"/>
    </row>
    <row r="1436" ht="15" customHeight="1">
      <c r="A1436" t="inlineStr">
        <is>
          <t>A 19278-2026</t>
        </is>
      </c>
      <c r="B1436" t="inlineStr">
        <is>
          <t>avverkningsanmälan</t>
        </is>
      </c>
      <c r="C1436" t="inlineStr">
        <is>
          <t>Föryngringsavverkning</t>
        </is>
      </c>
      <c r="D1436" s="1" t="n">
        <v>46133</v>
      </c>
      <c r="E1436" s="1" t="n">
        <v>46313</v>
      </c>
      <c r="F1436" t="inlineStr">
        <is>
          <t>GÄVLEBORGS LÄN</t>
        </is>
      </c>
      <c r="G1436" t="inlineStr">
        <is>
          <t>BOLLNÄS</t>
        </is>
      </c>
      <c r="I1436" t="n">
        <v>2.9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s="2" t="inlineStr"/>
    </row>
    <row r="1437" ht="15" customHeight="1">
      <c r="A1437" t="inlineStr">
        <is>
          <t>A 29617-2026</t>
        </is>
      </c>
      <c r="B1437" t="inlineStr">
        <is>
          <t>avverkningsanmälan</t>
        </is>
      </c>
      <c r="C1437" t="inlineStr">
        <is>
          <t>Föryngringsavverkning</t>
        </is>
      </c>
      <c r="D1437" s="1" t="n">
        <v>46204</v>
      </c>
      <c r="E1437" s="1" t="n">
        <v>46313</v>
      </c>
      <c r="F1437" t="inlineStr">
        <is>
          <t>GÄVLEBORGS LÄN</t>
        </is>
      </c>
      <c r="G1437" t="inlineStr">
        <is>
          <t>BOLLNÄS</t>
        </is>
      </c>
      <c r="I1437" t="n">
        <v>0.8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s="2" t="inlineStr"/>
    </row>
    <row r="1438" ht="15" customHeight="1">
      <c r="A1438" t="inlineStr">
        <is>
          <t>A 19303-2026</t>
        </is>
      </c>
      <c r="B1438" t="inlineStr">
        <is>
          <t>avverkningsanmälan</t>
        </is>
      </c>
      <c r="C1438" t="inlineStr">
        <is>
          <t>Föryngringsavverkning</t>
        </is>
      </c>
      <c r="D1438" s="1" t="n">
        <v>46133</v>
      </c>
      <c r="E1438" s="1" t="n">
        <v>46313</v>
      </c>
      <c r="F1438" t="inlineStr">
        <is>
          <t>GÄVLEBORGS LÄN</t>
        </is>
      </c>
      <c r="G1438" t="inlineStr">
        <is>
          <t>BOLLNÄS</t>
        </is>
      </c>
      <c r="H1438" t="inlineStr">
        <is>
          <t>Bergvik skog väst AB</t>
        </is>
      </c>
      <c r="I1438" t="n">
        <v>3.9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s="2" t="inlineStr"/>
    </row>
    <row r="1439" ht="15" customHeight="1">
      <c r="A1439" t="inlineStr">
        <is>
          <t>A 19074-2026</t>
        </is>
      </c>
      <c r="B1439" t="inlineStr">
        <is>
          <t>avverkningsanmälan</t>
        </is>
      </c>
      <c r="C1439" t="inlineStr">
        <is>
          <t>Föryngringsavverkning</t>
        </is>
      </c>
      <c r="D1439" s="1" t="n">
        <v>46132</v>
      </c>
      <c r="E1439" s="1" t="n">
        <v>46313</v>
      </c>
      <c r="F1439" t="inlineStr">
        <is>
          <t>GÄVLEBORGS LÄN</t>
        </is>
      </c>
      <c r="G1439" t="inlineStr">
        <is>
          <t>BOLLNÄS</t>
        </is>
      </c>
      <c r="I1439" t="n">
        <v>4.2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s="2" t="inlineStr"/>
    </row>
    <row r="1440" ht="15" customHeight="1">
      <c r="A1440" t="inlineStr">
        <is>
          <t>A 19156-2026</t>
        </is>
      </c>
      <c r="B1440" t="inlineStr">
        <is>
          <t>avverkningsanmälan</t>
        </is>
      </c>
      <c r="C1440" t="inlineStr">
        <is>
          <t>Föryngringsavverkning</t>
        </is>
      </c>
      <c r="D1440" s="1" t="n">
        <v>46132</v>
      </c>
      <c r="E1440" s="1" t="n">
        <v>46313</v>
      </c>
      <c r="F1440" t="inlineStr">
        <is>
          <t>GÄVLEBORGS LÄN</t>
        </is>
      </c>
      <c r="G1440" t="inlineStr">
        <is>
          <t>BOLLNÄS</t>
        </is>
      </c>
      <c r="I1440" t="n">
        <v>1.9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s="2" t="inlineStr"/>
    </row>
    <row r="1441" ht="15" customHeight="1">
      <c r="A1441" t="inlineStr">
        <is>
          <t>A 19188-2026</t>
        </is>
      </c>
      <c r="B1441" t="inlineStr">
        <is>
          <t>avverkningsanmälan</t>
        </is>
      </c>
      <c r="C1441" t="inlineStr">
        <is>
          <t>Föryngringsavverkning</t>
        </is>
      </c>
      <c r="D1441" s="1" t="n">
        <v>46132</v>
      </c>
      <c r="E1441" s="1" t="n">
        <v>46313</v>
      </c>
      <c r="F1441" t="inlineStr">
        <is>
          <t>GÄVLEBORGS LÄN</t>
        </is>
      </c>
      <c r="G1441" t="inlineStr">
        <is>
          <t>BOLLNÄS</t>
        </is>
      </c>
      <c r="I1441" t="n">
        <v>1.8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s="2" t="inlineStr"/>
    </row>
    <row r="1442" ht="15" customHeight="1">
      <c r="A1442" t="inlineStr">
        <is>
          <t>A 61065-2023</t>
        </is>
      </c>
      <c r="B1442" t="inlineStr">
        <is>
          <t>avverkningsanmälan</t>
        </is>
      </c>
      <c r="C1442" t="inlineStr">
        <is>
          <t>Föryngringsavverkning</t>
        </is>
      </c>
      <c r="D1442" s="1" t="n">
        <v>45261</v>
      </c>
      <c r="E1442" s="1" t="n">
        <v>46313</v>
      </c>
      <c r="F1442" t="inlineStr">
        <is>
          <t>GÄVLEBORGS LÄN</t>
        </is>
      </c>
      <c r="G1442" t="inlineStr">
        <is>
          <t>BOLLNÄS</t>
        </is>
      </c>
      <c r="I1442" t="n">
        <v>0.5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s="2" t="inlineStr"/>
    </row>
    <row r="1443" ht="15" customHeight="1">
      <c r="A1443" t="inlineStr">
        <is>
          <t>A 19118-2026</t>
        </is>
      </c>
      <c r="B1443" t="inlineStr">
        <is>
          <t>avverkningsanmälan</t>
        </is>
      </c>
      <c r="C1443" t="inlineStr">
        <is>
          <t>Föryngringsavverkning</t>
        </is>
      </c>
      <c r="D1443" s="1" t="n">
        <v>46132</v>
      </c>
      <c r="E1443" s="1" t="n">
        <v>46313</v>
      </c>
      <c r="F1443" t="inlineStr">
        <is>
          <t>GÄVLEBORGS LÄN</t>
        </is>
      </c>
      <c r="G1443" t="inlineStr">
        <is>
          <t>BOLLNÄS</t>
        </is>
      </c>
      <c r="I1443" t="n">
        <v>2.5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s="2" t="inlineStr"/>
    </row>
    <row r="1444" ht="15" customHeight="1">
      <c r="A1444" t="inlineStr">
        <is>
          <t>A 19124-2026</t>
        </is>
      </c>
      <c r="B1444" t="inlineStr">
        <is>
          <t>avverkningsanmälan</t>
        </is>
      </c>
      <c r="C1444" t="inlineStr">
        <is>
          <t>Föryngringsavverkning</t>
        </is>
      </c>
      <c r="D1444" s="1" t="n">
        <v>46132</v>
      </c>
      <c r="E1444" s="1" t="n">
        <v>46313</v>
      </c>
      <c r="F1444" t="inlineStr">
        <is>
          <t>GÄVLEBORGS LÄN</t>
        </is>
      </c>
      <c r="G1444" t="inlineStr">
        <is>
          <t>BOLLNÄS</t>
        </is>
      </c>
      <c r="I1444" t="n">
        <v>2.3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s="2" t="inlineStr"/>
    </row>
    <row r="1445" ht="15" customHeight="1">
      <c r="A1445" t="inlineStr">
        <is>
          <t>A 29697-2026</t>
        </is>
      </c>
      <c r="B1445" t="inlineStr">
        <is>
          <t>avverkningsanmälan</t>
        </is>
      </c>
      <c r="C1445" t="inlineStr">
        <is>
          <t>Föryngringsavverkning</t>
        </is>
      </c>
      <c r="D1445" s="1" t="n">
        <v>46204</v>
      </c>
      <c r="E1445" s="1" t="n">
        <v>46313</v>
      </c>
      <c r="F1445" t="inlineStr">
        <is>
          <t>GÄVLEBORGS LÄN</t>
        </is>
      </c>
      <c r="G1445" t="inlineStr">
        <is>
          <t>BOLLNÄS</t>
        </is>
      </c>
      <c r="I1445" t="n">
        <v>0.8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s="2" t="inlineStr"/>
    </row>
    <row r="1446" ht="15" customHeight="1">
      <c r="A1446" t="inlineStr">
        <is>
          <t>A 19235-2026</t>
        </is>
      </c>
      <c r="B1446" t="inlineStr">
        <is>
          <t>avverkningsanmälan</t>
        </is>
      </c>
      <c r="C1446" t="inlineStr">
        <is>
          <t>Föryngringsavverkning</t>
        </is>
      </c>
      <c r="D1446" s="1" t="n">
        <v>46132</v>
      </c>
      <c r="E1446" s="1" t="n">
        <v>46313</v>
      </c>
      <c r="F1446" t="inlineStr">
        <is>
          <t>GÄVLEBORGS LÄN</t>
        </is>
      </c>
      <c r="G1446" t="inlineStr">
        <is>
          <t>BOLLNÄS</t>
        </is>
      </c>
      <c r="I1446" t="n">
        <v>1.1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s="2" t="inlineStr"/>
    </row>
    <row r="1447" ht="15" customHeight="1">
      <c r="A1447" t="inlineStr">
        <is>
          <t>A 19269-2026</t>
        </is>
      </c>
      <c r="B1447" t="inlineStr">
        <is>
          <t>avverkningsanmälan</t>
        </is>
      </c>
      <c r="C1447" t="inlineStr">
        <is>
          <t>Föryngringsavverkning</t>
        </is>
      </c>
      <c r="D1447" s="1" t="n">
        <v>46133</v>
      </c>
      <c r="E1447" s="1" t="n">
        <v>46313</v>
      </c>
      <c r="F1447" t="inlineStr">
        <is>
          <t>GÄVLEBORGS LÄN</t>
        </is>
      </c>
      <c r="G1447" t="inlineStr">
        <is>
          <t>BOLLNÄS</t>
        </is>
      </c>
      <c r="I1447" t="n">
        <v>5.3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s="2" t="inlineStr"/>
    </row>
    <row r="1448" ht="15" customHeight="1">
      <c r="A1448" t="inlineStr">
        <is>
          <t>A 19304-2026</t>
        </is>
      </c>
      <c r="B1448" t="inlineStr">
        <is>
          <t>avverkningsanmälan</t>
        </is>
      </c>
      <c r="C1448" t="inlineStr">
        <is>
          <t>Föryngringsavverkning</t>
        </is>
      </c>
      <c r="D1448" s="1" t="n">
        <v>46133</v>
      </c>
      <c r="E1448" s="1" t="n">
        <v>46313</v>
      </c>
      <c r="F1448" t="inlineStr">
        <is>
          <t>GÄVLEBORGS LÄN</t>
        </is>
      </c>
      <c r="G1448" t="inlineStr">
        <is>
          <t>BOLLNÄS</t>
        </is>
      </c>
      <c r="I1448" t="n">
        <v>1.8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s="2" t="inlineStr"/>
    </row>
    <row r="1449" ht="15" customHeight="1">
      <c r="A1449" t="inlineStr">
        <is>
          <t>A 13167-2026</t>
        </is>
      </c>
      <c r="B1449" t="inlineStr">
        <is>
          <t>avverkningsanmälan</t>
        </is>
      </c>
      <c r="C1449" t="inlineStr">
        <is>
          <t>Föryngringsavverkning</t>
        </is>
      </c>
      <c r="D1449" s="1" t="n">
        <v>46093</v>
      </c>
      <c r="E1449" s="1" t="n">
        <v>46313</v>
      </c>
      <c r="F1449" t="inlineStr">
        <is>
          <t>GÄVLEBORGS LÄN</t>
        </is>
      </c>
      <c r="G1449" t="inlineStr">
        <is>
          <t>BOLLNÄS</t>
        </is>
      </c>
      <c r="I1449" t="n">
        <v>7.6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s="2" t="inlineStr"/>
    </row>
    <row r="1450" ht="15" customHeight="1">
      <c r="A1450" t="inlineStr">
        <is>
          <t>A 19075-2026</t>
        </is>
      </c>
      <c r="B1450" t="inlineStr">
        <is>
          <t>avverkningsanmälan</t>
        </is>
      </c>
      <c r="C1450" t="inlineStr">
        <is>
          <t>Föryngringsavverkning</t>
        </is>
      </c>
      <c r="D1450" s="1" t="n">
        <v>46132</v>
      </c>
      <c r="E1450" s="1" t="n">
        <v>46313</v>
      </c>
      <c r="F1450" t="inlineStr">
        <is>
          <t>GÄVLEBORGS LÄN</t>
        </is>
      </c>
      <c r="G1450" t="inlineStr">
        <is>
          <t>BOLLNÄS</t>
        </is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s="2" t="inlineStr"/>
    </row>
    <row r="1451" ht="15" customHeight="1">
      <c r="A1451" t="inlineStr">
        <is>
          <t>A 19767-2026</t>
        </is>
      </c>
      <c r="B1451" t="inlineStr">
        <is>
          <t>avverkningsanmälan</t>
        </is>
      </c>
      <c r="C1451" t="inlineStr">
        <is>
          <t>Föryngringsavverkning</t>
        </is>
      </c>
      <c r="D1451" s="1" t="n">
        <v>46135</v>
      </c>
      <c r="E1451" s="1" t="n">
        <v>46313</v>
      </c>
      <c r="F1451" t="inlineStr">
        <is>
          <t>GÄVLEBORGS LÄN</t>
        </is>
      </c>
      <c r="G1451" t="inlineStr">
        <is>
          <t>BOLLNÄS</t>
        </is>
      </c>
      <c r="H1451" t="inlineStr">
        <is>
          <t>Bergvik skog väst AB</t>
        </is>
      </c>
      <c r="I1451" t="n">
        <v>4.4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s="2" t="inlineStr"/>
    </row>
    <row r="1452" ht="15" customHeight="1">
      <c r="A1452" t="inlineStr">
        <is>
          <t>A 19279-2026</t>
        </is>
      </c>
      <c r="B1452" t="inlineStr">
        <is>
          <t>avverkningsanmälan</t>
        </is>
      </c>
      <c r="C1452" t="inlineStr">
        <is>
          <t>Föryngringsavverkning</t>
        </is>
      </c>
      <c r="D1452" s="1" t="n">
        <v>46133</v>
      </c>
      <c r="E1452" s="1" t="n">
        <v>46313</v>
      </c>
      <c r="F1452" t="inlineStr">
        <is>
          <t>GÄVLEBORGS LÄN</t>
        </is>
      </c>
      <c r="G1452" t="inlineStr">
        <is>
          <t>BOLLNÄS</t>
        </is>
      </c>
      <c r="I1452" t="n">
        <v>0.7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s="2" t="inlineStr"/>
    </row>
    <row r="1453" ht="15" customHeight="1">
      <c r="A1453" t="inlineStr">
        <is>
          <t>A 19163-2026</t>
        </is>
      </c>
      <c r="B1453" t="inlineStr">
        <is>
          <t>avverkningsanmälan</t>
        </is>
      </c>
      <c r="C1453" t="inlineStr">
        <is>
          <t>Föryngringsavverkning</t>
        </is>
      </c>
      <c r="D1453" s="1" t="n">
        <v>46132</v>
      </c>
      <c r="E1453" s="1" t="n">
        <v>46313</v>
      </c>
      <c r="F1453" t="inlineStr">
        <is>
          <t>GÄVLEBORGS LÄN</t>
        </is>
      </c>
      <c r="G1453" t="inlineStr">
        <is>
          <t>BOLLNÄS</t>
        </is>
      </c>
      <c r="I1453" t="n">
        <v>14.1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s="2" t="inlineStr"/>
    </row>
    <row r="1454" ht="15" customHeight="1">
      <c r="A1454" t="inlineStr">
        <is>
          <t>A 19169-2026</t>
        </is>
      </c>
      <c r="B1454" t="inlineStr">
        <is>
          <t>avverkningsanmälan</t>
        </is>
      </c>
      <c r="C1454" t="inlineStr">
        <is>
          <t>Föryngringsavverkning</t>
        </is>
      </c>
      <c r="D1454" s="1" t="n">
        <v>46132</v>
      </c>
      <c r="E1454" s="1" t="n">
        <v>46313</v>
      </c>
      <c r="F1454" t="inlineStr">
        <is>
          <t>GÄVLEBORGS LÄN</t>
        </is>
      </c>
      <c r="G1454" t="inlineStr">
        <is>
          <t>BOLLNÄS</t>
        </is>
      </c>
      <c r="I1454" t="n">
        <v>1.6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s="2" t="inlineStr"/>
    </row>
    <row r="1455" ht="15" customHeight="1">
      <c r="A1455" t="inlineStr">
        <is>
          <t>A 19115-2026</t>
        </is>
      </c>
      <c r="B1455" t="inlineStr">
        <is>
          <t>avverkningsanmälan</t>
        </is>
      </c>
      <c r="C1455" t="inlineStr">
        <is>
          <t>Föryngringsavverkning</t>
        </is>
      </c>
      <c r="D1455" s="1" t="n">
        <v>46132</v>
      </c>
      <c r="E1455" s="1" t="n">
        <v>46313</v>
      </c>
      <c r="F1455" t="inlineStr">
        <is>
          <t>GÄVLEBORGS LÄN</t>
        </is>
      </c>
      <c r="G1455" t="inlineStr">
        <is>
          <t>BOLLNÄS</t>
        </is>
      </c>
      <c r="I1455" t="n">
        <v>0.4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s="2" t="inlineStr"/>
    </row>
    <row r="1456" ht="15" customHeight="1">
      <c r="A1456" t="inlineStr">
        <is>
          <t>A 19399-2026</t>
        </is>
      </c>
      <c r="B1456" t="inlineStr">
        <is>
          <t>avverkningsanmälan</t>
        </is>
      </c>
      <c r="C1456" t="inlineStr">
        <is>
          <t>Föryngringsavverkning</t>
        </is>
      </c>
      <c r="D1456" s="1" t="n">
        <v>46133</v>
      </c>
      <c r="E1456" s="1" t="n">
        <v>46313</v>
      </c>
      <c r="F1456" t="inlineStr">
        <is>
          <t>GÄVLEBORGS LÄN</t>
        </is>
      </c>
      <c r="G1456" t="inlineStr">
        <is>
          <t>BOLLNÄS</t>
        </is>
      </c>
      <c r="I1456" t="n">
        <v>2.9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s="2" t="inlineStr"/>
    </row>
    <row r="1457" ht="15" customHeight="1">
      <c r="A1457" t="inlineStr">
        <is>
          <t>A 19402-2026</t>
        </is>
      </c>
      <c r="B1457" t="inlineStr">
        <is>
          <t>avverkningsanmälan</t>
        </is>
      </c>
      <c r="C1457" t="inlineStr">
        <is>
          <t>Föryngringsavverkning</t>
        </is>
      </c>
      <c r="D1457" s="1" t="n">
        <v>46133</v>
      </c>
      <c r="E1457" s="1" t="n">
        <v>46313</v>
      </c>
      <c r="F1457" t="inlineStr">
        <is>
          <t>GÄVLEBORGS LÄN</t>
        </is>
      </c>
      <c r="G1457" t="inlineStr">
        <is>
          <t>BOLLNÄS</t>
        </is>
      </c>
      <c r="H1457" t="inlineStr">
        <is>
          <t>Bergvik skog väst AB</t>
        </is>
      </c>
      <c r="I1457" t="n">
        <v>1.9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s="2" t="inlineStr"/>
    </row>
    <row r="1458" ht="15" customHeight="1">
      <c r="A1458" t="inlineStr">
        <is>
          <t>A 19409-2026</t>
        </is>
      </c>
      <c r="B1458" t="inlineStr">
        <is>
          <t>avverkningsanmälan</t>
        </is>
      </c>
      <c r="C1458" t="inlineStr">
        <is>
          <t>Föryngringsavverkning</t>
        </is>
      </c>
      <c r="D1458" s="1" t="n">
        <v>46133</v>
      </c>
      <c r="E1458" s="1" t="n">
        <v>46313</v>
      </c>
      <c r="F1458" t="inlineStr">
        <is>
          <t>GÄVLEBORGS LÄN</t>
        </is>
      </c>
      <c r="G1458" t="inlineStr">
        <is>
          <t>BOLLNÄS</t>
        </is>
      </c>
      <c r="I1458" t="n">
        <v>0.2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s="2" t="inlineStr"/>
    </row>
    <row r="1459" ht="15" customHeight="1">
      <c r="A1459" t="inlineStr">
        <is>
          <t>A 19412-2026</t>
        </is>
      </c>
      <c r="B1459" t="inlineStr">
        <is>
          <t>avverkningsanmälan</t>
        </is>
      </c>
      <c r="C1459" t="inlineStr">
        <is>
          <t>Föryngringsavverkning</t>
        </is>
      </c>
      <c r="D1459" s="1" t="n">
        <v>46133</v>
      </c>
      <c r="E1459" s="1" t="n">
        <v>46313</v>
      </c>
      <c r="F1459" t="inlineStr">
        <is>
          <t>GÄVLEBORGS LÄN</t>
        </is>
      </c>
      <c r="G1459" t="inlineStr">
        <is>
          <t>BOLLNÄS</t>
        </is>
      </c>
      <c r="I1459" t="n">
        <v>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s="2" t="inlineStr"/>
    </row>
    <row r="1460" ht="15" customHeight="1">
      <c r="A1460" t="inlineStr">
        <is>
          <t>A 19125-2026</t>
        </is>
      </c>
      <c r="B1460" t="inlineStr">
        <is>
          <t>avverkningsanmälan</t>
        </is>
      </c>
      <c r="C1460" t="inlineStr">
        <is>
          <t>Föryngringsavverkning</t>
        </is>
      </c>
      <c r="D1460" s="1" t="n">
        <v>46132</v>
      </c>
      <c r="E1460" s="1" t="n">
        <v>46313</v>
      </c>
      <c r="F1460" t="inlineStr">
        <is>
          <t>GÄVLEBORGS LÄN</t>
        </is>
      </c>
      <c r="G1460" t="inlineStr">
        <is>
          <t>BOLLNÄS</t>
        </is>
      </c>
      <c r="I1460" t="n">
        <v>6.3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s="2" t="inlineStr"/>
    </row>
    <row r="1461" ht="15" customHeight="1">
      <c r="A1461" t="inlineStr">
        <is>
          <t>A 19127-2026</t>
        </is>
      </c>
      <c r="B1461" t="inlineStr">
        <is>
          <t>avverkningsanmälan</t>
        </is>
      </c>
      <c r="C1461" t="inlineStr">
        <is>
          <t>Föryngringsavverkning</t>
        </is>
      </c>
      <c r="D1461" s="1" t="n">
        <v>46132</v>
      </c>
      <c r="E1461" s="1" t="n">
        <v>46313</v>
      </c>
      <c r="F1461" t="inlineStr">
        <is>
          <t>GÄVLEBORGS LÄN</t>
        </is>
      </c>
      <c r="G1461" t="inlineStr">
        <is>
          <t>BOLLNÄS</t>
        </is>
      </c>
      <c r="I1461" t="n">
        <v>0.9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s="2" t="inlineStr"/>
    </row>
    <row r="1462" ht="15" customHeight="1">
      <c r="A1462" t="inlineStr">
        <is>
          <t>A 19168-2026</t>
        </is>
      </c>
      <c r="B1462" t="inlineStr">
        <is>
          <t>avverkningsanmälan</t>
        </is>
      </c>
      <c r="C1462" t="inlineStr">
        <is>
          <t>Föryngringsavverkning</t>
        </is>
      </c>
      <c r="D1462" s="1" t="n">
        <v>46132</v>
      </c>
      <c r="E1462" s="1" t="n">
        <v>46313</v>
      </c>
      <c r="F1462" t="inlineStr">
        <is>
          <t>GÄVLEBORGS LÄN</t>
        </is>
      </c>
      <c r="G1462" t="inlineStr">
        <is>
          <t>BOLLNÄS</t>
        </is>
      </c>
      <c r="I1462" t="n">
        <v>0.5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s="2" t="inlineStr"/>
    </row>
    <row r="1463" ht="15" customHeight="1">
      <c r="A1463" t="inlineStr">
        <is>
          <t>A 29457-2026</t>
        </is>
      </c>
      <c r="B1463" t="inlineStr">
        <is>
          <t>avverkningsanmälan</t>
        </is>
      </c>
      <c r="C1463" t="inlineStr">
        <is>
          <t>Föryngringsavverkning</t>
        </is>
      </c>
      <c r="D1463" s="1" t="n">
        <v>46203</v>
      </c>
      <c r="E1463" s="1" t="n">
        <v>46313</v>
      </c>
      <c r="F1463" t="inlineStr">
        <is>
          <t>GÄVLEBORGS LÄN</t>
        </is>
      </c>
      <c r="G1463" t="inlineStr">
        <is>
          <t>BOLLNÄS</t>
        </is>
      </c>
      <c r="I1463" t="n">
        <v>1.4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s="2" t="inlineStr"/>
    </row>
    <row r="1464" ht="15" customHeight="1">
      <c r="A1464" t="inlineStr">
        <is>
          <t>A 59729-2022</t>
        </is>
      </c>
      <c r="B1464" t="inlineStr">
        <is>
          <t>avverkningsanmälan</t>
        </is>
      </c>
      <c r="C1464" t="inlineStr">
        <is>
          <t>Föryngringsavverkning</t>
        </is>
      </c>
      <c r="D1464" s="1" t="n">
        <v>44908</v>
      </c>
      <c r="E1464" s="1" t="n">
        <v>46313</v>
      </c>
      <c r="F1464" t="inlineStr">
        <is>
          <t>GÄVLEBORGS LÄN</t>
        </is>
      </c>
      <c r="G1464" t="inlineStr">
        <is>
          <t>BOLLNÄS</t>
        </is>
      </c>
      <c r="I1464" t="n">
        <v>1.8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s="2" t="inlineStr"/>
    </row>
    <row r="1465" ht="15" customHeight="1">
      <c r="A1465" t="inlineStr">
        <is>
          <t>A 10772-2026</t>
        </is>
      </c>
      <c r="B1465" t="inlineStr">
        <is>
          <t>avverkningsanmälan</t>
        </is>
      </c>
      <c r="C1465" t="inlineStr">
        <is>
          <t>Föryngringsavverkning</t>
        </is>
      </c>
      <c r="D1465" s="1" t="n">
        <v>46078</v>
      </c>
      <c r="E1465" s="1" t="n">
        <v>46313</v>
      </c>
      <c r="F1465" t="inlineStr">
        <is>
          <t>GÄVLEBORGS LÄN</t>
        </is>
      </c>
      <c r="G1465" t="inlineStr">
        <is>
          <t>BOLLNÄS</t>
        </is>
      </c>
      <c r="H1465" t="inlineStr">
        <is>
          <t>Bergvik skog väst AB</t>
        </is>
      </c>
      <c r="I1465" t="n">
        <v>0.5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s="2" t="inlineStr"/>
    </row>
    <row r="1466" ht="15" customHeight="1">
      <c r="A1466" t="inlineStr">
        <is>
          <t>A 19413-2026</t>
        </is>
      </c>
      <c r="B1466" t="inlineStr">
        <is>
          <t>avverkningsanmälan</t>
        </is>
      </c>
      <c r="C1466" t="inlineStr">
        <is>
          <t>Föryngringsavverkning</t>
        </is>
      </c>
      <c r="D1466" s="1" t="n">
        <v>46133</v>
      </c>
      <c r="E1466" s="1" t="n">
        <v>46313</v>
      </c>
      <c r="F1466" t="inlineStr">
        <is>
          <t>GÄVLEBORGS LÄN</t>
        </is>
      </c>
      <c r="G1466" t="inlineStr">
        <is>
          <t>BOLLNÄS</t>
        </is>
      </c>
      <c r="I1466" t="n">
        <v>2.5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s="2" t="inlineStr"/>
    </row>
    <row r="1467" ht="15" customHeight="1">
      <c r="A1467" t="inlineStr">
        <is>
          <t>A 19507-2026</t>
        </is>
      </c>
      <c r="B1467" t="inlineStr">
        <is>
          <t>avverkningsanmälan</t>
        </is>
      </c>
      <c r="C1467" t="inlineStr">
        <is>
          <t>Föryngringsavverkning</t>
        </is>
      </c>
      <c r="D1467" s="1" t="n">
        <v>46134</v>
      </c>
      <c r="E1467" s="1" t="n">
        <v>46313</v>
      </c>
      <c r="F1467" t="inlineStr">
        <is>
          <t>GÄVLEBORGS LÄN</t>
        </is>
      </c>
      <c r="G1467" t="inlineStr">
        <is>
          <t>BOLLNÄS</t>
        </is>
      </c>
      <c r="H1467" t="inlineStr">
        <is>
          <t>Bergvik skog väst AB</t>
        </is>
      </c>
      <c r="I1467" t="n">
        <v>0.7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s="2" t="inlineStr"/>
    </row>
    <row r="1468" ht="15" customHeight="1">
      <c r="A1468" t="inlineStr">
        <is>
          <t>A 19534-2026</t>
        </is>
      </c>
      <c r="B1468" t="inlineStr">
        <is>
          <t>avverkningsanmälan</t>
        </is>
      </c>
      <c r="C1468" t="inlineStr">
        <is>
          <t>Föryngringsavverkning</t>
        </is>
      </c>
      <c r="D1468" s="1" t="n">
        <v>46134</v>
      </c>
      <c r="E1468" s="1" t="n">
        <v>46313</v>
      </c>
      <c r="F1468" t="inlineStr">
        <is>
          <t>GÄVLEBORGS LÄN</t>
        </is>
      </c>
      <c r="G1468" t="inlineStr">
        <is>
          <t>BOLLNÄS</t>
        </is>
      </c>
      <c r="H1468" t="inlineStr">
        <is>
          <t>Bergvik skog väst AB</t>
        </is>
      </c>
      <c r="I1468" t="n">
        <v>1.2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s="2" t="inlineStr"/>
    </row>
    <row r="1469" ht="15" customHeight="1">
      <c r="A1469" t="inlineStr">
        <is>
          <t>A 6024-2026</t>
        </is>
      </c>
      <c r="B1469" t="inlineStr">
        <is>
          <t>avverkningsanmälan</t>
        </is>
      </c>
      <c r="C1469" t="inlineStr">
        <is>
          <t>Föryngringsavverkning</t>
        </is>
      </c>
      <c r="D1469" s="1" t="n">
        <v>46052</v>
      </c>
      <c r="E1469" s="1" t="n">
        <v>46313</v>
      </c>
      <c r="F1469" t="inlineStr">
        <is>
          <t>GÄVLEBORGS LÄN</t>
        </is>
      </c>
      <c r="G1469" t="inlineStr">
        <is>
          <t>BOLLNÄS</t>
        </is>
      </c>
      <c r="I1469" t="n">
        <v>0.7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s="2" t="inlineStr"/>
    </row>
    <row r="1470" ht="15" customHeight="1">
      <c r="A1470" t="inlineStr">
        <is>
          <t>A 14691-2026</t>
        </is>
      </c>
      <c r="B1470" t="inlineStr">
        <is>
          <t>avverkningsanmälan</t>
        </is>
      </c>
      <c r="C1470" t="inlineStr">
        <is>
          <t>Föryngringsavverkning</t>
        </is>
      </c>
      <c r="D1470" s="1" t="n">
        <v>46101</v>
      </c>
      <c r="E1470" s="1" t="n">
        <v>46313</v>
      </c>
      <c r="F1470" t="inlineStr">
        <is>
          <t>GÄVLEBORGS LÄN</t>
        </is>
      </c>
      <c r="G1470" t="inlineStr">
        <is>
          <t>BOLLNÄS</t>
        </is>
      </c>
      <c r="I1470" t="n">
        <v>5.6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s="2" t="inlineStr"/>
    </row>
    <row r="1471" ht="15" customHeight="1">
      <c r="A1471" t="inlineStr">
        <is>
          <t>A 19487-2026</t>
        </is>
      </c>
      <c r="B1471" t="inlineStr">
        <is>
          <t>avverkningsanmälan</t>
        </is>
      </c>
      <c r="C1471" t="inlineStr">
        <is>
          <t>Föryngringsavverkning</t>
        </is>
      </c>
      <c r="D1471" s="1" t="n">
        <v>46134</v>
      </c>
      <c r="E1471" s="1" t="n">
        <v>46313</v>
      </c>
      <c r="F1471" t="inlineStr">
        <is>
          <t>GÄVLEBORGS LÄN</t>
        </is>
      </c>
      <c r="G1471" t="inlineStr">
        <is>
          <t>BOLLNÄS</t>
        </is>
      </c>
      <c r="I1471" t="n">
        <v>3.2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s="2" t="inlineStr"/>
    </row>
    <row r="1472" ht="15" customHeight="1">
      <c r="A1472" t="inlineStr">
        <is>
          <t>A 16462-2026</t>
        </is>
      </c>
      <c r="B1472" t="inlineStr">
        <is>
          <t>avverkningsanmälan</t>
        </is>
      </c>
      <c r="C1472" t="inlineStr">
        <is>
          <t>Föryngringsavverkning</t>
        </is>
      </c>
      <c r="D1472" s="1" t="n">
        <v>46112</v>
      </c>
      <c r="E1472" s="1" t="n">
        <v>46313</v>
      </c>
      <c r="F1472" t="inlineStr">
        <is>
          <t>GÄVLEBORGS LÄN</t>
        </is>
      </c>
      <c r="G1472" t="inlineStr">
        <is>
          <t>BOLLNÄS</t>
        </is>
      </c>
      <c r="I1472" t="n">
        <v>11.8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s="2" t="inlineStr"/>
    </row>
    <row r="1473" ht="15" customHeight="1">
      <c r="A1473" t="inlineStr">
        <is>
          <t>A 29447-2026</t>
        </is>
      </c>
      <c r="B1473" t="inlineStr">
        <is>
          <t>avverkningsanmälan</t>
        </is>
      </c>
      <c r="C1473" t="inlineStr">
        <is>
          <t>Föryngringsavverkning</t>
        </is>
      </c>
      <c r="D1473" s="1" t="n">
        <v>46203</v>
      </c>
      <c r="E1473" s="1" t="n">
        <v>46313</v>
      </c>
      <c r="F1473" t="inlineStr">
        <is>
          <t>GÄVLEBORGS LÄN</t>
        </is>
      </c>
      <c r="G1473" t="inlineStr">
        <is>
          <t>BOLLNÄS</t>
        </is>
      </c>
      <c r="I1473" t="n">
        <v>2.1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s="2" t="inlineStr"/>
    </row>
    <row r="1474" ht="15" customHeight="1">
      <c r="A1474" t="inlineStr">
        <is>
          <t>A 19395-2026</t>
        </is>
      </c>
      <c r="B1474" t="inlineStr">
        <is>
          <t>avverkningsanmälan</t>
        </is>
      </c>
      <c r="C1474" t="inlineStr">
        <is>
          <t>Föryngringsavverkning</t>
        </is>
      </c>
      <c r="D1474" s="1" t="n">
        <v>46133</v>
      </c>
      <c r="E1474" s="1" t="n">
        <v>46313</v>
      </c>
      <c r="F1474" t="inlineStr">
        <is>
          <t>GÄVLEBORGS LÄN</t>
        </is>
      </c>
      <c r="G1474" t="inlineStr">
        <is>
          <t>BOLLNÄS</t>
        </is>
      </c>
      <c r="I1474" t="n">
        <v>0.8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s="2" t="inlineStr"/>
    </row>
    <row r="1475" ht="15" customHeight="1">
      <c r="A1475" t="inlineStr">
        <is>
          <t>A 19323-2026</t>
        </is>
      </c>
      <c r="B1475" t="inlineStr">
        <is>
          <t>avverkningsanmälan</t>
        </is>
      </c>
      <c r="C1475" t="inlineStr">
        <is>
          <t>Föryngringsavverkning</t>
        </is>
      </c>
      <c r="D1475" s="1" t="n">
        <v>46133</v>
      </c>
      <c r="E1475" s="1" t="n">
        <v>46313</v>
      </c>
      <c r="F1475" t="inlineStr">
        <is>
          <t>GÄVLEBORGS LÄN</t>
        </is>
      </c>
      <c r="G1475" t="inlineStr">
        <is>
          <t>BOLLNÄS</t>
        </is>
      </c>
      <c r="I1475" t="n">
        <v>1.8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s="2" t="inlineStr"/>
    </row>
    <row r="1476" ht="15" customHeight="1">
      <c r="A1476" t="inlineStr">
        <is>
          <t>A 19838-2026</t>
        </is>
      </c>
      <c r="B1476" t="inlineStr">
        <is>
          <t>avverkningsanmälan</t>
        </is>
      </c>
      <c r="C1476" t="inlineStr">
        <is>
          <t>Föryngringsavverkning</t>
        </is>
      </c>
      <c r="D1476" s="1" t="n">
        <v>46135</v>
      </c>
      <c r="E1476" s="1" t="n">
        <v>46313</v>
      </c>
      <c r="F1476" t="inlineStr">
        <is>
          <t>GÄVLEBORGS LÄN</t>
        </is>
      </c>
      <c r="G1476" t="inlineStr">
        <is>
          <t>BOLLNÄS</t>
        </is>
      </c>
      <c r="I1476" t="n">
        <v>1.9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s="2" t="inlineStr"/>
    </row>
    <row r="1477" ht="15" customHeight="1">
      <c r="A1477" t="inlineStr">
        <is>
          <t>A 38937-2023</t>
        </is>
      </c>
      <c r="B1477" t="inlineStr">
        <is>
          <t>avverkningsanmälan</t>
        </is>
      </c>
      <c r="C1477" t="inlineStr">
        <is>
          <t>Föryngringsavverkning</t>
        </is>
      </c>
      <c r="D1477" s="1" t="n">
        <v>45163</v>
      </c>
      <c r="E1477" s="1" t="n">
        <v>46313</v>
      </c>
      <c r="F1477" t="inlineStr">
        <is>
          <t>GÄVLEBORGS LÄN</t>
        </is>
      </c>
      <c r="G1477" t="inlineStr">
        <is>
          <t>BOLLNÄS</t>
        </is>
      </c>
      <c r="I1477" t="n">
        <v>5.1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s="2" t="inlineStr"/>
    </row>
    <row r="1478" ht="15" customHeight="1">
      <c r="A1478" t="inlineStr">
        <is>
          <t>A 19543-2026</t>
        </is>
      </c>
      <c r="B1478" t="inlineStr">
        <is>
          <t>avverkningsanmälan</t>
        </is>
      </c>
      <c r="C1478" t="inlineStr">
        <is>
          <t>Föryngringsavverkning</t>
        </is>
      </c>
      <c r="D1478" s="1" t="n">
        <v>46134</v>
      </c>
      <c r="E1478" s="1" t="n">
        <v>46313</v>
      </c>
      <c r="F1478" t="inlineStr">
        <is>
          <t>GÄVLEBORGS LÄN</t>
        </is>
      </c>
      <c r="G1478" t="inlineStr">
        <is>
          <t>BOLLNÄS</t>
        </is>
      </c>
      <c r="I1478" t="n">
        <v>2.5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s="2" t="inlineStr"/>
    </row>
    <row r="1479" ht="15" customHeight="1">
      <c r="A1479" t="inlineStr">
        <is>
          <t>A 29445-2026</t>
        </is>
      </c>
      <c r="B1479" t="inlineStr">
        <is>
          <t>avverkningsanmälan</t>
        </is>
      </c>
      <c r="C1479" t="inlineStr">
        <is>
          <t>Föryngringsavverkning</t>
        </is>
      </c>
      <c r="D1479" s="1" t="n">
        <v>46203</v>
      </c>
      <c r="E1479" s="1" t="n">
        <v>46313</v>
      </c>
      <c r="F1479" t="inlineStr">
        <is>
          <t>GÄVLEBORGS LÄN</t>
        </is>
      </c>
      <c r="G1479" t="inlineStr">
        <is>
          <t>BOLLNÄS</t>
        </is>
      </c>
      <c r="I1479" t="n">
        <v>1.2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s="2" t="inlineStr"/>
    </row>
    <row r="1480" ht="15" customHeight="1">
      <c r="A1480" t="inlineStr">
        <is>
          <t>A 19862-2026</t>
        </is>
      </c>
      <c r="B1480" t="inlineStr">
        <is>
          <t>avverkningsanmälan</t>
        </is>
      </c>
      <c r="C1480" t="inlineStr">
        <is>
          <t>Föryngringsavverkning</t>
        </is>
      </c>
      <c r="D1480" s="1" t="n">
        <v>46135</v>
      </c>
      <c r="E1480" s="1" t="n">
        <v>46313</v>
      </c>
      <c r="F1480" t="inlineStr">
        <is>
          <t>GÄVLEBORGS LÄN</t>
        </is>
      </c>
      <c r="G1480" t="inlineStr">
        <is>
          <t>BOLLNÄS</t>
        </is>
      </c>
      <c r="I1480" t="n">
        <v>1.7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s="2" t="inlineStr"/>
    </row>
    <row r="1481" ht="15" customHeight="1">
      <c r="A1481" t="inlineStr">
        <is>
          <t>A 19654-2026</t>
        </is>
      </c>
      <c r="B1481" t="inlineStr">
        <is>
          <t>avverkningsanmälan</t>
        </is>
      </c>
      <c r="C1481" t="inlineStr">
        <is>
          <t>Föryngringsavverkning</t>
        </is>
      </c>
      <c r="D1481" s="1" t="n">
        <v>46134</v>
      </c>
      <c r="E1481" s="1" t="n">
        <v>46313</v>
      </c>
      <c r="F1481" t="inlineStr">
        <is>
          <t>GÄVLEBORGS LÄN</t>
        </is>
      </c>
      <c r="G1481" t="inlineStr">
        <is>
          <t>BOLLNÄS</t>
        </is>
      </c>
      <c r="I1481" t="n">
        <v>0.8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s="2" t="inlineStr"/>
    </row>
    <row r="1482" ht="15" customHeight="1">
      <c r="A1482" t="inlineStr">
        <is>
          <t>A 19837-2026</t>
        </is>
      </c>
      <c r="B1482" t="inlineStr">
        <is>
          <t>avverkningsanmälan</t>
        </is>
      </c>
      <c r="C1482" t="inlineStr">
        <is>
          <t>Föryngringsavverkning</t>
        </is>
      </c>
      <c r="D1482" s="1" t="n">
        <v>46135</v>
      </c>
      <c r="E1482" s="1" t="n">
        <v>46313</v>
      </c>
      <c r="F1482" t="inlineStr">
        <is>
          <t>GÄVLEBORGS LÄN</t>
        </is>
      </c>
      <c r="G1482" t="inlineStr">
        <is>
          <t>BOLLNÄS</t>
        </is>
      </c>
      <c r="I1482" t="n">
        <v>0.4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s="2" t="inlineStr"/>
    </row>
    <row r="1483" ht="15" customHeight="1">
      <c r="A1483" t="inlineStr">
        <is>
          <t>A 19841-2026</t>
        </is>
      </c>
      <c r="B1483" t="inlineStr">
        <is>
          <t>avverkningsanmälan</t>
        </is>
      </c>
      <c r="C1483" t="inlineStr">
        <is>
          <t>Föryngringsavverkning</t>
        </is>
      </c>
      <c r="D1483" s="1" t="n">
        <v>46135</v>
      </c>
      <c r="E1483" s="1" t="n">
        <v>46313</v>
      </c>
      <c r="F1483" t="inlineStr">
        <is>
          <t>GÄVLEBORGS LÄN</t>
        </is>
      </c>
      <c r="G1483" t="inlineStr">
        <is>
          <t>BOLLNÄS</t>
        </is>
      </c>
      <c r="I1483" t="n">
        <v>5.5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s="2" t="inlineStr"/>
    </row>
    <row r="1484" ht="15" customHeight="1">
      <c r="A1484" t="inlineStr">
        <is>
          <t>A 19624-2026</t>
        </is>
      </c>
      <c r="B1484" t="inlineStr">
        <is>
          <t>avverkningsanmälan</t>
        </is>
      </c>
      <c r="C1484" t="inlineStr">
        <is>
          <t>Föryngringsavverkning</t>
        </is>
      </c>
      <c r="D1484" s="1" t="n">
        <v>46134</v>
      </c>
      <c r="E1484" s="1" t="n">
        <v>46313</v>
      </c>
      <c r="F1484" t="inlineStr">
        <is>
          <t>GÄVLEBORGS LÄN</t>
        </is>
      </c>
      <c r="G1484" t="inlineStr">
        <is>
          <t>BOLLNÄS</t>
        </is>
      </c>
      <c r="I1484" t="n">
        <v>0.5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s="2" t="inlineStr"/>
    </row>
    <row r="1485" ht="15" customHeight="1">
      <c r="A1485" t="inlineStr">
        <is>
          <t>A 19404-2026</t>
        </is>
      </c>
      <c r="B1485" t="inlineStr">
        <is>
          <t>avverkningsanmälan</t>
        </is>
      </c>
      <c r="C1485" t="inlineStr">
        <is>
          <t>Föryngringsavverkning</t>
        </is>
      </c>
      <c r="D1485" s="1" t="n">
        <v>46133</v>
      </c>
      <c r="E1485" s="1" t="n">
        <v>46313</v>
      </c>
      <c r="F1485" t="inlineStr">
        <is>
          <t>GÄVLEBORGS LÄN</t>
        </is>
      </c>
      <c r="G1485" t="inlineStr">
        <is>
          <t>BOLLNÄS</t>
        </is>
      </c>
      <c r="I1485" t="n">
        <v>1.2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s="2" t="inlineStr"/>
    </row>
    <row r="1486" ht="15" customHeight="1">
      <c r="A1486" t="inlineStr">
        <is>
          <t>A 19482-2026</t>
        </is>
      </c>
      <c r="B1486" t="inlineStr">
        <is>
          <t>avverkningsanmälan</t>
        </is>
      </c>
      <c r="C1486" t="inlineStr">
        <is>
          <t>Föryngringsavverkning</t>
        </is>
      </c>
      <c r="D1486" s="1" t="n">
        <v>46134</v>
      </c>
      <c r="E1486" s="1" t="n">
        <v>46313</v>
      </c>
      <c r="F1486" t="inlineStr">
        <is>
          <t>GÄVLEBORGS LÄN</t>
        </is>
      </c>
      <c r="G1486" t="inlineStr">
        <is>
          <t>BOLLNÄS</t>
        </is>
      </c>
      <c r="I1486" t="n">
        <v>0.4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s="2" t="inlineStr"/>
    </row>
    <row r="1487" ht="15" customHeight="1">
      <c r="A1487" t="inlineStr">
        <is>
          <t>A 13554-2026</t>
        </is>
      </c>
      <c r="B1487" t="inlineStr">
        <is>
          <t>avverkningsanmälan</t>
        </is>
      </c>
      <c r="C1487" t="inlineStr">
        <is>
          <t>Föryngringsavverkning</t>
        </is>
      </c>
      <c r="D1487" s="1" t="n">
        <v>46094</v>
      </c>
      <c r="E1487" s="1" t="n">
        <v>46313</v>
      </c>
      <c r="F1487" t="inlineStr">
        <is>
          <t>GÄVLEBORGS LÄN</t>
        </is>
      </c>
      <c r="G1487" t="inlineStr">
        <is>
          <t>BOLLNÄS</t>
        </is>
      </c>
      <c r="I1487" t="n">
        <v>6.5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s="2" t="inlineStr"/>
    </row>
    <row r="1488" ht="15" customHeight="1">
      <c r="A1488" t="inlineStr">
        <is>
          <t>A 19539-2026</t>
        </is>
      </c>
      <c r="B1488" t="inlineStr">
        <is>
          <t>avverkningsanmälan</t>
        </is>
      </c>
      <c r="C1488" t="inlineStr">
        <is>
          <t>Föryngringsavverkning</t>
        </is>
      </c>
      <c r="D1488" s="1" t="n">
        <v>46134</v>
      </c>
      <c r="E1488" s="1" t="n">
        <v>46313</v>
      </c>
      <c r="F1488" t="inlineStr">
        <is>
          <t>GÄVLEBORGS LÄN</t>
        </is>
      </c>
      <c r="G1488" t="inlineStr">
        <is>
          <t>BOLLNÄS</t>
        </is>
      </c>
      <c r="I1488" t="n">
        <v>10.4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s="2" t="inlineStr"/>
    </row>
    <row r="1489" ht="15" customHeight="1">
      <c r="A1489" t="inlineStr">
        <is>
          <t>A 19746-2026</t>
        </is>
      </c>
      <c r="B1489" t="inlineStr">
        <is>
          <t>avverkningsanmälan</t>
        </is>
      </c>
      <c r="C1489" t="inlineStr">
        <is>
          <t>Föryngringsavverkning</t>
        </is>
      </c>
      <c r="D1489" s="1" t="n">
        <v>46135</v>
      </c>
      <c r="E1489" s="1" t="n">
        <v>46313</v>
      </c>
      <c r="F1489" t="inlineStr">
        <is>
          <t>GÄVLEBORGS LÄN</t>
        </is>
      </c>
      <c r="G1489" t="inlineStr">
        <is>
          <t>BOLLNÄS</t>
        </is>
      </c>
      <c r="I1489" t="n">
        <v>0.7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s="2" t="inlineStr"/>
    </row>
    <row r="1490" ht="15" customHeight="1">
      <c r="A1490" t="inlineStr">
        <is>
          <t>A 19748-2026</t>
        </is>
      </c>
      <c r="B1490" t="inlineStr">
        <is>
          <t>avverkningsanmälan</t>
        </is>
      </c>
      <c r="C1490" t="inlineStr">
        <is>
          <t>Föryngringsavverkning</t>
        </is>
      </c>
      <c r="D1490" s="1" t="n">
        <v>46135</v>
      </c>
      <c r="E1490" s="1" t="n">
        <v>46313</v>
      </c>
      <c r="F1490" t="inlineStr">
        <is>
          <t>GÄVLEBORGS LÄN</t>
        </is>
      </c>
      <c r="G1490" t="inlineStr">
        <is>
          <t>BOLLNÄS</t>
        </is>
      </c>
      <c r="I1490" t="n">
        <v>2.5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s="2" t="inlineStr"/>
    </row>
    <row r="1491" ht="15" customHeight="1">
      <c r="A1491" t="inlineStr">
        <is>
          <t>A 19521-2026</t>
        </is>
      </c>
      <c r="B1491" t="inlineStr">
        <is>
          <t>avverkningsanmälan</t>
        </is>
      </c>
      <c r="C1491" t="inlineStr">
        <is>
          <t>Föryngringsavverkning</t>
        </is>
      </c>
      <c r="D1491" s="1" t="n">
        <v>46134</v>
      </c>
      <c r="E1491" s="1" t="n">
        <v>46313</v>
      </c>
      <c r="F1491" t="inlineStr">
        <is>
          <t>GÄVLEBORGS LÄN</t>
        </is>
      </c>
      <c r="G1491" t="inlineStr">
        <is>
          <t>BOLLNÄS</t>
        </is>
      </c>
      <c r="I1491" t="n">
        <v>3.5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s="2" t="inlineStr"/>
    </row>
    <row r="1492" ht="15" customHeight="1">
      <c r="A1492" t="inlineStr">
        <is>
          <t>A 16122-2026</t>
        </is>
      </c>
      <c r="B1492" t="inlineStr">
        <is>
          <t>avverkningsanmälan</t>
        </is>
      </c>
      <c r="C1492" t="inlineStr">
        <is>
          <t>Föryngringsavverkning</t>
        </is>
      </c>
      <c r="D1492" s="1" t="n">
        <v>46108</v>
      </c>
      <c r="E1492" s="1" t="n">
        <v>46313</v>
      </c>
      <c r="F1492" t="inlineStr">
        <is>
          <t>GÄVLEBORGS LÄN</t>
        </is>
      </c>
      <c r="G1492" t="inlineStr">
        <is>
          <t>BOLLNÄS</t>
        </is>
      </c>
      <c r="I1492" t="n">
        <v>6.3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s="2" t="inlineStr"/>
    </row>
    <row r="1493" ht="15" customHeight="1">
      <c r="A1493" t="inlineStr">
        <is>
          <t>A 29635-2026</t>
        </is>
      </c>
      <c r="B1493" t="inlineStr">
        <is>
          <t>avverkningsanmälan</t>
        </is>
      </c>
      <c r="C1493" t="inlineStr">
        <is>
          <t>Föryngringsavverkning</t>
        </is>
      </c>
      <c r="D1493" s="1" t="n">
        <v>46204</v>
      </c>
      <c r="E1493" s="1" t="n">
        <v>46313</v>
      </c>
      <c r="F1493" t="inlineStr">
        <is>
          <t>GÄVLEBORGS LÄN</t>
        </is>
      </c>
      <c r="G1493" t="inlineStr">
        <is>
          <t>BOLLNÄS</t>
        </is>
      </c>
      <c r="H1493" t="inlineStr">
        <is>
          <t>Bergvik skog väst AB</t>
        </is>
      </c>
      <c r="I1493" t="n">
        <v>2.6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s="2" t="inlineStr"/>
    </row>
    <row r="1494" ht="15" customHeight="1">
      <c r="A1494" t="inlineStr">
        <is>
          <t>A 29567-2026</t>
        </is>
      </c>
      <c r="B1494" t="inlineStr">
        <is>
          <t>avverkningsanmälan</t>
        </is>
      </c>
      <c r="C1494" t="inlineStr">
        <is>
          <t>Föryngringsavverkning</t>
        </is>
      </c>
      <c r="D1494" s="1" t="n">
        <v>46204</v>
      </c>
      <c r="E1494" s="1" t="n">
        <v>46313</v>
      </c>
      <c r="F1494" t="inlineStr">
        <is>
          <t>GÄVLEBORGS LÄN</t>
        </is>
      </c>
      <c r="G1494" t="inlineStr">
        <is>
          <t>BOLLNÄS</t>
        </is>
      </c>
      <c r="I1494" t="n">
        <v>1.1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s="2" t="inlineStr"/>
    </row>
    <row r="1495" ht="15" customHeight="1">
      <c r="A1495" t="inlineStr">
        <is>
          <t>A 29696-2026</t>
        </is>
      </c>
      <c r="B1495" t="inlineStr">
        <is>
          <t>avverkningsanmälan</t>
        </is>
      </c>
      <c r="C1495" t="inlineStr">
        <is>
          <t>Föryngringsavverkning</t>
        </is>
      </c>
      <c r="D1495" s="1" t="n">
        <v>46204</v>
      </c>
      <c r="E1495" s="1" t="n">
        <v>46313</v>
      </c>
      <c r="F1495" t="inlineStr">
        <is>
          <t>GÄVLEBORGS LÄN</t>
        </is>
      </c>
      <c r="G1495" t="inlineStr">
        <is>
          <t>BOLLNÄS</t>
        </is>
      </c>
      <c r="I1495" t="n">
        <v>5.3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s="2" t="inlineStr"/>
    </row>
    <row r="1496" ht="15" customHeight="1">
      <c r="A1496" t="inlineStr">
        <is>
          <t>A 19745-2026</t>
        </is>
      </c>
      <c r="B1496" t="inlineStr">
        <is>
          <t>avverkningsanmälan</t>
        </is>
      </c>
      <c r="C1496" t="inlineStr">
        <is>
          <t>Föryngringsavverkning</t>
        </is>
      </c>
      <c r="D1496" s="1" t="n">
        <v>46135</v>
      </c>
      <c r="E1496" s="1" t="n">
        <v>46313</v>
      </c>
      <c r="F1496" t="inlineStr">
        <is>
          <t>GÄVLEBORGS LÄN</t>
        </is>
      </c>
      <c r="G1496" t="inlineStr">
        <is>
          <t>BOLLNÄS</t>
        </is>
      </c>
      <c r="I1496" t="n">
        <v>1.8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s="2" t="inlineStr"/>
    </row>
    <row r="1497" ht="15" customHeight="1">
      <c r="A1497" t="inlineStr">
        <is>
          <t>A 19747-2026</t>
        </is>
      </c>
      <c r="B1497" t="inlineStr">
        <is>
          <t>avverkningsanmälan</t>
        </is>
      </c>
      <c r="C1497" t="inlineStr">
        <is>
          <t>Föryngringsavverkning</t>
        </is>
      </c>
      <c r="D1497" s="1" t="n">
        <v>46135</v>
      </c>
      <c r="E1497" s="1" t="n">
        <v>46313</v>
      </c>
      <c r="F1497" t="inlineStr">
        <is>
          <t>GÄVLEBORGS LÄN</t>
        </is>
      </c>
      <c r="G1497" t="inlineStr">
        <is>
          <t>BOLLNÄS</t>
        </is>
      </c>
      <c r="I1497" t="n">
        <v>0.5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s="2" t="inlineStr"/>
    </row>
    <row r="1498" ht="15" customHeight="1">
      <c r="A1498" t="inlineStr">
        <is>
          <t>A 19700-2026</t>
        </is>
      </c>
      <c r="B1498" t="inlineStr">
        <is>
          <t>avverkningsanmälan</t>
        </is>
      </c>
      <c r="C1498" t="inlineStr">
        <is>
          <t>Föryngringsavverkning</t>
        </is>
      </c>
      <c r="D1498" s="1" t="n">
        <v>46134</v>
      </c>
      <c r="E1498" s="1" t="n">
        <v>46313</v>
      </c>
      <c r="F1498" t="inlineStr">
        <is>
          <t>GÄVLEBORGS LÄN</t>
        </is>
      </c>
      <c r="G1498" t="inlineStr">
        <is>
          <t>BOLLNÄS</t>
        </is>
      </c>
      <c r="I1498" t="n">
        <v>2.6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s="2" t="inlineStr"/>
    </row>
    <row r="1499" ht="15" customHeight="1">
      <c r="A1499" t="inlineStr">
        <is>
          <t>A 29653-2026</t>
        </is>
      </c>
      <c r="B1499" t="inlineStr">
        <is>
          <t>avverkningsanmälan</t>
        </is>
      </c>
      <c r="C1499" t="inlineStr">
        <is>
          <t>Föryngringsavverkning</t>
        </is>
      </c>
      <c r="D1499" s="1" t="n">
        <v>46204</v>
      </c>
      <c r="E1499" s="1" t="n">
        <v>46313</v>
      </c>
      <c r="F1499" t="inlineStr">
        <is>
          <t>GÄVLEBORGS LÄN</t>
        </is>
      </c>
      <c r="G1499" t="inlineStr">
        <is>
          <t>BOLLNÄS</t>
        </is>
      </c>
      <c r="I1499" t="n">
        <v>2.7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s="2" t="inlineStr"/>
    </row>
    <row r="1500" ht="15" customHeight="1">
      <c r="A1500" t="inlineStr">
        <is>
          <t>A 1800-2026</t>
        </is>
      </c>
      <c r="B1500" t="inlineStr">
        <is>
          <t>avverkningsanmälan</t>
        </is>
      </c>
      <c r="C1500" t="inlineStr">
        <is>
          <t>Föryngringsavverkning</t>
        </is>
      </c>
      <c r="D1500" s="1" t="n">
        <v>46035</v>
      </c>
      <c r="E1500" s="1" t="n">
        <v>46313</v>
      </c>
      <c r="F1500" t="inlineStr">
        <is>
          <t>GÄVLEBORGS LÄN</t>
        </is>
      </c>
      <c r="G1500" t="inlineStr">
        <is>
          <t>BOLLNÄS</t>
        </is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s="2" t="inlineStr"/>
    </row>
    <row r="1501" ht="15" customHeight="1">
      <c r="A1501" t="inlineStr">
        <is>
          <t>A 30152-2022</t>
        </is>
      </c>
      <c r="B1501" t="inlineStr">
        <is>
          <t>avverkningsanmälan</t>
        </is>
      </c>
      <c r="C1501" t="inlineStr">
        <is>
          <t>Föryngringsavverkning</t>
        </is>
      </c>
      <c r="D1501" s="1" t="n">
        <v>44757</v>
      </c>
      <c r="E1501" s="1" t="n">
        <v>46313</v>
      </c>
      <c r="F1501" t="inlineStr">
        <is>
          <t>GÄVLEBORGS LÄN</t>
        </is>
      </c>
      <c r="G1501" t="inlineStr">
        <is>
          <t>BOLLNÄS</t>
        </is>
      </c>
      <c r="I1501" t="n">
        <v>1.7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s="2" t="inlineStr"/>
    </row>
    <row r="1502" ht="15" customHeight="1">
      <c r="A1502" t="inlineStr">
        <is>
          <t>A 10413-2026</t>
        </is>
      </c>
      <c r="B1502" t="inlineStr">
        <is>
          <t>avverkningsanmälan</t>
        </is>
      </c>
      <c r="C1502" t="inlineStr">
        <is>
          <t>Föryngringsavverkning</t>
        </is>
      </c>
      <c r="D1502" s="1" t="n">
        <v>46077</v>
      </c>
      <c r="E1502" s="1" t="n">
        <v>46313</v>
      </c>
      <c r="F1502" t="inlineStr">
        <is>
          <t>GÄVLEBORGS LÄN</t>
        </is>
      </c>
      <c r="G1502" t="inlineStr">
        <is>
          <t>BOLLNÄS</t>
        </is>
      </c>
      <c r="I1502" t="n">
        <v>11.6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s="2" t="inlineStr"/>
    </row>
    <row r="1503" ht="15" customHeight="1">
      <c r="A1503" t="inlineStr">
        <is>
          <t>A 10043-2026</t>
        </is>
      </c>
      <c r="B1503" t="inlineStr">
        <is>
          <t>avverkningsanmälan</t>
        </is>
      </c>
      <c r="C1503" t="inlineStr">
        <is>
          <t>Föryngringsavverkning</t>
        </is>
      </c>
      <c r="D1503" s="1" t="n">
        <v>46073</v>
      </c>
      <c r="E1503" s="1" t="n">
        <v>46313</v>
      </c>
      <c r="F1503" t="inlineStr">
        <is>
          <t>GÄVLEBORGS LÄN</t>
        </is>
      </c>
      <c r="G1503" t="inlineStr">
        <is>
          <t>BOLLNÄS</t>
        </is>
      </c>
      <c r="I1503" t="n">
        <v>12.2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s="2" t="inlineStr"/>
    </row>
    <row r="1504" ht="15" customHeight="1">
      <c r="A1504" t="inlineStr">
        <is>
          <t>A 29607-2026</t>
        </is>
      </c>
      <c r="B1504" t="inlineStr">
        <is>
          <t>avverkningsanmälan</t>
        </is>
      </c>
      <c r="C1504" t="inlineStr">
        <is>
          <t>Föryngringsavverkning</t>
        </is>
      </c>
      <c r="D1504" s="1" t="n">
        <v>46204</v>
      </c>
      <c r="E1504" s="1" t="n">
        <v>46313</v>
      </c>
      <c r="F1504" t="inlineStr">
        <is>
          <t>GÄVLEBORGS LÄN</t>
        </is>
      </c>
      <c r="G1504" t="inlineStr">
        <is>
          <t>BOLLNÄS</t>
        </is>
      </c>
      <c r="I1504" t="n">
        <v>7.6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s="2" t="inlineStr"/>
    </row>
    <row r="1505" ht="15" customHeight="1">
      <c r="A1505" t="inlineStr">
        <is>
          <t>A 29652-2026</t>
        </is>
      </c>
      <c r="B1505" t="inlineStr">
        <is>
          <t>avverkningsanmälan</t>
        </is>
      </c>
      <c r="C1505" t="inlineStr">
        <is>
          <t>Föryngringsavverkning</t>
        </is>
      </c>
      <c r="D1505" s="1" t="n">
        <v>46204</v>
      </c>
      <c r="E1505" s="1" t="n">
        <v>46313</v>
      </c>
      <c r="F1505" t="inlineStr">
        <is>
          <t>GÄVLEBORGS LÄN</t>
        </is>
      </c>
      <c r="G1505" t="inlineStr">
        <is>
          <t>BOLLNÄS</t>
        </is>
      </c>
      <c r="I1505" t="n">
        <v>10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s="2" t="inlineStr"/>
    </row>
    <row r="1506" ht="15" customHeight="1">
      <c r="A1506" t="inlineStr">
        <is>
          <t>A 1988-2025</t>
        </is>
      </c>
      <c r="B1506" t="inlineStr">
        <is>
          <t>avverkningsanmälan</t>
        </is>
      </c>
      <c r="C1506" t="inlineStr">
        <is>
          <t>Föryngringsavverkning</t>
        </is>
      </c>
      <c r="D1506" s="1" t="n">
        <v>45672</v>
      </c>
      <c r="E1506" s="1" t="n">
        <v>46313</v>
      </c>
      <c r="F1506" t="inlineStr">
        <is>
          <t>GÄVLEBORGS LÄN</t>
        </is>
      </c>
      <c r="G1506" t="inlineStr">
        <is>
          <t>BOLLNÄS</t>
        </is>
      </c>
      <c r="I1506" t="n">
        <v>0.9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s="2" t="inlineStr"/>
    </row>
    <row r="1507" ht="15" customHeight="1">
      <c r="A1507" t="inlineStr">
        <is>
          <t>A 2006-2025</t>
        </is>
      </c>
      <c r="B1507" t="inlineStr">
        <is>
          <t>avverkningsanmälan</t>
        </is>
      </c>
      <c r="C1507" t="inlineStr">
        <is>
          <t>Föryngringsavverkning</t>
        </is>
      </c>
      <c r="D1507" s="1" t="n">
        <v>45672</v>
      </c>
      <c r="E1507" s="1" t="n">
        <v>46313</v>
      </c>
      <c r="F1507" t="inlineStr">
        <is>
          <t>GÄVLEBORGS LÄN</t>
        </is>
      </c>
      <c r="G1507" t="inlineStr">
        <is>
          <t>BOLLNÄS</t>
        </is>
      </c>
      <c r="I1507" t="n">
        <v>1.7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s="2" t="inlineStr"/>
    </row>
    <row r="1508" ht="15" customHeight="1">
      <c r="A1508" t="inlineStr">
        <is>
          <t>A 20192-2026</t>
        </is>
      </c>
      <c r="B1508" t="inlineStr">
        <is>
          <t>avverkningsanmälan</t>
        </is>
      </c>
      <c r="C1508" t="inlineStr">
        <is>
          <t>Föryngringsavverkning</t>
        </is>
      </c>
      <c r="D1508" s="1" t="n">
        <v>46139</v>
      </c>
      <c r="E1508" s="1" t="n">
        <v>46313</v>
      </c>
      <c r="F1508" t="inlineStr">
        <is>
          <t>GÄVLEBORGS LÄN</t>
        </is>
      </c>
      <c r="G1508" t="inlineStr">
        <is>
          <t>BOLLNÄS</t>
        </is>
      </c>
      <c r="I1508" t="n">
        <v>0.8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s="2" t="inlineStr"/>
    </row>
    <row r="1509" ht="15" customHeight="1">
      <c r="A1509" t="inlineStr">
        <is>
          <t>A 8914-2026</t>
        </is>
      </c>
      <c r="B1509" t="inlineStr">
        <is>
          <t>avverkningsanmälan</t>
        </is>
      </c>
      <c r="C1509" t="inlineStr">
        <is>
          <t>Föryngringsavverkning</t>
        </is>
      </c>
      <c r="D1509" s="1" t="n">
        <v>46069</v>
      </c>
      <c r="E1509" s="1" t="n">
        <v>46313</v>
      </c>
      <c r="F1509" t="inlineStr">
        <is>
          <t>GÄVLEBORGS LÄN</t>
        </is>
      </c>
      <c r="G1509" t="inlineStr">
        <is>
          <t>BOLLNÄS</t>
        </is>
      </c>
      <c r="I1509" t="n">
        <v>37.3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s="2" t="inlineStr"/>
    </row>
    <row r="1510" ht="15" customHeight="1">
      <c r="A1510" t="inlineStr">
        <is>
          <t>A 29715-2024</t>
        </is>
      </c>
      <c r="B1510" t="inlineStr">
        <is>
          <t>avverkningsanmälan</t>
        </is>
      </c>
      <c r="C1510" t="inlineStr">
        <is>
          <t>Föryngringsavverkning</t>
        </is>
      </c>
      <c r="D1510" s="1" t="n">
        <v>45485</v>
      </c>
      <c r="E1510" s="1" t="n">
        <v>46313</v>
      </c>
      <c r="F1510" t="inlineStr">
        <is>
          <t>GÄVLEBORGS LÄN</t>
        </is>
      </c>
      <c r="G1510" t="inlineStr">
        <is>
          <t>BOLLNÄS</t>
        </is>
      </c>
      <c r="I1510" t="n">
        <v>2.4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s="2" t="inlineStr"/>
    </row>
    <row r="1511" ht="15" customHeight="1">
      <c r="A1511" t="inlineStr">
        <is>
          <t>A 29629-2026</t>
        </is>
      </c>
      <c r="B1511" t="inlineStr">
        <is>
          <t>avverkningsanmälan</t>
        </is>
      </c>
      <c r="C1511" t="inlineStr">
        <is>
          <t>Föryngringsavverkning</t>
        </is>
      </c>
      <c r="D1511" s="1" t="n">
        <v>46204</v>
      </c>
      <c r="E1511" s="1" t="n">
        <v>46313</v>
      </c>
      <c r="F1511" t="inlineStr">
        <is>
          <t>GÄVLEBORGS LÄN</t>
        </is>
      </c>
      <c r="G1511" t="inlineStr">
        <is>
          <t>BOLLNÄS</t>
        </is>
      </c>
      <c r="I1511" t="n">
        <v>1.3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s="2" t="inlineStr"/>
    </row>
    <row r="1512" ht="15" customHeight="1">
      <c r="A1512" t="inlineStr">
        <is>
          <t>A 29700-2026</t>
        </is>
      </c>
      <c r="B1512" t="inlineStr">
        <is>
          <t>avverkningsanmälan</t>
        </is>
      </c>
      <c r="C1512" t="inlineStr">
        <is>
          <t>Föryngringsavverkning</t>
        </is>
      </c>
      <c r="D1512" s="1" t="n">
        <v>46204</v>
      </c>
      <c r="E1512" s="1" t="n">
        <v>46313</v>
      </c>
      <c r="F1512" t="inlineStr">
        <is>
          <t>GÄVLEBORGS LÄN</t>
        </is>
      </c>
      <c r="G1512" t="inlineStr">
        <is>
          <t>BOLLNÄS</t>
        </is>
      </c>
      <c r="I1512" t="n">
        <v>5.9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s="2" t="inlineStr"/>
    </row>
    <row r="1513" ht="15" customHeight="1">
      <c r="A1513" t="inlineStr">
        <is>
          <t>A 30043-2026</t>
        </is>
      </c>
      <c r="B1513" t="inlineStr">
        <is>
          <t>avverkningsanmälan</t>
        </is>
      </c>
      <c r="C1513" t="inlineStr">
        <is>
          <t>Föryngringsavverkning</t>
        </is>
      </c>
      <c r="D1513" s="1" t="n">
        <v>46206</v>
      </c>
      <c r="E1513" s="1" t="n">
        <v>46313</v>
      </c>
      <c r="F1513" t="inlineStr">
        <is>
          <t>GÄVLEBORGS LÄN</t>
        </is>
      </c>
      <c r="G1513" t="inlineStr">
        <is>
          <t>BOLLNÄS</t>
        </is>
      </c>
      <c r="I1513" t="n">
        <v>6.3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s="2" t="inlineStr"/>
    </row>
    <row r="1514" ht="15" customHeight="1">
      <c r="A1514" t="inlineStr">
        <is>
          <t>A 30050-2026</t>
        </is>
      </c>
      <c r="B1514" t="inlineStr">
        <is>
          <t>avverkningsanmälan</t>
        </is>
      </c>
      <c r="C1514" t="inlineStr">
        <is>
          <t>Föryngringsavverkning</t>
        </is>
      </c>
      <c r="D1514" s="1" t="n">
        <v>46206</v>
      </c>
      <c r="E1514" s="1" t="n">
        <v>46313</v>
      </c>
      <c r="F1514" t="inlineStr">
        <is>
          <t>GÄVLEBORGS LÄN</t>
        </is>
      </c>
      <c r="G1514" t="inlineStr">
        <is>
          <t>BOLLNÄS</t>
        </is>
      </c>
      <c r="I1514" t="n">
        <v>1.2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s="2" t="inlineStr"/>
    </row>
    <row r="1515" ht="15" customHeight="1">
      <c r="A1515" t="inlineStr">
        <is>
          <t>A 30052-2026</t>
        </is>
      </c>
      <c r="B1515" t="inlineStr">
        <is>
          <t>avverkningsanmälan</t>
        </is>
      </c>
      <c r="C1515" t="inlineStr">
        <is>
          <t>Föryngringsavverkning</t>
        </is>
      </c>
      <c r="D1515" s="1" t="n">
        <v>46206</v>
      </c>
      <c r="E1515" s="1" t="n">
        <v>46313</v>
      </c>
      <c r="F1515" t="inlineStr">
        <is>
          <t>GÄVLEBORGS LÄN</t>
        </is>
      </c>
      <c r="G1515" t="inlineStr">
        <is>
          <t>BOLLNÄS</t>
        </is>
      </c>
      <c r="I1515" t="n">
        <v>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s="2" t="inlineStr"/>
    </row>
    <row r="1516" ht="15" customHeight="1">
      <c r="A1516" t="inlineStr">
        <is>
          <t>A 15519-2026</t>
        </is>
      </c>
      <c r="B1516" t="inlineStr">
        <is>
          <t>avverkningsanmälan</t>
        </is>
      </c>
      <c r="C1516" t="inlineStr">
        <is>
          <t>Föryngringsavverkning</t>
        </is>
      </c>
      <c r="D1516" s="1" t="n">
        <v>46106</v>
      </c>
      <c r="E1516" s="1" t="n">
        <v>46313</v>
      </c>
      <c r="F1516" t="inlineStr">
        <is>
          <t>GÄVLEBORGS LÄN</t>
        </is>
      </c>
      <c r="G1516" t="inlineStr">
        <is>
          <t>BOLLNÄS</t>
        </is>
      </c>
      <c r="I1516" t="n">
        <v>2.2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s="2" t="inlineStr"/>
    </row>
    <row r="1517" ht="15" customHeight="1">
      <c r="A1517" t="inlineStr">
        <is>
          <t>A 20308-2026</t>
        </is>
      </c>
      <c r="B1517" t="inlineStr">
        <is>
          <t>avverkningsanmälan</t>
        </is>
      </c>
      <c r="C1517" t="inlineStr">
        <is>
          <t>Föryngringsavverkning</t>
        </is>
      </c>
      <c r="D1517" s="1" t="n">
        <v>46139</v>
      </c>
      <c r="E1517" s="1" t="n">
        <v>46313</v>
      </c>
      <c r="F1517" t="inlineStr">
        <is>
          <t>GÄVLEBORGS LÄN</t>
        </is>
      </c>
      <c r="G1517" t="inlineStr">
        <is>
          <t>BOLLNÄS</t>
        </is>
      </c>
      <c r="I1517" t="n">
        <v>1.9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s="2" t="inlineStr"/>
    </row>
    <row r="1518" ht="15" customHeight="1">
      <c r="A1518" t="inlineStr">
        <is>
          <t>A 20361-2026</t>
        </is>
      </c>
      <c r="B1518" t="inlineStr">
        <is>
          <t>avverkningsanmälan</t>
        </is>
      </c>
      <c r="C1518" t="inlineStr">
        <is>
          <t>Föryngringsavverkning</t>
        </is>
      </c>
      <c r="D1518" s="1" t="n">
        <v>46139</v>
      </c>
      <c r="E1518" s="1" t="n">
        <v>46313</v>
      </c>
      <c r="F1518" t="inlineStr">
        <is>
          <t>GÄVLEBORGS LÄN</t>
        </is>
      </c>
      <c r="G1518" t="inlineStr">
        <is>
          <t>BOLLNÄS</t>
        </is>
      </c>
      <c r="I1518" t="n">
        <v>9.300000000000001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s="2" t="inlineStr"/>
    </row>
    <row r="1519" ht="15" customHeight="1">
      <c r="A1519" t="inlineStr">
        <is>
          <t>A 9555-2026</t>
        </is>
      </c>
      <c r="B1519" t="inlineStr">
        <is>
          <t>avverkningsanmälan</t>
        </is>
      </c>
      <c r="C1519" t="inlineStr">
        <is>
          <t>Föryngringsavverkning</t>
        </is>
      </c>
      <c r="D1519" s="1" t="n">
        <v>46071</v>
      </c>
      <c r="E1519" s="1" t="n">
        <v>46313</v>
      </c>
      <c r="F1519" t="inlineStr">
        <is>
          <t>GÄVLEBORGS LÄN</t>
        </is>
      </c>
      <c r="G1519" t="inlineStr">
        <is>
          <t>BOLLNÄS</t>
        </is>
      </c>
      <c r="I1519" t="n">
        <v>0.9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s="2" t="inlineStr"/>
    </row>
    <row r="1520" ht="15" customHeight="1">
      <c r="A1520" t="inlineStr">
        <is>
          <t>A 51666-2022</t>
        </is>
      </c>
      <c r="B1520" t="inlineStr">
        <is>
          <t>avverkningsanmälan</t>
        </is>
      </c>
      <c r="C1520" t="inlineStr">
        <is>
          <t>Föryngringsavverkning</t>
        </is>
      </c>
      <c r="D1520" s="1" t="n">
        <v>44872</v>
      </c>
      <c r="E1520" s="1" t="n">
        <v>46313</v>
      </c>
      <c r="F1520" t="inlineStr">
        <is>
          <t>GÄVLEBORGS LÄN</t>
        </is>
      </c>
      <c r="G1520" t="inlineStr">
        <is>
          <t>BOLLNÄS</t>
        </is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s="2" t="inlineStr"/>
    </row>
    <row r="1521" ht="15" customHeight="1">
      <c r="A1521" t="inlineStr">
        <is>
          <t>A 30041-2026</t>
        </is>
      </c>
      <c r="B1521" t="inlineStr">
        <is>
          <t>avverkningsanmälan</t>
        </is>
      </c>
      <c r="C1521" t="inlineStr">
        <is>
          <t>Föryngringsavverkning</t>
        </is>
      </c>
      <c r="D1521" s="1" t="n">
        <v>46206</v>
      </c>
      <c r="E1521" s="1" t="n">
        <v>46313</v>
      </c>
      <c r="F1521" t="inlineStr">
        <is>
          <t>GÄVLEBORGS LÄN</t>
        </is>
      </c>
      <c r="G1521" t="inlineStr">
        <is>
          <t>BOLLNÄS</t>
        </is>
      </c>
      <c r="I1521" t="n">
        <v>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s="2" t="inlineStr"/>
    </row>
    <row r="1522" ht="15" customHeight="1">
      <c r="A1522" t="inlineStr">
        <is>
          <t>A 20257-2026</t>
        </is>
      </c>
      <c r="B1522" t="inlineStr">
        <is>
          <t>avverkningsanmälan</t>
        </is>
      </c>
      <c r="C1522" t="inlineStr">
        <is>
          <t>Föryngringsavverkning</t>
        </is>
      </c>
      <c r="D1522" s="1" t="n">
        <v>46139</v>
      </c>
      <c r="E1522" s="1" t="n">
        <v>46313</v>
      </c>
      <c r="F1522" t="inlineStr">
        <is>
          <t>GÄVLEBORGS LÄN</t>
        </is>
      </c>
      <c r="G1522" t="inlineStr">
        <is>
          <t>BOLLNÄS</t>
        </is>
      </c>
      <c r="H1522" t="inlineStr">
        <is>
          <t>Bergvik skog väst AB</t>
        </is>
      </c>
      <c r="I1522" t="n">
        <v>1.5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s="2" t="inlineStr"/>
    </row>
    <row r="1523" ht="15" customHeight="1">
      <c r="A1523" t="inlineStr">
        <is>
          <t>A 20153-2026</t>
        </is>
      </c>
      <c r="B1523" t="inlineStr">
        <is>
          <t>avverkningsanmälan</t>
        </is>
      </c>
      <c r="C1523" t="inlineStr">
        <is>
          <t>Föryngringsavverkning</t>
        </is>
      </c>
      <c r="D1523" s="1" t="n">
        <v>46138</v>
      </c>
      <c r="E1523" s="1" t="n">
        <v>46313</v>
      </c>
      <c r="F1523" t="inlineStr">
        <is>
          <t>GÄVLEBORGS LÄN</t>
        </is>
      </c>
      <c r="G1523" t="inlineStr">
        <is>
          <t>BOLLNÄS</t>
        </is>
      </c>
      <c r="H1523" t="inlineStr">
        <is>
          <t>Bergvik skog väst AB</t>
        </is>
      </c>
      <c r="I1523" t="n">
        <v>0.9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s="2" t="inlineStr"/>
    </row>
    <row r="1524" ht="15" customHeight="1">
      <c r="A1524" t="inlineStr">
        <is>
          <t>A 3319-2026</t>
        </is>
      </c>
      <c r="B1524" t="inlineStr">
        <is>
          <t>avverkningsanmälan</t>
        </is>
      </c>
      <c r="C1524" t="inlineStr">
        <is>
          <t>Föryngringsavverkning</t>
        </is>
      </c>
      <c r="D1524" s="1" t="n">
        <v>46041</v>
      </c>
      <c r="E1524" s="1" t="n">
        <v>46313</v>
      </c>
      <c r="F1524" t="inlineStr">
        <is>
          <t>GÄVLEBORGS LÄN</t>
        </is>
      </c>
      <c r="G1524" t="inlineStr">
        <is>
          <t>BOLLNÄS</t>
        </is>
      </c>
      <c r="I1524" t="n">
        <v>1.4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s="2" t="inlineStr"/>
    </row>
    <row r="1525" ht="15" customHeight="1">
      <c r="A1525" t="inlineStr">
        <is>
          <t>A 30131-2026</t>
        </is>
      </c>
      <c r="B1525" t="inlineStr">
        <is>
          <t>avverkningsanmälan</t>
        </is>
      </c>
      <c r="C1525" t="inlineStr">
        <is>
          <t>Föryngringsavverkning</t>
        </is>
      </c>
      <c r="D1525" s="1" t="n">
        <v>46206</v>
      </c>
      <c r="E1525" s="1" t="n">
        <v>46313</v>
      </c>
      <c r="F1525" t="inlineStr">
        <is>
          <t>GÄVLEBORGS LÄN</t>
        </is>
      </c>
      <c r="G1525" t="inlineStr">
        <is>
          <t>BOLLNÄS</t>
        </is>
      </c>
      <c r="I1525" t="n">
        <v>3.5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s="2" t="inlineStr"/>
    </row>
    <row r="1526" ht="15" customHeight="1">
      <c r="A1526" t="inlineStr">
        <is>
          <t>A 30136-2026</t>
        </is>
      </c>
      <c r="B1526" t="inlineStr">
        <is>
          <t>avverkningsanmälan</t>
        </is>
      </c>
      <c r="C1526" t="inlineStr">
        <is>
          <t>Föryngringsavverkning</t>
        </is>
      </c>
      <c r="D1526" s="1" t="n">
        <v>46206</v>
      </c>
      <c r="E1526" s="1" t="n">
        <v>46313</v>
      </c>
      <c r="F1526" t="inlineStr">
        <is>
          <t>GÄVLEBORGS LÄN</t>
        </is>
      </c>
      <c r="G1526" t="inlineStr">
        <is>
          <t>BOLLNÄS</t>
        </is>
      </c>
      <c r="I1526" t="n">
        <v>0.8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s="2" t="inlineStr"/>
    </row>
    <row r="1527" ht="15" customHeight="1">
      <c r="A1527" t="inlineStr">
        <is>
          <t>A 11164-2026</t>
        </is>
      </c>
      <c r="B1527" t="inlineStr">
        <is>
          <t>avverkningsanmälan</t>
        </is>
      </c>
      <c r="C1527" t="inlineStr">
        <is>
          <t>Föryngringsavverkning</t>
        </is>
      </c>
      <c r="D1527" s="1" t="n">
        <v>46080</v>
      </c>
      <c r="E1527" s="1" t="n">
        <v>46313</v>
      </c>
      <c r="F1527" t="inlineStr">
        <is>
          <t>GÄVLEBORGS LÄN</t>
        </is>
      </c>
      <c r="G1527" t="inlineStr">
        <is>
          <t>BOLLNÄS</t>
        </is>
      </c>
      <c r="I1527" t="n">
        <v>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s="2" t="inlineStr"/>
    </row>
    <row r="1528" ht="15" customHeight="1">
      <c r="A1528" t="inlineStr">
        <is>
          <t>A 10204-2026</t>
        </is>
      </c>
      <c r="B1528" t="inlineStr">
        <is>
          <t>avverkningsanmälan</t>
        </is>
      </c>
      <c r="C1528" t="inlineStr">
        <is>
          <t>Föryngringsavverkning</t>
        </is>
      </c>
      <c r="D1528" s="1" t="n">
        <v>46076</v>
      </c>
      <c r="E1528" s="1" t="n">
        <v>46313</v>
      </c>
      <c r="F1528" t="inlineStr">
        <is>
          <t>GÄVLEBORGS LÄN</t>
        </is>
      </c>
      <c r="G1528" t="inlineStr">
        <is>
          <t>BOLLNÄS</t>
        </is>
      </c>
      <c r="I1528" t="n">
        <v>7.1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s="2" t="inlineStr"/>
    </row>
    <row r="1529" ht="15" customHeight="1">
      <c r="A1529" t="inlineStr">
        <is>
          <t>A 9697-2025</t>
        </is>
      </c>
      <c r="B1529" t="inlineStr">
        <is>
          <t>avverkningsanmälan</t>
        </is>
      </c>
      <c r="C1529" t="inlineStr">
        <is>
          <t>Föryngringsavverkning</t>
        </is>
      </c>
      <c r="D1529" s="1" t="n">
        <v>45716</v>
      </c>
      <c r="E1529" s="1" t="n">
        <v>46313</v>
      </c>
      <c r="F1529" t="inlineStr">
        <is>
          <t>GÄVLEBORGS LÄN</t>
        </is>
      </c>
      <c r="G1529" t="inlineStr">
        <is>
          <t>BOLLNÄS</t>
        </is>
      </c>
      <c r="I1529" t="n">
        <v>1.1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s="2" t="inlineStr"/>
    </row>
    <row r="1530" ht="15" customHeight="1">
      <c r="A1530" t="inlineStr">
        <is>
          <t>A 12243-2026</t>
        </is>
      </c>
      <c r="B1530" t="inlineStr">
        <is>
          <t>avverkningsanmälan</t>
        </is>
      </c>
      <c r="C1530" t="inlineStr">
        <is>
          <t>Föryngringsavverkning</t>
        </is>
      </c>
      <c r="D1530" s="1" t="n">
        <v>46087</v>
      </c>
      <c r="E1530" s="1" t="n">
        <v>46313</v>
      </c>
      <c r="F1530" t="inlineStr">
        <is>
          <t>GÄVLEBORGS LÄN</t>
        </is>
      </c>
      <c r="G1530" t="inlineStr">
        <is>
          <t>BOLLNÄS</t>
        </is>
      </c>
      <c r="I1530" t="n">
        <v>2.5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s="2" t="inlineStr"/>
    </row>
    <row r="1531" ht="15" customHeight="1">
      <c r="A1531" t="inlineStr">
        <is>
          <t>A 7339-2026</t>
        </is>
      </c>
      <c r="B1531" t="inlineStr">
        <is>
          <t>avverkningsanmälan</t>
        </is>
      </c>
      <c r="C1531" t="inlineStr">
        <is>
          <t>Föryngringsavverkning</t>
        </is>
      </c>
      <c r="D1531" s="1" t="n">
        <v>46058</v>
      </c>
      <c r="E1531" s="1" t="n">
        <v>46313</v>
      </c>
      <c r="F1531" t="inlineStr">
        <is>
          <t>GÄVLEBORGS LÄN</t>
        </is>
      </c>
      <c r="G1531" t="inlineStr">
        <is>
          <t>BOLLNÄS</t>
        </is>
      </c>
      <c r="I1531" t="n">
        <v>12.1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s="2" t="inlineStr"/>
    </row>
    <row r="1532" ht="15" customHeight="1">
      <c r="A1532" t="inlineStr">
        <is>
          <t>A 14783-2026</t>
        </is>
      </c>
      <c r="B1532" t="inlineStr">
        <is>
          <t>avverkningsanmälan</t>
        </is>
      </c>
      <c r="C1532" t="inlineStr">
        <is>
          <t>Föryngringsavverkning</t>
        </is>
      </c>
      <c r="D1532" s="1" t="n">
        <v>46101</v>
      </c>
      <c r="E1532" s="1" t="n">
        <v>46313</v>
      </c>
      <c r="F1532" t="inlineStr">
        <is>
          <t>GÄVLEBORGS LÄN</t>
        </is>
      </c>
      <c r="G1532" t="inlineStr">
        <is>
          <t>BOLLNÄS</t>
        </is>
      </c>
      <c r="I1532" t="n">
        <v>8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s="2" t="inlineStr"/>
    </row>
    <row r="1533" ht="15" customHeight="1">
      <c r="A1533" t="inlineStr">
        <is>
          <t>A 49993-2024</t>
        </is>
      </c>
      <c r="B1533" t="inlineStr">
        <is>
          <t>avverkningsanmälan</t>
        </is>
      </c>
      <c r="C1533" t="inlineStr">
        <is>
          <t>Föryngringsavverkning</t>
        </is>
      </c>
      <c r="D1533" s="1" t="n">
        <v>45597</v>
      </c>
      <c r="E1533" s="1" t="n">
        <v>46313</v>
      </c>
      <c r="F1533" t="inlineStr">
        <is>
          <t>GÄVLEBORGS LÄN</t>
        </is>
      </c>
      <c r="G1533" t="inlineStr">
        <is>
          <t>BOLLNÄS</t>
        </is>
      </c>
      <c r="I1533" t="n">
        <v>1.2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s="2" t="inlineStr"/>
    </row>
    <row r="1534" ht="15" customHeight="1">
      <c r="A1534" t="inlineStr">
        <is>
          <t>A 30282-2026</t>
        </is>
      </c>
      <c r="B1534" t="inlineStr">
        <is>
          <t>avverkningsanmälan</t>
        </is>
      </c>
      <c r="C1534" t="inlineStr">
        <is>
          <t>Föryngringsavverkning</t>
        </is>
      </c>
      <c r="D1534" s="1" t="n">
        <v>46206</v>
      </c>
      <c r="E1534" s="1" t="n">
        <v>46313</v>
      </c>
      <c r="F1534" t="inlineStr">
        <is>
          <t>GÄVLEBORGS LÄN</t>
        </is>
      </c>
      <c r="G1534" t="inlineStr">
        <is>
          <t>BOLLNÄS</t>
        </is>
      </c>
      <c r="I1534" t="n">
        <v>4.8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s="2" t="inlineStr"/>
    </row>
    <row r="1535" ht="15" customHeight="1">
      <c r="A1535" t="inlineStr">
        <is>
          <t>A 30300-2026</t>
        </is>
      </c>
      <c r="B1535" t="inlineStr">
        <is>
          <t>avverkningsanmälan</t>
        </is>
      </c>
      <c r="C1535" t="inlineStr">
        <is>
          <t>Föryngringsavverkning</t>
        </is>
      </c>
      <c r="D1535" s="1" t="n">
        <v>46206</v>
      </c>
      <c r="E1535" s="1" t="n">
        <v>46313</v>
      </c>
      <c r="F1535" t="inlineStr">
        <is>
          <t>GÄVLEBORGS LÄN</t>
        </is>
      </c>
      <c r="G1535" t="inlineStr">
        <is>
          <t>BOLLNÄS</t>
        </is>
      </c>
      <c r="I1535" t="n">
        <v>1.4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s="2" t="inlineStr"/>
    </row>
    <row r="1536" ht="15" customHeight="1">
      <c r="A1536" t="inlineStr">
        <is>
          <t>A 2811-2026</t>
        </is>
      </c>
      <c r="B1536" t="inlineStr">
        <is>
          <t>avverkningsanmälan</t>
        </is>
      </c>
      <c r="C1536" t="inlineStr">
        <is>
          <t>Föryngringsavverkning</t>
        </is>
      </c>
      <c r="D1536" s="1" t="n">
        <v>46038</v>
      </c>
      <c r="E1536" s="1" t="n">
        <v>46313</v>
      </c>
      <c r="F1536" t="inlineStr">
        <is>
          <t>GÄVLEBORGS LÄN</t>
        </is>
      </c>
      <c r="G1536" t="inlineStr">
        <is>
          <t>BOLLNÄS</t>
        </is>
      </c>
      <c r="I1536" t="n">
        <v>8.6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s="2" t="inlineStr"/>
    </row>
    <row r="1537" ht="15" customHeight="1">
      <c r="A1537" t="inlineStr">
        <is>
          <t>A 30305-2026</t>
        </is>
      </c>
      <c r="B1537" t="inlineStr">
        <is>
          <t>avverkningsanmälan</t>
        </is>
      </c>
      <c r="C1537" t="inlineStr">
        <is>
          <t>Föryngringsavverkning</t>
        </is>
      </c>
      <c r="D1537" s="1" t="n">
        <v>46206</v>
      </c>
      <c r="E1537" s="1" t="n">
        <v>46313</v>
      </c>
      <c r="F1537" t="inlineStr">
        <is>
          <t>GÄVLEBORGS LÄN</t>
        </is>
      </c>
      <c r="G1537" t="inlineStr">
        <is>
          <t>BOLLNÄS</t>
        </is>
      </c>
      <c r="I1537" t="n">
        <v>1.3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s="2" t="inlineStr"/>
    </row>
    <row r="1538" ht="15" customHeight="1">
      <c r="A1538" t="inlineStr">
        <is>
          <t>A 57546-2023</t>
        </is>
      </c>
      <c r="B1538" t="inlineStr">
        <is>
          <t>avverkningsanmälan</t>
        </is>
      </c>
      <c r="C1538" t="inlineStr">
        <is>
          <t>Föryngringsavverkning</t>
        </is>
      </c>
      <c r="D1538" s="1" t="n">
        <v>45246</v>
      </c>
      <c r="E1538" s="1" t="n">
        <v>46313</v>
      </c>
      <c r="F1538" t="inlineStr">
        <is>
          <t>GÄVLEBORGS LÄN</t>
        </is>
      </c>
      <c r="G1538" t="inlineStr">
        <is>
          <t>BOLLNÄS</t>
        </is>
      </c>
      <c r="I1538" t="n">
        <v>2.5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s="2" t="inlineStr"/>
    </row>
    <row r="1539" ht="15" customHeight="1">
      <c r="A1539" t="inlineStr">
        <is>
          <t>A 15355-2025</t>
        </is>
      </c>
      <c r="B1539" t="inlineStr">
        <is>
          <t>avverkningsanmälan</t>
        </is>
      </c>
      <c r="C1539" t="inlineStr">
        <is>
          <t>Föryngringsavverkning</t>
        </is>
      </c>
      <c r="D1539" s="1" t="n">
        <v>45747</v>
      </c>
      <c r="E1539" s="1" t="n">
        <v>46313</v>
      </c>
      <c r="F1539" t="inlineStr">
        <is>
          <t>GÄVLEBORGS LÄN</t>
        </is>
      </c>
      <c r="G1539" t="inlineStr">
        <is>
          <t>BOLLNÄS</t>
        </is>
      </c>
      <c r="I1539" t="n">
        <v>1.7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s="2" t="inlineStr"/>
    </row>
    <row r="1540" ht="15" customHeight="1">
      <c r="A1540" t="inlineStr">
        <is>
          <t>A 6052-2026</t>
        </is>
      </c>
      <c r="B1540" t="inlineStr">
        <is>
          <t>avverkningsanmälan</t>
        </is>
      </c>
      <c r="C1540" t="inlineStr">
        <is>
          <t>Föryngringsavverkning</t>
        </is>
      </c>
      <c r="D1540" s="1" t="n">
        <v>46052</v>
      </c>
      <c r="E1540" s="1" t="n">
        <v>46313</v>
      </c>
      <c r="F1540" t="inlineStr">
        <is>
          <t>GÄVLEBORGS LÄN</t>
        </is>
      </c>
      <c r="G1540" t="inlineStr">
        <is>
          <t>BOLLNÄS</t>
        </is>
      </c>
      <c r="I1540" t="n">
        <v>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s="2" t="inlineStr"/>
    </row>
    <row r="1541" ht="15" customHeight="1">
      <c r="A1541" t="inlineStr">
        <is>
          <t>A 6850-2026</t>
        </is>
      </c>
      <c r="B1541" t="inlineStr">
        <is>
          <t>avverkningsanmälan</t>
        </is>
      </c>
      <c r="C1541" t="inlineStr">
        <is>
          <t>Föryngringsavverkning</t>
        </is>
      </c>
      <c r="D1541" s="1" t="n">
        <v>46057</v>
      </c>
      <c r="E1541" s="1" t="n">
        <v>46313</v>
      </c>
      <c r="F1541" t="inlineStr">
        <is>
          <t>GÄVLEBORGS LÄN</t>
        </is>
      </c>
      <c r="G1541" t="inlineStr">
        <is>
          <t>BOLLNÄS</t>
        </is>
      </c>
      <c r="I1541" t="n">
        <v>3.8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s="2" t="inlineStr"/>
    </row>
    <row r="1542" ht="15" customHeight="1">
      <c r="A1542" t="inlineStr">
        <is>
          <t>A 7878-2026</t>
        </is>
      </c>
      <c r="B1542" t="inlineStr">
        <is>
          <t>avverkningsanmälan</t>
        </is>
      </c>
      <c r="C1542" t="inlineStr">
        <is>
          <t>Föryngringsavverkning</t>
        </is>
      </c>
      <c r="D1542" s="1" t="n">
        <v>46063</v>
      </c>
      <c r="E1542" s="1" t="n">
        <v>46313</v>
      </c>
      <c r="F1542" t="inlineStr">
        <is>
          <t>GÄVLEBORGS LÄN</t>
        </is>
      </c>
      <c r="G1542" t="inlineStr">
        <is>
          <t>BOLLNÄS</t>
        </is>
      </c>
      <c r="I1542" t="n">
        <v>2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s="2" t="inlineStr"/>
    </row>
    <row r="1543" ht="15" customHeight="1">
      <c r="A1543" t="inlineStr">
        <is>
          <t>A 15858-2026</t>
        </is>
      </c>
      <c r="B1543" t="inlineStr">
        <is>
          <t>avverkningsanmälan</t>
        </is>
      </c>
      <c r="C1543" t="inlineStr">
        <is>
          <t>Föryngringsavverkning</t>
        </is>
      </c>
      <c r="D1543" s="1" t="n">
        <v>46107</v>
      </c>
      <c r="E1543" s="1" t="n">
        <v>46313</v>
      </c>
      <c r="F1543" t="inlineStr">
        <is>
          <t>GÄVLEBORGS LÄN</t>
        </is>
      </c>
      <c r="G1543" t="inlineStr">
        <is>
          <t>BOLLNÄS</t>
        </is>
      </c>
      <c r="H1543" t="inlineStr">
        <is>
          <t>Bergvik skog väst AB</t>
        </is>
      </c>
      <c r="I1543" t="n">
        <v>6.4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s="2" t="inlineStr"/>
    </row>
    <row r="1544" ht="15" customHeight="1">
      <c r="A1544" t="inlineStr">
        <is>
          <t>A 30274-2026</t>
        </is>
      </c>
      <c r="B1544" t="inlineStr">
        <is>
          <t>avverkningsanmälan</t>
        </is>
      </c>
      <c r="C1544" t="inlineStr">
        <is>
          <t>Föryngringsavverkning</t>
        </is>
      </c>
      <c r="D1544" s="1" t="n">
        <v>46206</v>
      </c>
      <c r="E1544" s="1" t="n">
        <v>46313</v>
      </c>
      <c r="F1544" t="inlineStr">
        <is>
          <t>GÄVLEBORGS LÄN</t>
        </is>
      </c>
      <c r="G1544" t="inlineStr">
        <is>
          <t>BOLLNÄS</t>
        </is>
      </c>
      <c r="I1544" t="n">
        <v>1.3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s="2" t="inlineStr"/>
    </row>
    <row r="1545" ht="15" customHeight="1">
      <c r="A1545" t="inlineStr">
        <is>
          <t>A 20282-2026</t>
        </is>
      </c>
      <c r="B1545" t="inlineStr">
        <is>
          <t>avverkningsanmälan</t>
        </is>
      </c>
      <c r="C1545" t="inlineStr">
        <is>
          <t>Föryngringsavverkning</t>
        </is>
      </c>
      <c r="D1545" s="1" t="n">
        <v>46139</v>
      </c>
      <c r="E1545" s="1" t="n">
        <v>46313</v>
      </c>
      <c r="F1545" t="inlineStr">
        <is>
          <t>GÄVLEBORGS LÄN</t>
        </is>
      </c>
      <c r="G1545" t="inlineStr">
        <is>
          <t>BOLLNÄS</t>
        </is>
      </c>
      <c r="I1545" t="n">
        <v>0.7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s="2" t="inlineStr"/>
    </row>
    <row r="1546" ht="15" customHeight="1">
      <c r="A1546" t="inlineStr">
        <is>
          <t>A 51797-2023</t>
        </is>
      </c>
      <c r="B1546" t="inlineStr">
        <is>
          <t>avverkningsanmälan</t>
        </is>
      </c>
      <c r="C1546" t="inlineStr">
        <is>
          <t>Föryngringsavverkning</t>
        </is>
      </c>
      <c r="D1546" s="1" t="n">
        <v>45222</v>
      </c>
      <c r="E1546" s="1" t="n">
        <v>46313</v>
      </c>
      <c r="F1546" t="inlineStr">
        <is>
          <t>GÄVLEBORGS LÄN</t>
        </is>
      </c>
      <c r="G1546" t="inlineStr">
        <is>
          <t>BOLLNÄS</t>
        </is>
      </c>
      <c r="I1546" t="n">
        <v>1.6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s="2" t="inlineStr"/>
    </row>
    <row r="1547" ht="15" customHeight="1">
      <c r="A1547" t="inlineStr">
        <is>
          <t>A 15147-2023</t>
        </is>
      </c>
      <c r="B1547" t="inlineStr">
        <is>
          <t>avverkningsanmälan</t>
        </is>
      </c>
      <c r="C1547" t="inlineStr">
        <is>
          <t>Föryngringsavverkning</t>
        </is>
      </c>
      <c r="D1547" s="1" t="n">
        <v>45016</v>
      </c>
      <c r="E1547" s="1" t="n">
        <v>46313</v>
      </c>
      <c r="F1547" t="inlineStr">
        <is>
          <t>GÄVLEBORGS LÄN</t>
        </is>
      </c>
      <c r="G1547" t="inlineStr">
        <is>
          <t>BOLLNÄS</t>
        </is>
      </c>
      <c r="I1547" t="n">
        <v>3.1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s="2" t="inlineStr"/>
    </row>
    <row r="1548" ht="15" customHeight="1">
      <c r="A1548" t="inlineStr">
        <is>
          <t>A 19623-2026</t>
        </is>
      </c>
      <c r="B1548" t="inlineStr">
        <is>
          <t>avverkningsanmälan</t>
        </is>
      </c>
      <c r="C1548" t="inlineStr">
        <is>
          <t>Föryngringsavverkning</t>
        </is>
      </c>
      <c r="D1548" s="1" t="n">
        <v>46134</v>
      </c>
      <c r="E1548" s="1" t="n">
        <v>46313</v>
      </c>
      <c r="F1548" t="inlineStr">
        <is>
          <t>GÄVLEBORGS LÄN</t>
        </is>
      </c>
      <c r="G1548" t="inlineStr">
        <is>
          <t>BOLLNÄS</t>
        </is>
      </c>
      <c r="I1548" t="n">
        <v>1.3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s="2" t="inlineStr"/>
    </row>
    <row r="1549" ht="15" customHeight="1">
      <c r="A1549" t="inlineStr">
        <is>
          <t>A 14623-2023</t>
        </is>
      </c>
      <c r="B1549" t="inlineStr">
        <is>
          <t>avverkningsanmälan</t>
        </is>
      </c>
      <c r="C1549" t="inlineStr">
        <is>
          <t>Föryngringsavverkning</t>
        </is>
      </c>
      <c r="D1549" s="1" t="n">
        <v>45013</v>
      </c>
      <c r="E1549" s="1" t="n">
        <v>46313</v>
      </c>
      <c r="F1549" t="inlineStr">
        <is>
          <t>GÄVLEBORGS LÄN</t>
        </is>
      </c>
      <c r="G1549" t="inlineStr">
        <is>
          <t>BOLLNÄS</t>
        </is>
      </c>
      <c r="I1549" t="n">
        <v>5.3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s="2" t="inlineStr"/>
    </row>
    <row r="1550" ht="15" customHeight="1">
      <c r="A1550" t="inlineStr">
        <is>
          <t>A 4908-2026</t>
        </is>
      </c>
      <c r="B1550" t="inlineStr">
        <is>
          <t>avverkningsanmälan</t>
        </is>
      </c>
      <c r="C1550" t="inlineStr">
        <is>
          <t>Föryngringsavverkning</t>
        </is>
      </c>
      <c r="D1550" s="1" t="n">
        <v>46048</v>
      </c>
      <c r="E1550" s="1" t="n">
        <v>46313</v>
      </c>
      <c r="F1550" t="inlineStr">
        <is>
          <t>GÄVLEBORGS LÄN</t>
        </is>
      </c>
      <c r="G1550" t="inlineStr">
        <is>
          <t>BOLLNÄS</t>
        </is>
      </c>
      <c r="I1550" t="n">
        <v>2.3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s="2" t="inlineStr"/>
    </row>
    <row r="1551" ht="15" customHeight="1">
      <c r="A1551" t="inlineStr">
        <is>
          <t>A 5876-2026</t>
        </is>
      </c>
      <c r="B1551" t="inlineStr">
        <is>
          <t>avverkningsanmälan</t>
        </is>
      </c>
      <c r="C1551" t="inlineStr">
        <is>
          <t>Föryngringsavverkning</t>
        </is>
      </c>
      <c r="D1551" s="1" t="n">
        <v>46052</v>
      </c>
      <c r="E1551" s="1" t="n">
        <v>46313</v>
      </c>
      <c r="F1551" t="inlineStr">
        <is>
          <t>GÄVLEBORGS LÄN</t>
        </is>
      </c>
      <c r="G1551" t="inlineStr">
        <is>
          <t>BOLLNÄS</t>
        </is>
      </c>
      <c r="I1551" t="n">
        <v>9.9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s="2" t="inlineStr"/>
    </row>
    <row r="1552" ht="15" customHeight="1">
      <c r="A1552" t="inlineStr">
        <is>
          <t>A 7309-2026</t>
        </is>
      </c>
      <c r="B1552" t="inlineStr">
        <is>
          <t>avverkningsanmälan</t>
        </is>
      </c>
      <c r="C1552" t="inlineStr">
        <is>
          <t>Föryngringsavverkning</t>
        </is>
      </c>
      <c r="D1552" s="1" t="n">
        <v>46058</v>
      </c>
      <c r="E1552" s="1" t="n">
        <v>46313</v>
      </c>
      <c r="F1552" t="inlineStr">
        <is>
          <t>GÄVLEBORGS LÄN</t>
        </is>
      </c>
      <c r="G1552" t="inlineStr">
        <is>
          <t>BOLLNÄS</t>
        </is>
      </c>
      <c r="I1552" t="n">
        <v>1.6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s="2" t="inlineStr"/>
    </row>
    <row r="1553" ht="15" customHeight="1">
      <c r="A1553" t="inlineStr">
        <is>
          <t>A 45598-2024</t>
        </is>
      </c>
      <c r="B1553" t="inlineStr">
        <is>
          <t>avverkningsanmälan</t>
        </is>
      </c>
      <c r="C1553" t="inlineStr">
        <is>
          <t>Avverkning för annat ändamål</t>
        </is>
      </c>
      <c r="D1553" s="1" t="n">
        <v>45579</v>
      </c>
      <c r="E1553" s="1" t="n">
        <v>46313</v>
      </c>
      <c r="F1553" t="inlineStr">
        <is>
          <t>GÄVLEBORGS LÄN</t>
        </is>
      </c>
      <c r="G1553" t="inlineStr">
        <is>
          <t>BOLLNÄS</t>
        </is>
      </c>
      <c r="H1553" t="inlineStr">
        <is>
          <t>Kommuner</t>
        </is>
      </c>
      <c r="I1553" t="n">
        <v>1.1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s="2" t="inlineStr"/>
    </row>
    <row r="1554" ht="15" customHeight="1">
      <c r="A1554" t="inlineStr">
        <is>
          <t>A 30273-2026</t>
        </is>
      </c>
      <c r="B1554" t="inlineStr">
        <is>
          <t>avverkningsanmälan</t>
        </is>
      </c>
      <c r="C1554" t="inlineStr">
        <is>
          <t>Föryngringsavverkning</t>
        </is>
      </c>
      <c r="D1554" s="1" t="n">
        <v>46206</v>
      </c>
      <c r="E1554" s="1" t="n">
        <v>46313</v>
      </c>
      <c r="F1554" t="inlineStr">
        <is>
          <t>GÄVLEBORGS LÄN</t>
        </is>
      </c>
      <c r="G1554" t="inlineStr">
        <is>
          <t>BOLLNÄS</t>
        </is>
      </c>
      <c r="I1554" t="n">
        <v>1.9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s="2" t="inlineStr"/>
    </row>
    <row r="1555" ht="15" customHeight="1">
      <c r="A1555" t="inlineStr">
        <is>
          <t>A 30278-2026</t>
        </is>
      </c>
      <c r="B1555" t="inlineStr">
        <is>
          <t>avverkningsanmälan</t>
        </is>
      </c>
      <c r="C1555" t="inlineStr">
        <is>
          <t>Föryngringsavverkning</t>
        </is>
      </c>
      <c r="D1555" s="1" t="n">
        <v>46206</v>
      </c>
      <c r="E1555" s="1" t="n">
        <v>46313</v>
      </c>
      <c r="F1555" t="inlineStr">
        <is>
          <t>GÄVLEBORGS LÄN</t>
        </is>
      </c>
      <c r="G1555" t="inlineStr">
        <is>
          <t>BOLLNÄS</t>
        </is>
      </c>
      <c r="I1555" t="n">
        <v>3.9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s="2" t="inlineStr"/>
    </row>
    <row r="1556" ht="15" customHeight="1">
      <c r="A1556" t="inlineStr">
        <is>
          <t>A 30275-2026</t>
        </is>
      </c>
      <c r="B1556" t="inlineStr">
        <is>
          <t>avverkningsanmälan</t>
        </is>
      </c>
      <c r="C1556" t="inlineStr">
        <is>
          <t>Föryngringsavverkning</t>
        </is>
      </c>
      <c r="D1556" s="1" t="n">
        <v>46206</v>
      </c>
      <c r="E1556" s="1" t="n">
        <v>46313</v>
      </c>
      <c r="F1556" t="inlineStr">
        <is>
          <t>GÄVLEBORGS LÄN</t>
        </is>
      </c>
      <c r="G1556" t="inlineStr">
        <is>
          <t>BOLLNÄS</t>
        </is>
      </c>
      <c r="I1556" t="n">
        <v>0.7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s="2" t="inlineStr"/>
    </row>
    <row r="1557" ht="15" customHeight="1">
      <c r="A1557" t="inlineStr">
        <is>
          <t>A 29989-2026</t>
        </is>
      </c>
      <c r="B1557" t="inlineStr">
        <is>
          <t>avverkningsanmälan</t>
        </is>
      </c>
      <c r="C1557" t="inlineStr">
        <is>
          <t>Föryngringsavverkning</t>
        </is>
      </c>
      <c r="D1557" s="1" t="n">
        <v>46205</v>
      </c>
      <c r="E1557" s="1" t="n">
        <v>46313</v>
      </c>
      <c r="F1557" t="inlineStr">
        <is>
          <t>GÄVLEBORGS LÄN</t>
        </is>
      </c>
      <c r="G1557" t="inlineStr">
        <is>
          <t>BOLLNÄS</t>
        </is>
      </c>
      <c r="I1557" t="n">
        <v>2.2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s="2" t="inlineStr"/>
    </row>
    <row r="1558" ht="15" customHeight="1">
      <c r="A1558" t="inlineStr">
        <is>
          <t>A 11361-2026</t>
        </is>
      </c>
      <c r="B1558" t="inlineStr">
        <is>
          <t>avverkningsanmälan</t>
        </is>
      </c>
      <c r="C1558" t="inlineStr">
        <is>
          <t>Föryngringsavverkning</t>
        </is>
      </c>
      <c r="D1558" s="1" t="n">
        <v>46083</v>
      </c>
      <c r="E1558" s="1" t="n">
        <v>46313</v>
      </c>
      <c r="F1558" t="inlineStr">
        <is>
          <t>GÄVLEBORGS LÄN</t>
        </is>
      </c>
      <c r="G1558" t="inlineStr">
        <is>
          <t>BOLLNÄS</t>
        </is>
      </c>
      <c r="I1558" t="n">
        <v>0.9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s="2" t="inlineStr"/>
    </row>
    <row r="1559" ht="15" customHeight="1">
      <c r="A1559" t="inlineStr">
        <is>
          <t>A 29857-2026</t>
        </is>
      </c>
      <c r="B1559" t="inlineStr">
        <is>
          <t>avverkningsanmälan</t>
        </is>
      </c>
      <c r="C1559" t="inlineStr">
        <is>
          <t>Föryngringsavverkning</t>
        </is>
      </c>
      <c r="D1559" s="1" t="n">
        <v>46205</v>
      </c>
      <c r="E1559" s="1" t="n">
        <v>46313</v>
      </c>
      <c r="F1559" t="inlineStr">
        <is>
          <t>GÄVLEBORGS LÄN</t>
        </is>
      </c>
      <c r="G1559" t="inlineStr">
        <is>
          <t>BOLLNÄS</t>
        </is>
      </c>
      <c r="I1559" t="n">
        <v>1.7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s="2" t="inlineStr"/>
    </row>
    <row r="1560" ht="15" customHeight="1">
      <c r="A1560" t="inlineStr">
        <is>
          <t>A 30139-2026</t>
        </is>
      </c>
      <c r="B1560" t="inlineStr">
        <is>
          <t>avverkningsanmälan</t>
        </is>
      </c>
      <c r="C1560" t="inlineStr">
        <is>
          <t>Föryngringsavverkning</t>
        </is>
      </c>
      <c r="D1560" s="1" t="n">
        <v>46206</v>
      </c>
      <c r="E1560" s="1" t="n">
        <v>46313</v>
      </c>
      <c r="F1560" t="inlineStr">
        <is>
          <t>GÄVLEBORGS LÄN</t>
        </is>
      </c>
      <c r="G1560" t="inlineStr">
        <is>
          <t>BOLLNÄS</t>
        </is>
      </c>
      <c r="I1560" t="n">
        <v>3.8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s="2" t="inlineStr"/>
    </row>
    <row r="1561" ht="15" customHeight="1">
      <c r="A1561" t="inlineStr">
        <is>
          <t>A 30298-2026</t>
        </is>
      </c>
      <c r="B1561" t="inlineStr">
        <is>
          <t>avverkningsanmälan</t>
        </is>
      </c>
      <c r="C1561" t="inlineStr">
        <is>
          <t>Föryngringsavverkning</t>
        </is>
      </c>
      <c r="D1561" s="1" t="n">
        <v>46206</v>
      </c>
      <c r="E1561" s="1" t="n">
        <v>46313</v>
      </c>
      <c r="F1561" t="inlineStr">
        <is>
          <t>GÄVLEBORGS LÄN</t>
        </is>
      </c>
      <c r="G1561" t="inlineStr">
        <is>
          <t>BOLLNÄS</t>
        </is>
      </c>
      <c r="I1561" t="n">
        <v>2.1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s="2" t="inlineStr"/>
    </row>
    <row r="1562" ht="15" customHeight="1">
      <c r="A1562" t="inlineStr">
        <is>
          <t>A 2311-2024</t>
        </is>
      </c>
      <c r="B1562" t="inlineStr">
        <is>
          <t>avverkningsanmälan</t>
        </is>
      </c>
      <c r="C1562" t="inlineStr">
        <is>
          <t>Avverkning för att bevara och utveckla /försöksver</t>
        </is>
      </c>
      <c r="D1562" s="1" t="n">
        <v>45310</v>
      </c>
      <c r="E1562" s="1" t="n">
        <v>46313</v>
      </c>
      <c r="F1562" t="inlineStr">
        <is>
          <t>GÄVLEBORGS LÄN</t>
        </is>
      </c>
      <c r="G1562" t="inlineStr">
        <is>
          <t>BOLLNÄS</t>
        </is>
      </c>
      <c r="H1562" t="inlineStr">
        <is>
          <t>Övriga statliga verk och myndigheter</t>
        </is>
      </c>
      <c r="I1562" t="n">
        <v>1.1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s="2" t="inlineStr"/>
    </row>
    <row r="1563" ht="15" customHeight="1">
      <c r="A1563" t="inlineStr">
        <is>
          <t>A 30383-2026</t>
        </is>
      </c>
      <c r="B1563" t="inlineStr">
        <is>
          <t>avverkningsanmälan</t>
        </is>
      </c>
      <c r="C1563" t="inlineStr">
        <is>
          <t>Föryngringsavverkning</t>
        </is>
      </c>
      <c r="D1563" s="1" t="n">
        <v>46209</v>
      </c>
      <c r="E1563" s="1" t="n">
        <v>46313</v>
      </c>
      <c r="F1563" t="inlineStr">
        <is>
          <t>GÄVLEBORGS LÄN</t>
        </is>
      </c>
      <c r="G1563" t="inlineStr">
        <is>
          <t>BOLLNÄS</t>
        </is>
      </c>
      <c r="I1563" t="n">
        <v>0.9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s="2" t="inlineStr"/>
    </row>
    <row r="1564" ht="15" customHeight="1">
      <c r="A1564" t="inlineStr">
        <is>
          <t>A 14050-2023</t>
        </is>
      </c>
      <c r="B1564" t="inlineStr">
        <is>
          <t>avverkningsanmälan</t>
        </is>
      </c>
      <c r="C1564" t="inlineStr">
        <is>
          <t>Föryngringsavverkning</t>
        </is>
      </c>
      <c r="D1564" s="1" t="n">
        <v>45008</v>
      </c>
      <c r="E1564" s="1" t="n">
        <v>46313</v>
      </c>
      <c r="F1564" t="inlineStr">
        <is>
          <t>GÄVLEBORGS LÄN</t>
        </is>
      </c>
      <c r="G1564" t="inlineStr">
        <is>
          <t>BOLLNÄS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s="2" t="inlineStr"/>
    </row>
    <row r="1565" ht="15" customHeight="1">
      <c r="A1565" t="inlineStr">
        <is>
          <t>A 31385-2023</t>
        </is>
      </c>
      <c r="B1565" t="inlineStr">
        <is>
          <t>avverkningsanmälan</t>
        </is>
      </c>
      <c r="C1565" t="inlineStr">
        <is>
          <t>Föryngringsavverkning</t>
        </is>
      </c>
      <c r="D1565" s="1" t="n">
        <v>45114</v>
      </c>
      <c r="E1565" s="1" t="n">
        <v>46313</v>
      </c>
      <c r="F1565" t="inlineStr">
        <is>
          <t>GÄVLEBORGS LÄN</t>
        </is>
      </c>
      <c r="G1565" t="inlineStr">
        <is>
          <t>BOLLNÄS</t>
        </is>
      </c>
      <c r="I1565" t="n">
        <v>6.9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s="2" t="inlineStr"/>
    </row>
    <row r="1566" ht="15" customHeight="1">
      <c r="A1566" t="inlineStr">
        <is>
          <t>A 61220-2022</t>
        </is>
      </c>
      <c r="B1566" t="inlineStr">
        <is>
          <t>avverkningsanmälan</t>
        </is>
      </c>
      <c r="C1566" t="inlineStr">
        <is>
          <t>Föryngringsavverkning</t>
        </is>
      </c>
      <c r="D1566" s="1" t="n">
        <v>44915</v>
      </c>
      <c r="E1566" s="1" t="n">
        <v>46313</v>
      </c>
      <c r="F1566" t="inlineStr">
        <is>
          <t>GÄVLEBORGS LÄN</t>
        </is>
      </c>
      <c r="G1566" t="inlineStr">
        <is>
          <t>BOLLNÄS</t>
        </is>
      </c>
      <c r="I1566" t="n">
        <v>0.8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s="2" t="inlineStr"/>
    </row>
    <row r="1567" ht="15" customHeight="1">
      <c r="A1567" t="inlineStr">
        <is>
          <t>A 30827-2026</t>
        </is>
      </c>
      <c r="B1567" t="inlineStr">
        <is>
          <t>avverkningsanmälan</t>
        </is>
      </c>
      <c r="C1567" t="inlineStr">
        <is>
          <t>Föryngringsavverkning</t>
        </is>
      </c>
      <c r="D1567" s="1" t="n">
        <v>46212</v>
      </c>
      <c r="E1567" s="1" t="n">
        <v>46313</v>
      </c>
      <c r="F1567" t="inlineStr">
        <is>
          <t>GÄVLEBORGS LÄN</t>
        </is>
      </c>
      <c r="G1567" t="inlineStr">
        <is>
          <t>BOLLNÄS</t>
        </is>
      </c>
      <c r="I1567" t="n">
        <v>0.6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s="2" t="inlineStr"/>
    </row>
    <row r="1568" ht="15" customHeight="1">
      <c r="A1568" t="inlineStr">
        <is>
          <t>A 30653-2026</t>
        </is>
      </c>
      <c r="B1568" t="inlineStr">
        <is>
          <t>avverkningsanmälan</t>
        </is>
      </c>
      <c r="C1568" t="inlineStr">
        <is>
          <t>Föryngringsavverkning</t>
        </is>
      </c>
      <c r="D1568" s="1" t="n">
        <v>46211</v>
      </c>
      <c r="E1568" s="1" t="n">
        <v>46313</v>
      </c>
      <c r="F1568" t="inlineStr">
        <is>
          <t>GÄVLEBORGS LÄN</t>
        </is>
      </c>
      <c r="G1568" t="inlineStr">
        <is>
          <t>BOLLNÄS</t>
        </is>
      </c>
      <c r="H1568" t="inlineStr">
        <is>
          <t>Bergvik skog väst AB</t>
        </is>
      </c>
      <c r="I1568" t="n">
        <v>1.3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s="2" t="inlineStr"/>
    </row>
    <row r="1569" ht="15" customHeight="1">
      <c r="A1569" t="inlineStr">
        <is>
          <t>A 30776-2026</t>
        </is>
      </c>
      <c r="B1569" t="inlineStr">
        <is>
          <t>avverkningsanmälan</t>
        </is>
      </c>
      <c r="C1569" t="inlineStr">
        <is>
          <t>Föryngringsavverkning</t>
        </is>
      </c>
      <c r="D1569" s="1" t="n">
        <v>46212</v>
      </c>
      <c r="E1569" s="1" t="n">
        <v>46313</v>
      </c>
      <c r="F1569" t="inlineStr">
        <is>
          <t>GÄVLEBORGS LÄN</t>
        </is>
      </c>
      <c r="G1569" t="inlineStr">
        <is>
          <t>BOLLNÄS</t>
        </is>
      </c>
      <c r="I1569" t="n">
        <v>1.1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s="2" t="inlineStr"/>
    </row>
    <row r="1570" ht="15" customHeight="1">
      <c r="A1570" t="inlineStr">
        <is>
          <t>A 30786-2026</t>
        </is>
      </c>
      <c r="B1570" t="inlineStr">
        <is>
          <t>avverkningsanmälan</t>
        </is>
      </c>
      <c r="C1570" t="inlineStr">
        <is>
          <t>Föryngringsavverkning</t>
        </is>
      </c>
      <c r="D1570" s="1" t="n">
        <v>46212</v>
      </c>
      <c r="E1570" s="1" t="n">
        <v>46313</v>
      </c>
      <c r="F1570" t="inlineStr">
        <is>
          <t>GÄVLEBORGS LÄN</t>
        </is>
      </c>
      <c r="G1570" t="inlineStr">
        <is>
          <t>BOLLNÄS</t>
        </is>
      </c>
      <c r="I1570" t="n">
        <v>1.2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s="2" t="inlineStr"/>
    </row>
    <row r="1571" ht="15" customHeight="1">
      <c r="A1571" t="inlineStr">
        <is>
          <t>A 30797-2026</t>
        </is>
      </c>
      <c r="B1571" t="inlineStr">
        <is>
          <t>avverkningsanmälan</t>
        </is>
      </c>
      <c r="C1571" t="inlineStr">
        <is>
          <t>Föryngringsavverkning</t>
        </is>
      </c>
      <c r="D1571" s="1" t="n">
        <v>46212</v>
      </c>
      <c r="E1571" s="1" t="n">
        <v>46313</v>
      </c>
      <c r="F1571" t="inlineStr">
        <is>
          <t>GÄVLEBORGS LÄN</t>
        </is>
      </c>
      <c r="G1571" t="inlineStr">
        <is>
          <t>BOLLNÄS</t>
        </is>
      </c>
      <c r="I1571" t="n">
        <v>2.8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s="2" t="inlineStr"/>
    </row>
    <row r="1572" ht="15" customHeight="1">
      <c r="A1572" t="inlineStr">
        <is>
          <t>A 30798-2026</t>
        </is>
      </c>
      <c r="B1572" t="inlineStr">
        <is>
          <t>avverkningsanmälan</t>
        </is>
      </c>
      <c r="C1572" t="inlineStr">
        <is>
          <t>Föryngringsavverkning</t>
        </is>
      </c>
      <c r="D1572" s="1" t="n">
        <v>46212</v>
      </c>
      <c r="E1572" s="1" t="n">
        <v>46313</v>
      </c>
      <c r="F1572" t="inlineStr">
        <is>
          <t>GÄVLEBORGS LÄN</t>
        </is>
      </c>
      <c r="G1572" t="inlineStr">
        <is>
          <t>BOLLNÄS</t>
        </is>
      </c>
      <c r="I1572" t="n">
        <v>0.5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s="2" t="inlineStr"/>
    </row>
    <row r="1573" ht="15" customHeight="1">
      <c r="A1573" t="inlineStr">
        <is>
          <t>A 30763-2026</t>
        </is>
      </c>
      <c r="B1573" t="inlineStr">
        <is>
          <t>avverkningsanmälan</t>
        </is>
      </c>
      <c r="C1573" t="inlineStr">
        <is>
          <t>Föryngringsavverkning</t>
        </is>
      </c>
      <c r="D1573" s="1" t="n">
        <v>46212</v>
      </c>
      <c r="E1573" s="1" t="n">
        <v>46313</v>
      </c>
      <c r="F1573" t="inlineStr">
        <is>
          <t>GÄVLEBORGS LÄN</t>
        </is>
      </c>
      <c r="G1573" t="inlineStr">
        <is>
          <t>BOLLNÄS</t>
        </is>
      </c>
      <c r="I1573" t="n">
        <v>0.6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s="2" t="inlineStr"/>
    </row>
    <row r="1574" ht="15" customHeight="1">
      <c r="A1574" t="inlineStr">
        <is>
          <t>A 30785-2026</t>
        </is>
      </c>
      <c r="B1574" t="inlineStr">
        <is>
          <t>avverkningsanmälan</t>
        </is>
      </c>
      <c r="C1574" t="inlineStr">
        <is>
          <t>Föryngringsavverkning</t>
        </is>
      </c>
      <c r="D1574" s="1" t="n">
        <v>46212</v>
      </c>
      <c r="E1574" s="1" t="n">
        <v>46313</v>
      </c>
      <c r="F1574" t="inlineStr">
        <is>
          <t>GÄVLEBORGS LÄN</t>
        </is>
      </c>
      <c r="G1574" t="inlineStr">
        <is>
          <t>BOLLNÄS</t>
        </is>
      </c>
      <c r="I1574" t="n">
        <v>2.3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s="2" t="inlineStr"/>
    </row>
    <row r="1575" ht="15" customHeight="1">
      <c r="A1575" t="inlineStr">
        <is>
          <t>A 30788-2026</t>
        </is>
      </c>
      <c r="B1575" t="inlineStr">
        <is>
          <t>avverkningsanmälan</t>
        </is>
      </c>
      <c r="C1575" t="inlineStr">
        <is>
          <t>Föryngringsavverkning</t>
        </is>
      </c>
      <c r="D1575" s="1" t="n">
        <v>46212</v>
      </c>
      <c r="E1575" s="1" t="n">
        <v>46313</v>
      </c>
      <c r="F1575" t="inlineStr">
        <is>
          <t>GÄVLEBORGS LÄN</t>
        </is>
      </c>
      <c r="G1575" t="inlineStr">
        <is>
          <t>BOLLNÄS</t>
        </is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s="2" t="inlineStr"/>
    </row>
    <row r="1576" ht="15" customHeight="1">
      <c r="A1576" t="inlineStr">
        <is>
          <t>A 30647-2026</t>
        </is>
      </c>
      <c r="B1576" t="inlineStr">
        <is>
          <t>avverkningsanmälan</t>
        </is>
      </c>
      <c r="C1576" t="inlineStr">
        <is>
          <t>Föryngringsavverkning</t>
        </is>
      </c>
      <c r="D1576" s="1" t="n">
        <v>46211</v>
      </c>
      <c r="E1576" s="1" t="n">
        <v>46313</v>
      </c>
      <c r="F1576" t="inlineStr">
        <is>
          <t>GÄVLEBORGS LÄN</t>
        </is>
      </c>
      <c r="G1576" t="inlineStr">
        <is>
          <t>BOLLNÄS</t>
        </is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s="2" t="inlineStr"/>
    </row>
    <row r="1577" ht="15" customHeight="1">
      <c r="A1577" t="inlineStr">
        <is>
          <t>A 30764-2026</t>
        </is>
      </c>
      <c r="B1577" t="inlineStr">
        <is>
          <t>avverkningsanmälan</t>
        </is>
      </c>
      <c r="C1577" t="inlineStr">
        <is>
          <t>Föryngringsavverkning</t>
        </is>
      </c>
      <c r="D1577" s="1" t="n">
        <v>46212</v>
      </c>
      <c r="E1577" s="1" t="n">
        <v>46313</v>
      </c>
      <c r="F1577" t="inlineStr">
        <is>
          <t>GÄVLEBORGS LÄN</t>
        </is>
      </c>
      <c r="G1577" t="inlineStr">
        <is>
          <t>BOLLNÄS</t>
        </is>
      </c>
      <c r="I1577" t="n">
        <v>1.2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s="2" t="inlineStr"/>
    </row>
    <row r="1578" ht="15" customHeight="1">
      <c r="A1578" t="inlineStr">
        <is>
          <t>A 30766-2026</t>
        </is>
      </c>
      <c r="B1578" t="inlineStr">
        <is>
          <t>avverkningsanmälan</t>
        </is>
      </c>
      <c r="C1578" t="inlineStr">
        <is>
          <t>Föryngringsavverkning</t>
        </is>
      </c>
      <c r="D1578" s="1" t="n">
        <v>46212</v>
      </c>
      <c r="E1578" s="1" t="n">
        <v>46313</v>
      </c>
      <c r="F1578" t="inlineStr">
        <is>
          <t>GÄVLEBORGS LÄN</t>
        </is>
      </c>
      <c r="G1578" t="inlineStr">
        <is>
          <t>BOLLNÄS</t>
        </is>
      </c>
      <c r="I1578" t="n">
        <v>2.7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s="2" t="inlineStr"/>
    </row>
    <row r="1579" ht="15" customHeight="1">
      <c r="A1579" t="inlineStr">
        <is>
          <t>A 30777-2026</t>
        </is>
      </c>
      <c r="B1579" t="inlineStr">
        <is>
          <t>avverkningsanmälan</t>
        </is>
      </c>
      <c r="C1579" t="inlineStr">
        <is>
          <t>Föryngringsavverkning</t>
        </is>
      </c>
      <c r="D1579" s="1" t="n">
        <v>46212</v>
      </c>
      <c r="E1579" s="1" t="n">
        <v>46313</v>
      </c>
      <c r="F1579" t="inlineStr">
        <is>
          <t>GÄVLEBORGS LÄN</t>
        </is>
      </c>
      <c r="G1579" t="inlineStr">
        <is>
          <t>BOLLNÄS</t>
        </is>
      </c>
      <c r="I1579" t="n">
        <v>1.3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s="2" t="inlineStr"/>
    </row>
    <row r="1580" ht="15" customHeight="1">
      <c r="A1580" t="inlineStr">
        <is>
          <t>A 30787-2026</t>
        </is>
      </c>
      <c r="B1580" t="inlineStr">
        <is>
          <t>avverkningsanmälan</t>
        </is>
      </c>
      <c r="C1580" t="inlineStr">
        <is>
          <t>Föryngringsavverkning</t>
        </is>
      </c>
      <c r="D1580" s="1" t="n">
        <v>46212</v>
      </c>
      <c r="E1580" s="1" t="n">
        <v>46313</v>
      </c>
      <c r="F1580" t="inlineStr">
        <is>
          <t>GÄVLEBORGS LÄN</t>
        </is>
      </c>
      <c r="G1580" t="inlineStr">
        <is>
          <t>BOLLNÄS</t>
        </is>
      </c>
      <c r="I1580" t="n">
        <v>3.7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s="2" t="inlineStr"/>
    </row>
    <row r="1581" ht="15" customHeight="1">
      <c r="A1581" t="inlineStr">
        <is>
          <t>A 595-2025</t>
        </is>
      </c>
      <c r="B1581" t="inlineStr">
        <is>
          <t>avverkningsanmälan</t>
        </is>
      </c>
      <c r="C1581" t="inlineStr">
        <is>
          <t>Föryngringsavverkning</t>
        </is>
      </c>
      <c r="D1581" s="1" t="n">
        <v>45664</v>
      </c>
      <c r="E1581" s="1" t="n">
        <v>46313</v>
      </c>
      <c r="F1581" t="inlineStr">
        <is>
          <t>GÄVLEBORGS LÄN</t>
        </is>
      </c>
      <c r="G1581" t="inlineStr">
        <is>
          <t>BOLLNÄS</t>
        </is>
      </c>
      <c r="I1581" t="n">
        <v>1.5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s="2" t="inlineStr"/>
    </row>
    <row r="1582" ht="15" customHeight="1">
      <c r="A1582" t="inlineStr">
        <is>
          <t>A 31136-2026</t>
        </is>
      </c>
      <c r="B1582" t="inlineStr">
        <is>
          <t>avverkningsanmälan</t>
        </is>
      </c>
      <c r="C1582" t="inlineStr">
        <is>
          <t>Föryngringsavverkning</t>
        </is>
      </c>
      <c r="D1582" s="1" t="n">
        <v>46216</v>
      </c>
      <c r="E1582" s="1" t="n">
        <v>46313</v>
      </c>
      <c r="F1582" t="inlineStr">
        <is>
          <t>GÄVLEBORGS LÄN</t>
        </is>
      </c>
      <c r="G1582" t="inlineStr">
        <is>
          <t>BOLLNÄS</t>
        </is>
      </c>
      <c r="I1582" t="n">
        <v>0.8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s="2" t="inlineStr"/>
    </row>
    <row r="1583" ht="15" customHeight="1">
      <c r="A1583" t="inlineStr">
        <is>
          <t>A 30916-2026</t>
        </is>
      </c>
      <c r="B1583" t="inlineStr">
        <is>
          <t>avverkningsanmälan</t>
        </is>
      </c>
      <c r="C1583" t="inlineStr">
        <is>
          <t>Föryngringsavverkning</t>
        </is>
      </c>
      <c r="D1583" s="1" t="n">
        <v>46213</v>
      </c>
      <c r="E1583" s="1" t="n">
        <v>46313</v>
      </c>
      <c r="F1583" t="inlineStr">
        <is>
          <t>GÄVLEBORGS LÄN</t>
        </is>
      </c>
      <c r="G1583" t="inlineStr">
        <is>
          <t>BOLLNÄS</t>
        </is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s="2" t="inlineStr"/>
    </row>
    <row r="1584" ht="15" customHeight="1">
      <c r="A1584" t="inlineStr">
        <is>
          <t>A 25177-2023</t>
        </is>
      </c>
      <c r="B1584" t="inlineStr">
        <is>
          <t>avverkningsanmälan</t>
        </is>
      </c>
      <c r="C1584" t="inlineStr">
        <is>
          <t>Föryngringsavverkning</t>
        </is>
      </c>
      <c r="D1584" s="1" t="n">
        <v>45086</v>
      </c>
      <c r="E1584" s="1" t="n">
        <v>46313</v>
      </c>
      <c r="F1584" t="inlineStr">
        <is>
          <t>GÄVLEBORGS LÄN</t>
        </is>
      </c>
      <c r="G1584" t="inlineStr">
        <is>
          <t>BOLLNÄS</t>
        </is>
      </c>
      <c r="H1584" t="inlineStr">
        <is>
          <t>Sveaskog</t>
        </is>
      </c>
      <c r="I1584" t="n">
        <v>2.3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s="2" t="inlineStr"/>
    </row>
    <row r="1585" ht="15" customHeight="1">
      <c r="A1585" t="inlineStr">
        <is>
          <t>A 31030-2026</t>
        </is>
      </c>
      <c r="B1585" t="inlineStr">
        <is>
          <t>avverkningsanmälan</t>
        </is>
      </c>
      <c r="C1585" t="inlineStr">
        <is>
          <t>Föryngringsavverkning</t>
        </is>
      </c>
      <c r="D1585" s="1" t="n">
        <v>46213</v>
      </c>
      <c r="E1585" s="1" t="n">
        <v>46313</v>
      </c>
      <c r="F1585" t="inlineStr">
        <is>
          <t>GÄVLEBORGS LÄN</t>
        </is>
      </c>
      <c r="G1585" t="inlineStr">
        <is>
          <t>BOLLNÄS</t>
        </is>
      </c>
      <c r="I1585" t="n">
        <v>3.1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s="2" t="inlineStr"/>
    </row>
    <row r="1586" ht="15" customHeight="1">
      <c r="A1586" t="inlineStr">
        <is>
          <t>A 31130-2026</t>
        </is>
      </c>
      <c r="B1586" t="inlineStr">
        <is>
          <t>avverkningsanmälan</t>
        </is>
      </c>
      <c r="C1586" t="inlineStr">
        <is>
          <t>Föryngringsavverkning</t>
        </is>
      </c>
      <c r="D1586" s="1" t="n">
        <v>46216</v>
      </c>
      <c r="E1586" s="1" t="n">
        <v>46313</v>
      </c>
      <c r="F1586" t="inlineStr">
        <is>
          <t>GÄVLEBORGS LÄN</t>
        </is>
      </c>
      <c r="G1586" t="inlineStr">
        <is>
          <t>BOLLNÄS</t>
        </is>
      </c>
      <c r="I1586" t="n">
        <v>4.4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s="2" t="inlineStr"/>
    </row>
    <row r="1587" ht="15" customHeight="1">
      <c r="A1587" t="inlineStr">
        <is>
          <t>A 31139-2026</t>
        </is>
      </c>
      <c r="B1587" t="inlineStr">
        <is>
          <t>avverkningsanmälan</t>
        </is>
      </c>
      <c r="C1587" t="inlineStr">
        <is>
          <t>Föryngringsavverkning</t>
        </is>
      </c>
      <c r="D1587" s="1" t="n">
        <v>46216</v>
      </c>
      <c r="E1587" s="1" t="n">
        <v>46313</v>
      </c>
      <c r="F1587" t="inlineStr">
        <is>
          <t>GÄVLEBORGS LÄN</t>
        </is>
      </c>
      <c r="G1587" t="inlineStr">
        <is>
          <t>BOLLNÄS</t>
        </is>
      </c>
      <c r="I1587" t="n">
        <v>7.3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s="2" t="inlineStr"/>
    </row>
    <row r="1588" ht="15" customHeight="1">
      <c r="A1588" t="inlineStr">
        <is>
          <t>A 31128-2026</t>
        </is>
      </c>
      <c r="B1588" t="inlineStr">
        <is>
          <t>avverkningsanmälan</t>
        </is>
      </c>
      <c r="C1588" t="inlineStr">
        <is>
          <t>Föryngringsavverkning</t>
        </is>
      </c>
      <c r="D1588" s="1" t="n">
        <v>46216</v>
      </c>
      <c r="E1588" s="1" t="n">
        <v>46313</v>
      </c>
      <c r="F1588" t="inlineStr">
        <is>
          <t>GÄVLEBORGS LÄN</t>
        </is>
      </c>
      <c r="G1588" t="inlineStr">
        <is>
          <t>BOLLNÄS</t>
        </is>
      </c>
      <c r="I1588" t="n">
        <v>1.6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s="2" t="inlineStr"/>
    </row>
    <row r="1589" ht="15" customHeight="1">
      <c r="A1589" t="inlineStr">
        <is>
          <t>A 31143-2026</t>
        </is>
      </c>
      <c r="B1589" t="inlineStr">
        <is>
          <t>avverkningsanmälan</t>
        </is>
      </c>
      <c r="C1589" t="inlineStr">
        <is>
          <t>Föryngringsavverkning</t>
        </is>
      </c>
      <c r="D1589" s="1" t="n">
        <v>46216</v>
      </c>
      <c r="E1589" s="1" t="n">
        <v>46313</v>
      </c>
      <c r="F1589" t="inlineStr">
        <is>
          <t>GÄVLEBORGS LÄN</t>
        </is>
      </c>
      <c r="G1589" t="inlineStr">
        <is>
          <t>BOLLNÄS</t>
        </is>
      </c>
      <c r="I1589" t="n">
        <v>2.2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s="2" t="inlineStr"/>
    </row>
    <row r="1590" ht="15" customHeight="1">
      <c r="A1590" t="inlineStr">
        <is>
          <t>A 246-2026</t>
        </is>
      </c>
      <c r="B1590" t="inlineStr">
        <is>
          <t>avverkningsanmälan</t>
        </is>
      </c>
      <c r="C1590" t="inlineStr">
        <is>
          <t>Föryngringsavverkning</t>
        </is>
      </c>
      <c r="D1590" s="1" t="n">
        <v>46027</v>
      </c>
      <c r="E1590" s="1" t="n">
        <v>46313</v>
      </c>
      <c r="F1590" t="inlineStr">
        <is>
          <t>GÄVLEBORGS LÄN</t>
        </is>
      </c>
      <c r="G1590" t="inlineStr">
        <is>
          <t>BOLLNÄS</t>
        </is>
      </c>
      <c r="I1590" t="n">
        <v>3.5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s="2" t="inlineStr"/>
    </row>
    <row r="1591" ht="15" customHeight="1">
      <c r="A1591" t="inlineStr">
        <is>
          <t>A 28418-2026</t>
        </is>
      </c>
      <c r="B1591" t="inlineStr">
        <is>
          <t>avverkningsanmälan</t>
        </is>
      </c>
      <c r="C1591" t="inlineStr">
        <is>
          <t>Föryngringsavverkning</t>
        </is>
      </c>
      <c r="D1591" s="1" t="n">
        <v>46197</v>
      </c>
      <c r="E1591" s="1" t="n">
        <v>46313</v>
      </c>
      <c r="F1591" t="inlineStr">
        <is>
          <t>GÄVLEBORGS LÄN</t>
        </is>
      </c>
      <c r="G1591" t="inlineStr">
        <is>
          <t>BOLLNÄS</t>
        </is>
      </c>
      <c r="I1591" t="n">
        <v>1.1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s="2" t="inlineStr"/>
    </row>
    <row r="1592" ht="15" customHeight="1">
      <c r="A1592" t="inlineStr">
        <is>
          <t>A 30900-2026</t>
        </is>
      </c>
      <c r="B1592" t="inlineStr">
        <is>
          <t>avverkningsanmälan</t>
        </is>
      </c>
      <c r="C1592" t="inlineStr">
        <is>
          <t>Föryngringsavverkning</t>
        </is>
      </c>
      <c r="D1592" s="1" t="n">
        <v>46213</v>
      </c>
      <c r="E1592" s="1" t="n">
        <v>46313</v>
      </c>
      <c r="F1592" t="inlineStr">
        <is>
          <t>GÄVLEBORGS LÄN</t>
        </is>
      </c>
      <c r="G1592" t="inlineStr">
        <is>
          <t>BOLLNÄS</t>
        </is>
      </c>
      <c r="H1592" t="inlineStr">
        <is>
          <t>Bergvik skog väst AB</t>
        </is>
      </c>
      <c r="I1592" t="n">
        <v>2.7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s="2" t="inlineStr"/>
    </row>
    <row r="1593" ht="15" customHeight="1">
      <c r="A1593" t="inlineStr">
        <is>
          <t>A 31125-2026</t>
        </is>
      </c>
      <c r="B1593" t="inlineStr">
        <is>
          <t>avverkningsanmälan</t>
        </is>
      </c>
      <c r="C1593" t="inlineStr">
        <is>
          <t>Föryngringsavverkning</t>
        </is>
      </c>
      <c r="D1593" s="1" t="n">
        <v>46216</v>
      </c>
      <c r="E1593" s="1" t="n">
        <v>46313</v>
      </c>
      <c r="F1593" t="inlineStr">
        <is>
          <t>GÄVLEBORGS LÄN</t>
        </is>
      </c>
      <c r="G1593" t="inlineStr">
        <is>
          <t>BOLLNÄS</t>
        </is>
      </c>
      <c r="I1593" t="n">
        <v>1.3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s="2" t="inlineStr"/>
    </row>
    <row r="1594" ht="15" customHeight="1">
      <c r="A1594" t="inlineStr">
        <is>
          <t>A 31127-2026</t>
        </is>
      </c>
      <c r="B1594" t="inlineStr">
        <is>
          <t>avverkningsanmälan</t>
        </is>
      </c>
      <c r="C1594" t="inlineStr">
        <is>
          <t>Föryngringsavverkning</t>
        </is>
      </c>
      <c r="D1594" s="1" t="n">
        <v>46216</v>
      </c>
      <c r="E1594" s="1" t="n">
        <v>46313</v>
      </c>
      <c r="F1594" t="inlineStr">
        <is>
          <t>GÄVLEBORGS LÄN</t>
        </is>
      </c>
      <c r="G1594" t="inlineStr">
        <is>
          <t>BOLLNÄS</t>
        </is>
      </c>
      <c r="I1594" t="n">
        <v>3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s="2" t="inlineStr"/>
    </row>
    <row r="1595" ht="15" customHeight="1">
      <c r="A1595" t="inlineStr">
        <is>
          <t>A 31132-2026</t>
        </is>
      </c>
      <c r="B1595" t="inlineStr">
        <is>
          <t>avverkningsanmälan</t>
        </is>
      </c>
      <c r="C1595" t="inlineStr">
        <is>
          <t>Föryngringsavverkning</t>
        </is>
      </c>
      <c r="D1595" s="1" t="n">
        <v>46216</v>
      </c>
      <c r="E1595" s="1" t="n">
        <v>46313</v>
      </c>
      <c r="F1595" t="inlineStr">
        <is>
          <t>GÄVLEBORGS LÄN</t>
        </is>
      </c>
      <c r="G1595" t="inlineStr">
        <is>
          <t>BOLLNÄS</t>
        </is>
      </c>
      <c r="I1595" t="n">
        <v>3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s="2" t="inlineStr"/>
    </row>
    <row r="1596" ht="15" customHeight="1">
      <c r="A1596" t="inlineStr">
        <is>
          <t>A 63862-2023</t>
        </is>
      </c>
      <c r="B1596" t="inlineStr">
        <is>
          <t>avverkningsanmälan</t>
        </is>
      </c>
      <c r="C1596" t="inlineStr">
        <is>
          <t>Föryngringsavverkning</t>
        </is>
      </c>
      <c r="D1596" s="1" t="n">
        <v>45278</v>
      </c>
      <c r="E1596" s="1" t="n">
        <v>46313</v>
      </c>
      <c r="F1596" t="inlineStr">
        <is>
          <t>GÄVLEBORGS LÄN</t>
        </is>
      </c>
      <c r="G1596" t="inlineStr">
        <is>
          <t>BOLLNÄS</t>
        </is>
      </c>
      <c r="I1596" t="n">
        <v>2.7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s="2" t="inlineStr"/>
    </row>
    <row r="1597" ht="15" customHeight="1">
      <c r="A1597" t="inlineStr">
        <is>
          <t>A 21647-2026</t>
        </is>
      </c>
      <c r="B1597" t="inlineStr">
        <is>
          <t>avverkningsanmälan</t>
        </is>
      </c>
      <c r="C1597" t="inlineStr">
        <is>
          <t>Föryngringsavverkning</t>
        </is>
      </c>
      <c r="D1597" s="1" t="n">
        <v>46149</v>
      </c>
      <c r="E1597" s="1" t="n">
        <v>46313</v>
      </c>
      <c r="F1597" t="inlineStr">
        <is>
          <t>GÄVLEBORGS LÄN</t>
        </is>
      </c>
      <c r="G1597" t="inlineStr">
        <is>
          <t>BOLLNÄS</t>
        </is>
      </c>
      <c r="I1597" t="n">
        <v>4.5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s="2" t="inlineStr"/>
    </row>
    <row r="1598" ht="15" customHeight="1">
      <c r="A1598" t="inlineStr">
        <is>
          <t>A 5926-2026</t>
        </is>
      </c>
      <c r="B1598" t="inlineStr">
        <is>
          <t>avverkningsanmälan</t>
        </is>
      </c>
      <c r="C1598" t="inlineStr">
        <is>
          <t>Föryngringsavverkning</t>
        </is>
      </c>
      <c r="D1598" s="1" t="n">
        <v>46052</v>
      </c>
      <c r="E1598" s="1" t="n">
        <v>46313</v>
      </c>
      <c r="F1598" t="inlineStr">
        <is>
          <t>GÄVLEBORGS LÄN</t>
        </is>
      </c>
      <c r="G1598" t="inlineStr">
        <is>
          <t>BOLLNÄS</t>
        </is>
      </c>
      <c r="I1598" t="n">
        <v>16.9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s="2" t="inlineStr"/>
    </row>
    <row r="1599" ht="15" customHeight="1">
      <c r="A1599" t="inlineStr">
        <is>
          <t>A 15447-2026</t>
        </is>
      </c>
      <c r="B1599" t="inlineStr">
        <is>
          <t>avverkningsanmälan</t>
        </is>
      </c>
      <c r="C1599" t="inlineStr">
        <is>
          <t>Föryngringsavverkning</t>
        </is>
      </c>
      <c r="D1599" s="1" t="n">
        <v>46106</v>
      </c>
      <c r="E1599" s="1" t="n">
        <v>46313</v>
      </c>
      <c r="F1599" t="inlineStr">
        <is>
          <t>GÄVLEBORGS LÄN</t>
        </is>
      </c>
      <c r="G1599" t="inlineStr">
        <is>
          <t>BOLLNÄS</t>
        </is>
      </c>
      <c r="I1599" t="n">
        <v>2.6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s="2" t="inlineStr"/>
    </row>
    <row r="1600" ht="15" customHeight="1">
      <c r="A1600" t="inlineStr">
        <is>
          <t>A 13988-2026</t>
        </is>
      </c>
      <c r="B1600" t="inlineStr">
        <is>
          <t>avverkningsanmälan</t>
        </is>
      </c>
      <c r="C1600" t="inlineStr">
        <is>
          <t>Föryngringsavverkning</t>
        </is>
      </c>
      <c r="D1600" s="1" t="n">
        <v>46098</v>
      </c>
      <c r="E1600" s="1" t="n">
        <v>46313</v>
      </c>
      <c r="F1600" t="inlineStr">
        <is>
          <t>GÄVLEBORGS LÄN</t>
        </is>
      </c>
      <c r="G1600" t="inlineStr">
        <is>
          <t>BOLLNÄS</t>
        </is>
      </c>
      <c r="H1600" t="inlineStr">
        <is>
          <t>Bergvik skog väst AB</t>
        </is>
      </c>
      <c r="I1600" t="n">
        <v>2.8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s="2" t="inlineStr"/>
    </row>
    <row r="1601" ht="15" customHeight="1">
      <c r="A1601" t="inlineStr">
        <is>
          <t>A 44625-2023</t>
        </is>
      </c>
      <c r="B1601" t="inlineStr">
        <is>
          <t>avverkningsanmälan</t>
        </is>
      </c>
      <c r="C1601" t="inlineStr">
        <is>
          <t>Föryngringsavverkning</t>
        </is>
      </c>
      <c r="D1601" s="1" t="n">
        <v>45189</v>
      </c>
      <c r="E1601" s="1" t="n">
        <v>46313</v>
      </c>
      <c r="F1601" t="inlineStr">
        <is>
          <t>GÄVLEBORGS LÄN</t>
        </is>
      </c>
      <c r="G1601" t="inlineStr">
        <is>
          <t>BOLLNÄS</t>
        </is>
      </c>
      <c r="I1601" t="n">
        <v>5.1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s="2" t="inlineStr"/>
    </row>
    <row r="1602" ht="15" customHeight="1">
      <c r="A1602" t="inlineStr">
        <is>
          <t>A 8955-2026</t>
        </is>
      </c>
      <c r="B1602" t="inlineStr">
        <is>
          <t>avverkningsanmälan</t>
        </is>
      </c>
      <c r="C1602" t="inlineStr">
        <is>
          <t>Föryngringsavverkning</t>
        </is>
      </c>
      <c r="D1602" s="1" t="n">
        <v>46069</v>
      </c>
      <c r="E1602" s="1" t="n">
        <v>46313</v>
      </c>
      <c r="F1602" t="inlineStr">
        <is>
          <t>GÄVLEBORGS LÄN</t>
        </is>
      </c>
      <c r="G1602" t="inlineStr">
        <is>
          <t>BOLLNÄS</t>
        </is>
      </c>
      <c r="H1602" t="inlineStr">
        <is>
          <t>Bergvik skog väst AB</t>
        </is>
      </c>
      <c r="I1602" t="n">
        <v>3.1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s="2" t="inlineStr"/>
    </row>
    <row r="1603" ht="15" customHeight="1">
      <c r="A1603" t="inlineStr">
        <is>
          <t>A 8957-2026</t>
        </is>
      </c>
      <c r="B1603" t="inlineStr">
        <is>
          <t>avverkningsanmälan</t>
        </is>
      </c>
      <c r="C1603" t="inlineStr">
        <is>
          <t>Föryngringsavverkning</t>
        </is>
      </c>
      <c r="D1603" s="1" t="n">
        <v>46069</v>
      </c>
      <c r="E1603" s="1" t="n">
        <v>46313</v>
      </c>
      <c r="F1603" t="inlineStr">
        <is>
          <t>GÄVLEBORGS LÄN</t>
        </is>
      </c>
      <c r="G1603" t="inlineStr">
        <is>
          <t>BOLLNÄS</t>
        </is>
      </c>
      <c r="H1603" t="inlineStr">
        <is>
          <t>Bergvik skog väst AB</t>
        </is>
      </c>
      <c r="I1603" t="n">
        <v>1.6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s="2" t="inlineStr"/>
    </row>
    <row r="1604" ht="15" customHeight="1">
      <c r="A1604" t="inlineStr">
        <is>
          <t>A 31497-2026</t>
        </is>
      </c>
      <c r="B1604" t="inlineStr">
        <is>
          <t>avverkningsanmälan</t>
        </is>
      </c>
      <c r="C1604" t="inlineStr">
        <is>
          <t>Föryngringsavverkning</t>
        </is>
      </c>
      <c r="D1604" s="1" t="n">
        <v>46223</v>
      </c>
      <c r="E1604" s="1" t="n">
        <v>46313</v>
      </c>
      <c r="F1604" t="inlineStr">
        <is>
          <t>GÄVLEBORGS LÄN</t>
        </is>
      </c>
      <c r="G1604" t="inlineStr">
        <is>
          <t>BOLLNÄS</t>
        </is>
      </c>
      <c r="I1604" t="n">
        <v>0.7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s="2" t="inlineStr"/>
    </row>
    <row r="1605" ht="15" customHeight="1">
      <c r="A1605" t="inlineStr">
        <is>
          <t>A 31563-2026</t>
        </is>
      </c>
      <c r="B1605" t="inlineStr">
        <is>
          <t>avverkningsanmälan</t>
        </is>
      </c>
      <c r="C1605" t="inlineStr">
        <is>
          <t>Föryngringsavverkning</t>
        </is>
      </c>
      <c r="D1605" s="1" t="n">
        <v>46224</v>
      </c>
      <c r="E1605" s="1" t="n">
        <v>46313</v>
      </c>
      <c r="F1605" t="inlineStr">
        <is>
          <t>GÄVLEBORGS LÄN</t>
        </is>
      </c>
      <c r="G1605" t="inlineStr">
        <is>
          <t>BOLLNÄS</t>
        </is>
      </c>
      <c r="I1605" t="n">
        <v>1.6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s="2" t="inlineStr"/>
    </row>
    <row r="1606" ht="15" customHeight="1">
      <c r="A1606" t="inlineStr">
        <is>
          <t>A 31498-2026</t>
        </is>
      </c>
      <c r="B1606" t="inlineStr">
        <is>
          <t>avverkningsanmälan</t>
        </is>
      </c>
      <c r="C1606" t="inlineStr">
        <is>
          <t>Föryngringsavverkning</t>
        </is>
      </c>
      <c r="D1606" s="1" t="n">
        <v>46223</v>
      </c>
      <c r="E1606" s="1" t="n">
        <v>46313</v>
      </c>
      <c r="F1606" t="inlineStr">
        <is>
          <t>GÄVLEBORGS LÄN</t>
        </is>
      </c>
      <c r="G1606" t="inlineStr">
        <is>
          <t>BOLLNÄS</t>
        </is>
      </c>
      <c r="I1606" t="n">
        <v>6.3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s="2" t="inlineStr"/>
    </row>
    <row r="1607" ht="15" customHeight="1">
      <c r="A1607" t="inlineStr">
        <is>
          <t>A 31499-2026</t>
        </is>
      </c>
      <c r="B1607" t="inlineStr">
        <is>
          <t>avverkningsanmälan</t>
        </is>
      </c>
      <c r="C1607" t="inlineStr">
        <is>
          <t>Föryngringsavverkning</t>
        </is>
      </c>
      <c r="D1607" s="1" t="n">
        <v>46223</v>
      </c>
      <c r="E1607" s="1" t="n">
        <v>46313</v>
      </c>
      <c r="F1607" t="inlineStr">
        <is>
          <t>GÄVLEBORGS LÄN</t>
        </is>
      </c>
      <c r="G1607" t="inlineStr">
        <is>
          <t>BOLLNÄS</t>
        </is>
      </c>
      <c r="I1607" t="n">
        <v>2.4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s="2" t="inlineStr"/>
    </row>
    <row r="1608" ht="15" customHeight="1">
      <c r="A1608" t="inlineStr">
        <is>
          <t>A 31789-2026</t>
        </is>
      </c>
      <c r="B1608" t="inlineStr">
        <is>
          <t>avverkningsanmälan</t>
        </is>
      </c>
      <c r="C1608" t="inlineStr">
        <is>
          <t>Föryngringsavverkning</t>
        </is>
      </c>
      <c r="D1608" s="1" t="n">
        <v>46227</v>
      </c>
      <c r="E1608" s="1" t="n">
        <v>46313</v>
      </c>
      <c r="F1608" t="inlineStr">
        <is>
          <t>GÄVLEBORGS LÄN</t>
        </is>
      </c>
      <c r="G1608" t="inlineStr">
        <is>
          <t>BOLLNÄS</t>
        </is>
      </c>
      <c r="I1608" t="n">
        <v>1.1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s="2" t="inlineStr"/>
    </row>
    <row r="1609" ht="15" customHeight="1">
      <c r="A1609" t="inlineStr">
        <is>
          <t>A 69613-2021</t>
        </is>
      </c>
      <c r="B1609" t="inlineStr">
        <is>
          <t>avverkningsanmälan</t>
        </is>
      </c>
      <c r="C1609" t="inlineStr">
        <is>
          <t>Föryngringsavverkning</t>
        </is>
      </c>
      <c r="D1609" s="1" t="n">
        <v>44532</v>
      </c>
      <c r="E1609" s="1" t="n">
        <v>46313</v>
      </c>
      <c r="F1609" t="inlineStr">
        <is>
          <t>GÄVLEBORGS LÄN</t>
        </is>
      </c>
      <c r="G1609" t="inlineStr">
        <is>
          <t>BOLLNÄS</t>
        </is>
      </c>
      <c r="H1609" t="inlineStr">
        <is>
          <t>Bergvik skog väst AB</t>
        </is>
      </c>
      <c r="I1609" t="n">
        <v>1.1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s="2" t="inlineStr"/>
    </row>
    <row r="1610" ht="15" customHeight="1">
      <c r="A1610" t="inlineStr">
        <is>
          <t>A 58716-2023</t>
        </is>
      </c>
      <c r="B1610" t="inlineStr">
        <is>
          <t>avverkningsanmälan</t>
        </is>
      </c>
      <c r="C1610" t="inlineStr">
        <is>
          <t>Föryngringsavverkning</t>
        </is>
      </c>
      <c r="D1610" s="1" t="n">
        <v>45251</v>
      </c>
      <c r="E1610" s="1" t="n">
        <v>46313</v>
      </c>
      <c r="F1610" t="inlineStr">
        <is>
          <t>GÄVLEBORGS LÄN</t>
        </is>
      </c>
      <c r="G1610" t="inlineStr">
        <is>
          <t>BOLLNÄS</t>
        </is>
      </c>
      <c r="I1610" t="n">
        <v>3.1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s="2" t="inlineStr"/>
    </row>
    <row r="1611" ht="15" customHeight="1">
      <c r="A1611" t="inlineStr">
        <is>
          <t>A 36881-2026</t>
        </is>
      </c>
      <c r="B1611" t="inlineStr">
        <is>
          <t>avverkningsanmälan</t>
        </is>
      </c>
      <c r="C1611" t="inlineStr">
        <is>
          <t>Föryngringsavverkning</t>
        </is>
      </c>
      <c r="D1611" s="1" t="n">
        <v>46273</v>
      </c>
      <c r="E1611" s="1" t="n">
        <v>46313</v>
      </c>
      <c r="F1611" t="inlineStr">
        <is>
          <t>GÄVLEBORGS LÄN</t>
        </is>
      </c>
      <c r="G1611" t="inlineStr">
        <is>
          <t>BOLLNÄS</t>
        </is>
      </c>
      <c r="H1611" t="inlineStr">
        <is>
          <t>Bergvik skog väst AB</t>
        </is>
      </c>
      <c r="I1611" t="n">
        <v>3.3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s="2" t="inlineStr"/>
    </row>
    <row r="1612" ht="15" customHeight="1">
      <c r="A1612" t="inlineStr">
        <is>
          <t>A 36757-2026</t>
        </is>
      </c>
      <c r="B1612" t="inlineStr">
        <is>
          <t>avverkningsanmälan</t>
        </is>
      </c>
      <c r="C1612" t="inlineStr">
        <is>
          <t>Föryngringsavverkning</t>
        </is>
      </c>
      <c r="D1612" s="1" t="n">
        <v>46272</v>
      </c>
      <c r="E1612" s="1" t="n">
        <v>46313</v>
      </c>
      <c r="F1612" t="inlineStr">
        <is>
          <t>GÄVLEBORGS LÄN</t>
        </is>
      </c>
      <c r="G1612" t="inlineStr">
        <is>
          <t>BOLLNÄS</t>
        </is>
      </c>
      <c r="H1612" t="inlineStr">
        <is>
          <t>Kommuner</t>
        </is>
      </c>
      <c r="I1612" t="n">
        <v>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s="2" t="inlineStr"/>
    </row>
    <row r="1613" ht="15" customHeight="1">
      <c r="A1613" t="inlineStr">
        <is>
          <t>A 37046-2026</t>
        </is>
      </c>
      <c r="B1613" t="inlineStr">
        <is>
          <t>avverkningsanmälan</t>
        </is>
      </c>
      <c r="C1613" t="inlineStr">
        <is>
          <t>Föryngringsavverkning</t>
        </is>
      </c>
      <c r="D1613" s="1" t="n">
        <v>46273</v>
      </c>
      <c r="E1613" s="1" t="n">
        <v>46313</v>
      </c>
      <c r="F1613" t="inlineStr">
        <is>
          <t>GÄVLEBORGS LÄN</t>
        </is>
      </c>
      <c r="G1613" t="inlineStr">
        <is>
          <t>BOLLNÄS</t>
        </is>
      </c>
      <c r="I1613" t="n">
        <v>2.2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s="2" t="inlineStr"/>
    </row>
    <row r="1614" ht="15" customHeight="1">
      <c r="A1614" t="inlineStr">
        <is>
          <t>A 36702-2026</t>
        </is>
      </c>
      <c r="B1614" t="inlineStr">
        <is>
          <t>avverkningsanmälan</t>
        </is>
      </c>
      <c r="C1614" t="inlineStr">
        <is>
          <t>Föryngringsavverkning</t>
        </is>
      </c>
      <c r="D1614" s="1" t="n">
        <v>46272</v>
      </c>
      <c r="E1614" s="1" t="n">
        <v>46313</v>
      </c>
      <c r="F1614" t="inlineStr">
        <is>
          <t>GÄVLEBORGS LÄN</t>
        </is>
      </c>
      <c r="G1614" t="inlineStr">
        <is>
          <t>BOLLNÄS</t>
        </is>
      </c>
      <c r="H1614" t="inlineStr">
        <is>
          <t>Bergvik skog väst AB</t>
        </is>
      </c>
      <c r="I1614" t="n">
        <v>6.5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s="2" t="inlineStr"/>
    </row>
    <row r="1615" ht="15" customHeight="1">
      <c r="A1615" t="inlineStr">
        <is>
          <t>A 31809-2026</t>
        </is>
      </c>
      <c r="B1615" t="inlineStr">
        <is>
          <t>avverkningsanmälan</t>
        </is>
      </c>
      <c r="C1615" t="inlineStr">
        <is>
          <t>Föryngringsavverkning</t>
        </is>
      </c>
      <c r="D1615" s="1" t="n">
        <v>46230</v>
      </c>
      <c r="E1615" s="1" t="n">
        <v>46313</v>
      </c>
      <c r="F1615" t="inlineStr">
        <is>
          <t>GÄVLEBORGS LÄN</t>
        </is>
      </c>
      <c r="G1615" t="inlineStr">
        <is>
          <t>BOLLNÄS</t>
        </is>
      </c>
      <c r="H1615" t="inlineStr">
        <is>
          <t>Bergvik skog väst AB</t>
        </is>
      </c>
      <c r="I1615" t="n">
        <v>0.3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s="2" t="inlineStr"/>
    </row>
    <row r="1616" ht="15" customHeight="1">
      <c r="A1616" t="inlineStr">
        <is>
          <t>A 36661-2026</t>
        </is>
      </c>
      <c r="B1616" t="inlineStr">
        <is>
          <t>avverkningsanmälan</t>
        </is>
      </c>
      <c r="C1616" t="inlineStr">
        <is>
          <t>Föryngringsavverkning</t>
        </is>
      </c>
      <c r="D1616" s="1" t="n">
        <v>46272</v>
      </c>
      <c r="E1616" s="1" t="n">
        <v>46313</v>
      </c>
      <c r="F1616" t="inlineStr">
        <is>
          <t>GÄVLEBORGS LÄN</t>
        </is>
      </c>
      <c r="G1616" t="inlineStr">
        <is>
          <t>BOLLNÄS</t>
        </is>
      </c>
      <c r="I1616" t="n">
        <v>3.8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s="2" t="inlineStr"/>
    </row>
    <row r="1617" ht="15" customHeight="1">
      <c r="A1617" t="inlineStr">
        <is>
          <t>A 37044-2026</t>
        </is>
      </c>
      <c r="B1617" t="inlineStr">
        <is>
          <t>avverkningsanmälan</t>
        </is>
      </c>
      <c r="C1617" t="inlineStr">
        <is>
          <t>Föryngringsavverkning</t>
        </is>
      </c>
      <c r="D1617" s="1" t="n">
        <v>46273</v>
      </c>
      <c r="E1617" s="1" t="n">
        <v>46313</v>
      </c>
      <c r="F1617" t="inlineStr">
        <is>
          <t>GÄVLEBORGS LÄN</t>
        </is>
      </c>
      <c r="G1617" t="inlineStr">
        <is>
          <t>BOLLNÄS</t>
        </is>
      </c>
      <c r="I1617" t="n">
        <v>0.6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s="2" t="inlineStr"/>
    </row>
    <row r="1618" ht="15" customHeight="1">
      <c r="A1618" t="inlineStr">
        <is>
          <t>A 58753-2021</t>
        </is>
      </c>
      <c r="B1618" t="inlineStr">
        <is>
          <t>avverkningsanmälan</t>
        </is>
      </c>
      <c r="C1618" t="inlineStr">
        <is>
          <t>Avverkning för annat ändamål</t>
        </is>
      </c>
      <c r="D1618" s="1" t="n">
        <v>44489</v>
      </c>
      <c r="E1618" s="1" t="n">
        <v>46313</v>
      </c>
      <c r="F1618" t="inlineStr">
        <is>
          <t>GÄVLEBORGS LÄN</t>
        </is>
      </c>
      <c r="G1618" t="inlineStr">
        <is>
          <t>BOLLNÄS</t>
        </is>
      </c>
      <c r="I1618" t="n">
        <v>1.2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s="2" t="inlineStr"/>
    </row>
    <row r="1619" ht="15" customHeight="1">
      <c r="A1619" t="inlineStr">
        <is>
          <t>A 5806-2022</t>
        </is>
      </c>
      <c r="B1619" t="inlineStr">
        <is>
          <t>avverkningsanmälan</t>
        </is>
      </c>
      <c r="C1619" t="inlineStr">
        <is>
          <t>Föryngringsavverkning</t>
        </is>
      </c>
      <c r="D1619" s="1" t="n">
        <v>44596</v>
      </c>
      <c r="E1619" s="1" t="n">
        <v>46313</v>
      </c>
      <c r="F1619" t="inlineStr">
        <is>
          <t>GÄVLEBORGS LÄN</t>
        </is>
      </c>
      <c r="G1619" t="inlineStr">
        <is>
          <t>BOLLNÄS</t>
        </is>
      </c>
      <c r="I1619" t="n">
        <v>0.8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s="2" t="inlineStr"/>
    </row>
    <row r="1620" ht="15" customHeight="1">
      <c r="A1620" t="inlineStr">
        <is>
          <t>A 48307-2023</t>
        </is>
      </c>
      <c r="B1620" t="inlineStr">
        <is>
          <t>avverkningsanmälan</t>
        </is>
      </c>
      <c r="C1620" t="inlineStr">
        <is>
          <t>Föryngringsavverkning</t>
        </is>
      </c>
      <c r="D1620" s="1" t="n">
        <v>45205</v>
      </c>
      <c r="E1620" s="1" t="n">
        <v>46313</v>
      </c>
      <c r="F1620" t="inlineStr">
        <is>
          <t>GÄVLEBORGS LÄN</t>
        </is>
      </c>
      <c r="G1620" t="inlineStr">
        <is>
          <t>BOLLNÄS</t>
        </is>
      </c>
      <c r="I1620" t="n">
        <v>0.7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s="2" t="inlineStr"/>
    </row>
    <row r="1621" ht="15" customHeight="1">
      <c r="A1621" t="inlineStr">
        <is>
          <t>A 36769-2026</t>
        </is>
      </c>
      <c r="B1621" t="inlineStr">
        <is>
          <t>avverkningsanmälan</t>
        </is>
      </c>
      <c r="C1621" t="inlineStr">
        <is>
          <t>Föryngringsavverkning</t>
        </is>
      </c>
      <c r="D1621" s="1" t="n">
        <v>46272</v>
      </c>
      <c r="E1621" s="1" t="n">
        <v>46313</v>
      </c>
      <c r="F1621" t="inlineStr">
        <is>
          <t>GÄVLEBORGS LÄN</t>
        </is>
      </c>
      <c r="G1621" t="inlineStr">
        <is>
          <t>BOLLNÄS</t>
        </is>
      </c>
      <c r="H1621" t="inlineStr">
        <is>
          <t>Bergvik skog väst AB</t>
        </is>
      </c>
      <c r="I1621" t="n">
        <v>12.1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s="2" t="inlineStr"/>
    </row>
    <row r="1622" ht="15" customHeight="1">
      <c r="A1622" t="inlineStr">
        <is>
          <t>A 8308-2024</t>
        </is>
      </c>
      <c r="B1622" t="inlineStr">
        <is>
          <t>avverkningsanmälan</t>
        </is>
      </c>
      <c r="C1622" t="inlineStr">
        <is>
          <t>Föryngringsavverkning</t>
        </is>
      </c>
      <c r="D1622" s="1" t="n">
        <v>45352</v>
      </c>
      <c r="E1622" s="1" t="n">
        <v>46313</v>
      </c>
      <c r="F1622" t="inlineStr">
        <is>
          <t>GÄVLEBORGS LÄN</t>
        </is>
      </c>
      <c r="G1622" t="inlineStr">
        <is>
          <t>BOLLNÄS</t>
        </is>
      </c>
      <c r="I1622" t="n">
        <v>3.3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s="2" t="inlineStr"/>
    </row>
    <row r="1623" ht="15" customHeight="1">
      <c r="A1623" t="inlineStr">
        <is>
          <t>A 36696-2026</t>
        </is>
      </c>
      <c r="B1623" t="inlineStr">
        <is>
          <t>avverkningsanmälan</t>
        </is>
      </c>
      <c r="C1623" t="inlineStr">
        <is>
          <t>Föryngringsavverkning</t>
        </is>
      </c>
      <c r="D1623" s="1" t="n">
        <v>46272</v>
      </c>
      <c r="E1623" s="1" t="n">
        <v>46313</v>
      </c>
      <c r="F1623" t="inlineStr">
        <is>
          <t>GÄVLEBORGS LÄN</t>
        </is>
      </c>
      <c r="G1623" t="inlineStr">
        <is>
          <t>BOLLNÄS</t>
        </is>
      </c>
      <c r="H1623" t="inlineStr">
        <is>
          <t>Bergvik skog väst AB</t>
        </is>
      </c>
      <c r="I1623" t="n">
        <v>5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s="2" t="inlineStr"/>
    </row>
    <row r="1624" ht="15" customHeight="1">
      <c r="A1624" t="inlineStr">
        <is>
          <t>A 36772-2026</t>
        </is>
      </c>
      <c r="B1624" t="inlineStr">
        <is>
          <t>avverkningsanmälan</t>
        </is>
      </c>
      <c r="C1624" t="inlineStr">
        <is>
          <t>Föryngringsavverkning</t>
        </is>
      </c>
      <c r="D1624" s="1" t="n">
        <v>46272</v>
      </c>
      <c r="E1624" s="1" t="n">
        <v>46313</v>
      </c>
      <c r="F1624" t="inlineStr">
        <is>
          <t>GÄVLEBORGS LÄN</t>
        </is>
      </c>
      <c r="G1624" t="inlineStr">
        <is>
          <t>BOLLNÄS</t>
        </is>
      </c>
      <c r="H1624" t="inlineStr">
        <is>
          <t>Bergvik skog väst AB</t>
        </is>
      </c>
      <c r="I1624" t="n">
        <v>3.1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s="2" t="inlineStr"/>
    </row>
    <row r="1625" ht="15" customHeight="1">
      <c r="A1625" t="inlineStr">
        <is>
          <t>A 37272-2026</t>
        </is>
      </c>
      <c r="B1625" t="inlineStr">
        <is>
          <t>avverkningsanmälan</t>
        </is>
      </c>
      <c r="C1625" t="inlineStr">
        <is>
          <t>Föryngringsavverkning</t>
        </is>
      </c>
      <c r="D1625" s="1" t="n">
        <v>46274</v>
      </c>
      <c r="E1625" s="1" t="n">
        <v>46313</v>
      </c>
      <c r="F1625" t="inlineStr">
        <is>
          <t>GÄVLEBORGS LÄN</t>
        </is>
      </c>
      <c r="G1625" t="inlineStr">
        <is>
          <t>BOLLNÄS</t>
        </is>
      </c>
      <c r="H1625" t="inlineStr">
        <is>
          <t>Bergvik skog väst AB</t>
        </is>
      </c>
      <c r="I1625" t="n">
        <v>1.1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s="2" t="inlineStr"/>
    </row>
    <row r="1626" ht="15" customHeight="1">
      <c r="A1626" t="inlineStr">
        <is>
          <t>A 37276-2026</t>
        </is>
      </c>
      <c r="B1626" t="inlineStr">
        <is>
          <t>avverkningsanmälan</t>
        </is>
      </c>
      <c r="C1626" t="inlineStr">
        <is>
          <t>Föryngringsavverkning</t>
        </is>
      </c>
      <c r="D1626" s="1" t="n">
        <v>46274</v>
      </c>
      <c r="E1626" s="1" t="n">
        <v>46313</v>
      </c>
      <c r="F1626" t="inlineStr">
        <is>
          <t>GÄVLEBORGS LÄN</t>
        </is>
      </c>
      <c r="G1626" t="inlineStr">
        <is>
          <t>BOLLNÄS</t>
        </is>
      </c>
      <c r="H1626" t="inlineStr">
        <is>
          <t>Bergvik skog väst AB</t>
        </is>
      </c>
      <c r="I1626" t="n">
        <v>2.8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s="2" t="inlineStr"/>
    </row>
    <row r="1627" ht="15" customHeight="1">
      <c r="A1627" t="inlineStr">
        <is>
          <t>A 29769-2023</t>
        </is>
      </c>
      <c r="B1627" t="inlineStr">
        <is>
          <t>avverkningsanmälan</t>
        </is>
      </c>
      <c r="C1627" t="inlineStr">
        <is>
          <t>Föryngringsavverkning</t>
        </is>
      </c>
      <c r="D1627" s="1" t="n">
        <v>45107</v>
      </c>
      <c r="E1627" s="1" t="n">
        <v>46313</v>
      </c>
      <c r="F1627" t="inlineStr">
        <is>
          <t>GÄVLEBORGS LÄN</t>
        </is>
      </c>
      <c r="G1627" t="inlineStr">
        <is>
          <t>BOLLNÄS</t>
        </is>
      </c>
      <c r="I1627" t="n">
        <v>0.5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s="2" t="inlineStr"/>
    </row>
    <row r="1628" ht="15" customHeight="1">
      <c r="A1628" t="inlineStr">
        <is>
          <t>A 617-2025</t>
        </is>
      </c>
      <c r="B1628" t="inlineStr">
        <is>
          <t>avverkningsanmälan</t>
        </is>
      </c>
      <c r="C1628" t="inlineStr">
        <is>
          <t>Föryngringsavverkning</t>
        </is>
      </c>
      <c r="D1628" s="1" t="n">
        <v>45664</v>
      </c>
      <c r="E1628" s="1" t="n">
        <v>46313</v>
      </c>
      <c r="F1628" t="inlineStr">
        <is>
          <t>GÄVLEBORGS LÄN</t>
        </is>
      </c>
      <c r="G1628" t="inlineStr">
        <is>
          <t>BOLLNÄS</t>
        </is>
      </c>
      <c r="I1628" t="n">
        <v>0.7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s="2" t="inlineStr"/>
    </row>
    <row r="1629" ht="15" customHeight="1">
      <c r="A1629" t="inlineStr">
        <is>
          <t>A 37093-2026</t>
        </is>
      </c>
      <c r="B1629" t="inlineStr">
        <is>
          <t>avverkningsanmälan</t>
        </is>
      </c>
      <c r="C1629" t="inlineStr">
        <is>
          <t>Föryngringsavverkning</t>
        </is>
      </c>
      <c r="D1629" s="1" t="n">
        <v>46273</v>
      </c>
      <c r="E1629" s="1" t="n">
        <v>46313</v>
      </c>
      <c r="F1629" t="inlineStr">
        <is>
          <t>GÄVLEBORGS LÄN</t>
        </is>
      </c>
      <c r="G1629" t="inlineStr">
        <is>
          <t>BOLLNÄS</t>
        </is>
      </c>
      <c r="H1629" t="inlineStr">
        <is>
          <t>Bergvik skog väst AB</t>
        </is>
      </c>
      <c r="I1629" t="n">
        <v>5.2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s="2" t="inlineStr"/>
    </row>
    <row r="1630" ht="15" customHeight="1">
      <c r="A1630" t="inlineStr">
        <is>
          <t>A 47438-2023</t>
        </is>
      </c>
      <c r="B1630" t="inlineStr">
        <is>
          <t>avverkningsanmälan</t>
        </is>
      </c>
      <c r="C1630" t="inlineStr">
        <is>
          <t>Föryngringsavverkning</t>
        </is>
      </c>
      <c r="D1630" s="1" t="n">
        <v>45202</v>
      </c>
      <c r="E1630" s="1" t="n">
        <v>46313</v>
      </c>
      <c r="F1630" t="inlineStr">
        <is>
          <t>GÄVLEBORGS LÄN</t>
        </is>
      </c>
      <c r="G1630" t="inlineStr">
        <is>
          <t>BOLLNÄS</t>
        </is>
      </c>
      <c r="I1630" t="n">
        <v>9.1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s="2" t="inlineStr"/>
    </row>
    <row r="1631" ht="15" customHeight="1">
      <c r="A1631" t="inlineStr">
        <is>
          <t>A 37368-2026</t>
        </is>
      </c>
      <c r="B1631" t="inlineStr">
        <is>
          <t>avverkningsanmälan</t>
        </is>
      </c>
      <c r="C1631" t="inlineStr">
        <is>
          <t>Föryngringsavverkning</t>
        </is>
      </c>
      <c r="D1631" s="1" t="n">
        <v>46275</v>
      </c>
      <c r="E1631" s="1" t="n">
        <v>46313</v>
      </c>
      <c r="F1631" t="inlineStr">
        <is>
          <t>GÄVLEBORGS LÄN</t>
        </is>
      </c>
      <c r="G1631" t="inlineStr">
        <is>
          <t>BOLLNÄS</t>
        </is>
      </c>
      <c r="H1631" t="inlineStr">
        <is>
          <t>Bergvik skog väst AB</t>
        </is>
      </c>
      <c r="I1631" t="n">
        <v>3.6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s="2" t="inlineStr"/>
    </row>
    <row r="1632" ht="15" customHeight="1">
      <c r="A1632" t="inlineStr">
        <is>
          <t>A 37318-2026</t>
        </is>
      </c>
      <c r="B1632" t="inlineStr">
        <is>
          <t>avverkningsanmälan</t>
        </is>
      </c>
      <c r="C1632" t="inlineStr">
        <is>
          <t>Föryngringsavverkning</t>
        </is>
      </c>
      <c r="D1632" s="1" t="n">
        <v>46275</v>
      </c>
      <c r="E1632" s="1" t="n">
        <v>46313</v>
      </c>
      <c r="F1632" t="inlineStr">
        <is>
          <t>GÄVLEBORGS LÄN</t>
        </is>
      </c>
      <c r="G1632" t="inlineStr">
        <is>
          <t>BOLLNÄS</t>
        </is>
      </c>
      <c r="I1632" t="n">
        <v>1.5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s="2" t="inlineStr"/>
    </row>
    <row r="1633" ht="15" customHeight="1">
      <c r="A1633" t="inlineStr">
        <is>
          <t>A 31922-2026</t>
        </is>
      </c>
      <c r="B1633" t="inlineStr">
        <is>
          <t>avverkningsanmälan</t>
        </is>
      </c>
      <c r="C1633" t="inlineStr">
        <is>
          <t>Föryngringsavverkning</t>
        </is>
      </c>
      <c r="D1633" s="1" t="n">
        <v>46231</v>
      </c>
      <c r="E1633" s="1" t="n">
        <v>46313</v>
      </c>
      <c r="F1633" t="inlineStr">
        <is>
          <t>GÄVLEBORGS LÄN</t>
        </is>
      </c>
      <c r="G1633" t="inlineStr">
        <is>
          <t>BOLLNÄS</t>
        </is>
      </c>
      <c r="I1633" t="n">
        <v>14.7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s="2" t="inlineStr"/>
    </row>
    <row r="1634" ht="15" customHeight="1">
      <c r="A1634" t="inlineStr">
        <is>
          <t>A 37512-2026</t>
        </is>
      </c>
      <c r="B1634" t="inlineStr">
        <is>
          <t>avverkningsanmälan</t>
        </is>
      </c>
      <c r="C1634" t="inlineStr">
        <is>
          <t>Föryngringsavverkning</t>
        </is>
      </c>
      <c r="D1634" s="1" t="n">
        <v>46276</v>
      </c>
      <c r="E1634" s="1" t="n">
        <v>46313</v>
      </c>
      <c r="F1634" t="inlineStr">
        <is>
          <t>GÄVLEBORGS LÄN</t>
        </is>
      </c>
      <c r="G1634" t="inlineStr">
        <is>
          <t>BOLLNÄS</t>
        </is>
      </c>
      <c r="H1634" t="inlineStr">
        <is>
          <t>Bergvik skog väst AB</t>
        </is>
      </c>
      <c r="I1634" t="n">
        <v>13.1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s="2" t="inlineStr"/>
    </row>
    <row r="1635" ht="15" customHeight="1">
      <c r="A1635" t="inlineStr">
        <is>
          <t>A 37664-2026</t>
        </is>
      </c>
      <c r="B1635" t="inlineStr">
        <is>
          <t>avverkningsanmälan</t>
        </is>
      </c>
      <c r="C1635" t="inlineStr">
        <is>
          <t>Föryngringsavverkning</t>
        </is>
      </c>
      <c r="D1635" s="1" t="n">
        <v>46276</v>
      </c>
      <c r="E1635" s="1" t="n">
        <v>46313</v>
      </c>
      <c r="F1635" t="inlineStr">
        <is>
          <t>GÄVLEBORGS LÄN</t>
        </is>
      </c>
      <c r="G1635" t="inlineStr">
        <is>
          <t>BOLLNÄS</t>
        </is>
      </c>
      <c r="H1635" t="inlineStr">
        <is>
          <t>Bergvik skog väst AB</t>
        </is>
      </c>
      <c r="I1635" t="n">
        <v>17.2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s="2" t="inlineStr"/>
    </row>
    <row r="1636" ht="15" customHeight="1">
      <c r="A1636" t="inlineStr">
        <is>
          <t>A 37660-2026</t>
        </is>
      </c>
      <c r="B1636" t="inlineStr">
        <is>
          <t>avverkningsanmälan</t>
        </is>
      </c>
      <c r="C1636" t="inlineStr">
        <is>
          <t>Föryngringsavverkning</t>
        </is>
      </c>
      <c r="D1636" s="1" t="n">
        <v>46276</v>
      </c>
      <c r="E1636" s="1" t="n">
        <v>46313</v>
      </c>
      <c r="F1636" t="inlineStr">
        <is>
          <t>GÄVLEBORGS LÄN</t>
        </is>
      </c>
      <c r="G1636" t="inlineStr">
        <is>
          <t>BOLLNÄS</t>
        </is>
      </c>
      <c r="I1636" t="n">
        <v>1.6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s="2" t="inlineStr"/>
    </row>
    <row r="1637" ht="15" customHeight="1">
      <c r="A1637" t="inlineStr">
        <is>
          <t>A 12451-2023</t>
        </is>
      </c>
      <c r="B1637" t="inlineStr">
        <is>
          <t>avverkningsanmälan</t>
        </is>
      </c>
      <c r="C1637" t="inlineStr">
        <is>
          <t>Föryngringsavverkning</t>
        </is>
      </c>
      <c r="D1637" s="1" t="n">
        <v>44999</v>
      </c>
      <c r="E1637" s="1" t="n">
        <v>46313</v>
      </c>
      <c r="F1637" t="inlineStr">
        <is>
          <t>GÄVLEBORGS LÄN</t>
        </is>
      </c>
      <c r="G1637" t="inlineStr">
        <is>
          <t>BOLLNÄS</t>
        </is>
      </c>
      <c r="I1637" t="n">
        <v>0.2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s="2" t="inlineStr"/>
    </row>
    <row r="1638" ht="15" customHeight="1">
      <c r="A1638" t="inlineStr">
        <is>
          <t>A 42306-2023</t>
        </is>
      </c>
      <c r="B1638" t="inlineStr">
        <is>
          <t>avverkningsanmälan</t>
        </is>
      </c>
      <c r="C1638" t="inlineStr">
        <is>
          <t>Föryngringsavverkning</t>
        </is>
      </c>
      <c r="D1638" s="1" t="n">
        <v>45180</v>
      </c>
      <c r="E1638" s="1" t="n">
        <v>46313</v>
      </c>
      <c r="F1638" t="inlineStr">
        <is>
          <t>GÄVLEBORGS LÄN</t>
        </is>
      </c>
      <c r="G1638" t="inlineStr">
        <is>
          <t>BOLLNÄS</t>
        </is>
      </c>
      <c r="I1638" t="n">
        <v>4.8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s="2" t="inlineStr"/>
    </row>
    <row r="1639" ht="15" customHeight="1">
      <c r="A1639" t="inlineStr">
        <is>
          <t>A 10486-2024</t>
        </is>
      </c>
      <c r="B1639" t="inlineStr">
        <is>
          <t>avverkningsanmälan</t>
        </is>
      </c>
      <c r="C1639" t="inlineStr">
        <is>
          <t>Föryngringsavverkning</t>
        </is>
      </c>
      <c r="D1639" s="1" t="n">
        <v>45366</v>
      </c>
      <c r="E1639" s="1" t="n">
        <v>46313</v>
      </c>
      <c r="F1639" t="inlineStr">
        <is>
          <t>GÄVLEBORGS LÄN</t>
        </is>
      </c>
      <c r="G1639" t="inlineStr">
        <is>
          <t>BOLLNÄS</t>
        </is>
      </c>
      <c r="I1639" t="n">
        <v>1.3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s="2" t="inlineStr"/>
    </row>
    <row r="1640" ht="15" customHeight="1">
      <c r="A1640" t="inlineStr">
        <is>
          <t>A 37559-2026</t>
        </is>
      </c>
      <c r="B1640" t="inlineStr">
        <is>
          <t>avverkningsanmälan</t>
        </is>
      </c>
      <c r="C1640" t="inlineStr">
        <is>
          <t>Föryngringsavverkning</t>
        </is>
      </c>
      <c r="D1640" s="1" t="n">
        <v>46276</v>
      </c>
      <c r="E1640" s="1" t="n">
        <v>46313</v>
      </c>
      <c r="F1640" t="inlineStr">
        <is>
          <t>GÄVLEBORGS LÄN</t>
        </is>
      </c>
      <c r="G1640" t="inlineStr">
        <is>
          <t>BOLLNÄS</t>
        </is>
      </c>
      <c r="H1640" t="inlineStr">
        <is>
          <t>Bergvik skog väst AB</t>
        </is>
      </c>
      <c r="I1640" t="n">
        <v>5.5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s="2" t="inlineStr"/>
    </row>
    <row r="1641" ht="15" customHeight="1">
      <c r="A1641" t="inlineStr">
        <is>
          <t>A 27202-2024</t>
        </is>
      </c>
      <c r="B1641" t="inlineStr">
        <is>
          <t>avverkningsanmälan</t>
        </is>
      </c>
      <c r="C1641" t="inlineStr">
        <is>
          <t>Föryngringsavverkning</t>
        </is>
      </c>
      <c r="D1641" s="1" t="n">
        <v>45471</v>
      </c>
      <c r="E1641" s="1" t="n">
        <v>46313</v>
      </c>
      <c r="F1641" t="inlineStr">
        <is>
          <t>GÄVLEBORGS LÄN</t>
        </is>
      </c>
      <c r="G1641" t="inlineStr">
        <is>
          <t>BOLLNÄS</t>
        </is>
      </c>
      <c r="I1641" t="n">
        <v>1.9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s="2" t="inlineStr"/>
    </row>
    <row r="1642" ht="15" customHeight="1">
      <c r="A1642" t="inlineStr">
        <is>
          <t>A 37520-2026</t>
        </is>
      </c>
      <c r="B1642" t="inlineStr">
        <is>
          <t>avverkningsanmälan</t>
        </is>
      </c>
      <c r="C1642" t="inlineStr">
        <is>
          <t>Föryngringsavverkning</t>
        </is>
      </c>
      <c r="D1642" s="1" t="n">
        <v>46276</v>
      </c>
      <c r="E1642" s="1" t="n">
        <v>46313</v>
      </c>
      <c r="F1642" t="inlineStr">
        <is>
          <t>GÄVLEBORGS LÄN</t>
        </is>
      </c>
      <c r="G1642" t="inlineStr">
        <is>
          <t>BOLLNÄS</t>
        </is>
      </c>
      <c r="H1642" t="inlineStr">
        <is>
          <t>Bergvik skog väst AB</t>
        </is>
      </c>
      <c r="I1642" t="n">
        <v>4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s="2" t="inlineStr"/>
    </row>
    <row r="1643" ht="15" customHeight="1">
      <c r="A1643" t="inlineStr">
        <is>
          <t>A 37732-2026</t>
        </is>
      </c>
      <c r="B1643" t="inlineStr">
        <is>
          <t>avverkningsanmälan</t>
        </is>
      </c>
      <c r="C1643" t="inlineStr">
        <is>
          <t>Föryngringsavverkning</t>
        </is>
      </c>
      <c r="D1643" s="1" t="n">
        <v>46279</v>
      </c>
      <c r="E1643" s="1" t="n">
        <v>46313</v>
      </c>
      <c r="F1643" t="inlineStr">
        <is>
          <t>GÄVLEBORGS LÄN</t>
        </is>
      </c>
      <c r="G1643" t="inlineStr">
        <is>
          <t>BOLLNÄS</t>
        </is>
      </c>
      <c r="H1643" t="inlineStr">
        <is>
          <t>Bergvik skog väst AB</t>
        </is>
      </c>
      <c r="I1643" t="n">
        <v>1.3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s="2" t="inlineStr"/>
    </row>
    <row r="1644" ht="15" customHeight="1">
      <c r="A1644" t="inlineStr">
        <is>
          <t>A 37659-2026</t>
        </is>
      </c>
      <c r="B1644" t="inlineStr">
        <is>
          <t>avverkningsanmälan</t>
        </is>
      </c>
      <c r="C1644" t="inlineStr">
        <is>
          <t>Föryngringsavverkning</t>
        </is>
      </c>
      <c r="D1644" s="1" t="n">
        <v>46276</v>
      </c>
      <c r="E1644" s="1" t="n">
        <v>46313</v>
      </c>
      <c r="F1644" t="inlineStr">
        <is>
          <t>GÄVLEBORGS LÄN</t>
        </is>
      </c>
      <c r="G1644" t="inlineStr">
        <is>
          <t>BOLLNÄS</t>
        </is>
      </c>
      <c r="I1644" t="n">
        <v>1.5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s="2" t="inlineStr"/>
    </row>
    <row r="1645" ht="15" customHeight="1">
      <c r="A1645" t="inlineStr">
        <is>
          <t>A 37658-2026</t>
        </is>
      </c>
      <c r="B1645" t="inlineStr">
        <is>
          <t>avverkningsanmälan</t>
        </is>
      </c>
      <c r="C1645" t="inlineStr">
        <is>
          <t>Föryngringsavverkning</t>
        </is>
      </c>
      <c r="D1645" s="1" t="n">
        <v>46276</v>
      </c>
      <c r="E1645" s="1" t="n">
        <v>46313</v>
      </c>
      <c r="F1645" t="inlineStr">
        <is>
          <t>GÄVLEBORGS LÄN</t>
        </is>
      </c>
      <c r="G1645" t="inlineStr">
        <is>
          <t>BOLLNÄS</t>
        </is>
      </c>
      <c r="I1645" t="n">
        <v>4.3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s="2" t="inlineStr"/>
    </row>
    <row r="1646" ht="15" customHeight="1">
      <c r="A1646" t="inlineStr">
        <is>
          <t>A 37691-2026</t>
        </is>
      </c>
      <c r="B1646" t="inlineStr">
        <is>
          <t>avverkningsanmälan</t>
        </is>
      </c>
      <c r="C1646" t="inlineStr">
        <is>
          <t>Föryngringsavverkning</t>
        </is>
      </c>
      <c r="D1646" s="1" t="n">
        <v>46279</v>
      </c>
      <c r="E1646" s="1" t="n">
        <v>46313</v>
      </c>
      <c r="F1646" t="inlineStr">
        <is>
          <t>GÄVLEBORGS LÄN</t>
        </is>
      </c>
      <c r="G1646" t="inlineStr">
        <is>
          <t>BOLLNÄS</t>
        </is>
      </c>
      <c r="H1646" t="inlineStr">
        <is>
          <t>Bergvik skog väst AB</t>
        </is>
      </c>
      <c r="I1646" t="n">
        <v>1.3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s="2" t="inlineStr"/>
    </row>
    <row r="1647" ht="15" customHeight="1">
      <c r="A1647" t="inlineStr">
        <is>
          <t>A 38033-2026</t>
        </is>
      </c>
      <c r="B1647" t="inlineStr">
        <is>
          <t>avverkningsanmälan</t>
        </is>
      </c>
      <c r="C1647" t="inlineStr">
        <is>
          <t>Föryngringsavverkning</t>
        </is>
      </c>
      <c r="D1647" s="1" t="n">
        <v>46280</v>
      </c>
      <c r="E1647" s="1" t="n">
        <v>46313</v>
      </c>
      <c r="F1647" t="inlineStr">
        <is>
          <t>GÄVLEBORGS LÄN</t>
        </is>
      </c>
      <c r="G1647" t="inlineStr">
        <is>
          <t>BOLLNÄS</t>
        </is>
      </c>
      <c r="I1647" t="n">
        <v>1.2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s="2" t="inlineStr"/>
    </row>
    <row r="1648" ht="15" customHeight="1">
      <c r="A1648" t="inlineStr">
        <is>
          <t>A 21009-2022</t>
        </is>
      </c>
      <c r="B1648" t="inlineStr">
        <is>
          <t>avverkningsanmälan</t>
        </is>
      </c>
      <c r="C1648" t="inlineStr">
        <is>
          <t>Föryngringsavverkning</t>
        </is>
      </c>
      <c r="D1648" s="1" t="n">
        <v>44704</v>
      </c>
      <c r="E1648" s="1" t="n">
        <v>46313</v>
      </c>
      <c r="F1648" t="inlineStr">
        <is>
          <t>GÄVLEBORGS LÄN</t>
        </is>
      </c>
      <c r="G1648" t="inlineStr">
        <is>
          <t>BOLLNÄS</t>
        </is>
      </c>
      <c r="I1648" t="n">
        <v>1.9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s="2" t="inlineStr"/>
    </row>
    <row r="1649" ht="15" customHeight="1">
      <c r="A1649" t="inlineStr">
        <is>
          <t>A 38125-2026</t>
        </is>
      </c>
      <c r="B1649" t="inlineStr">
        <is>
          <t>avverkningsanmälan</t>
        </is>
      </c>
      <c r="C1649" t="inlineStr">
        <is>
          <t>Föryngringsavverkning</t>
        </is>
      </c>
      <c r="D1649" s="1" t="n">
        <v>46281</v>
      </c>
      <c r="E1649" s="1" t="n">
        <v>46313</v>
      </c>
      <c r="F1649" t="inlineStr">
        <is>
          <t>GÄVLEBORGS LÄN</t>
        </is>
      </c>
      <c r="G1649" t="inlineStr">
        <is>
          <t>BOLLNÄS</t>
        </is>
      </c>
      <c r="I1649" t="n">
        <v>0.9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s="2" t="inlineStr"/>
    </row>
    <row r="1650" ht="15" customHeight="1">
      <c r="A1650" t="inlineStr">
        <is>
          <t>A 51952-2023</t>
        </is>
      </c>
      <c r="B1650" t="inlineStr">
        <is>
          <t>avverkningsanmälan</t>
        </is>
      </c>
      <c r="C1650" t="inlineStr">
        <is>
          <t>Föryngringsavverkning</t>
        </is>
      </c>
      <c r="D1650" s="1" t="n">
        <v>45223</v>
      </c>
      <c r="E1650" s="1" t="n">
        <v>46313</v>
      </c>
      <c r="F1650" t="inlineStr">
        <is>
          <t>GÄVLEBORGS LÄN</t>
        </is>
      </c>
      <c r="G1650" t="inlineStr">
        <is>
          <t>BOLLNÄS</t>
        </is>
      </c>
      <c r="I1650" t="n">
        <v>0.4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s="2" t="inlineStr"/>
    </row>
    <row r="1651" ht="15" customHeight="1">
      <c r="A1651" t="inlineStr">
        <is>
          <t>A 37939-2026</t>
        </is>
      </c>
      <c r="B1651" t="inlineStr">
        <is>
          <t>avverkningsanmälan</t>
        </is>
      </c>
      <c r="C1651" t="inlineStr">
        <is>
          <t>Föryngringsavverkning</t>
        </is>
      </c>
      <c r="D1651" s="1" t="n">
        <v>46280</v>
      </c>
      <c r="E1651" s="1" t="n">
        <v>46313</v>
      </c>
      <c r="F1651" t="inlineStr">
        <is>
          <t>GÄVLEBORGS LÄN</t>
        </is>
      </c>
      <c r="G1651" t="inlineStr">
        <is>
          <t>BOLLNÄS</t>
        </is>
      </c>
      <c r="H1651" t="inlineStr">
        <is>
          <t>Bergvik skog väst AB</t>
        </is>
      </c>
      <c r="I1651" t="n">
        <v>1.5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s="2" t="inlineStr"/>
    </row>
    <row r="1652" ht="15" customHeight="1">
      <c r="A1652" t="inlineStr">
        <is>
          <t>A 28080-2024</t>
        </is>
      </c>
      <c r="B1652" t="inlineStr">
        <is>
          <t>avverkningsanmälan</t>
        </is>
      </c>
      <c r="C1652" t="inlineStr">
        <is>
          <t>Föryngringsavverkning</t>
        </is>
      </c>
      <c r="D1652" s="1" t="n">
        <v>45476</v>
      </c>
      <c r="E1652" s="1" t="n">
        <v>46313</v>
      </c>
      <c r="F1652" t="inlineStr">
        <is>
          <t>GÄVLEBORGS LÄN</t>
        </is>
      </c>
      <c r="G1652" t="inlineStr">
        <is>
          <t>BOLLNÄS</t>
        </is>
      </c>
      <c r="I1652" t="n">
        <v>1.9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s="2" t="inlineStr"/>
    </row>
    <row r="1653" ht="15" customHeight="1">
      <c r="A1653" t="inlineStr">
        <is>
          <t>A 16937-2026</t>
        </is>
      </c>
      <c r="B1653" t="inlineStr">
        <is>
          <t>avverkningsanmälan</t>
        </is>
      </c>
      <c r="C1653" t="inlineStr">
        <is>
          <t>Föryngringsavverkning</t>
        </is>
      </c>
      <c r="D1653" s="1" t="n">
        <v>46113</v>
      </c>
      <c r="E1653" s="1" t="n">
        <v>46313</v>
      </c>
      <c r="F1653" t="inlineStr">
        <is>
          <t>GÄVLEBORGS LÄN</t>
        </is>
      </c>
      <c r="G1653" t="inlineStr">
        <is>
          <t>BOLLNÄS</t>
        </is>
      </c>
      <c r="I1653" t="n">
        <v>14.2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s="2" t="inlineStr"/>
    </row>
    <row r="1654" ht="15" customHeight="1">
      <c r="A1654" t="inlineStr">
        <is>
          <t>A 37980-2026</t>
        </is>
      </c>
      <c r="B1654" t="inlineStr">
        <is>
          <t>avverkningsanmälan</t>
        </is>
      </c>
      <c r="C1654" t="inlineStr">
        <is>
          <t>Föryngringsavverkning</t>
        </is>
      </c>
      <c r="D1654" s="1" t="n">
        <v>46280</v>
      </c>
      <c r="E1654" s="1" t="n">
        <v>46313</v>
      </c>
      <c r="F1654" t="inlineStr">
        <is>
          <t>GÄVLEBORGS LÄN</t>
        </is>
      </c>
      <c r="G1654" t="inlineStr">
        <is>
          <t>BOLLNÄS</t>
        </is>
      </c>
      <c r="I1654" t="n">
        <v>2.2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s="2" t="inlineStr"/>
    </row>
    <row r="1655" ht="15" customHeight="1">
      <c r="A1655" t="inlineStr">
        <is>
          <t>A 15814-2026</t>
        </is>
      </c>
      <c r="B1655" t="inlineStr">
        <is>
          <t>avverkningsanmälan</t>
        </is>
      </c>
      <c r="C1655" t="inlineStr">
        <is>
          <t>Föryngringsavverkning</t>
        </is>
      </c>
      <c r="D1655" s="1" t="n">
        <v>46107</v>
      </c>
      <c r="E1655" s="1" t="n">
        <v>46313</v>
      </c>
      <c r="F1655" t="inlineStr">
        <is>
          <t>GÄVLEBORGS LÄN</t>
        </is>
      </c>
      <c r="G1655" t="inlineStr">
        <is>
          <t>BOLLNÄS</t>
        </is>
      </c>
      <c r="I1655" t="n">
        <v>2.1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s="2" t="inlineStr"/>
    </row>
    <row r="1656" ht="15" customHeight="1">
      <c r="A1656" t="inlineStr">
        <is>
          <t>A 20412-2026</t>
        </is>
      </c>
      <c r="B1656" t="inlineStr">
        <is>
          <t>avverkningsanmälan</t>
        </is>
      </c>
      <c r="C1656" t="inlineStr">
        <is>
          <t>Föryngringsavverkning</t>
        </is>
      </c>
      <c r="D1656" s="1" t="n">
        <v>46140</v>
      </c>
      <c r="E1656" s="1" t="n">
        <v>46313</v>
      </c>
      <c r="F1656" t="inlineStr">
        <is>
          <t>GÄVLEBORGS LÄN</t>
        </is>
      </c>
      <c r="G1656" t="inlineStr">
        <is>
          <t>BOLLNÄS</t>
        </is>
      </c>
      <c r="I1656" t="n">
        <v>4.6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s="2" t="inlineStr"/>
    </row>
    <row r="1657" ht="15" customHeight="1">
      <c r="A1657" t="inlineStr">
        <is>
          <t>A 16935-2026</t>
        </is>
      </c>
      <c r="B1657" t="inlineStr">
        <is>
          <t>avverkningsanmälan</t>
        </is>
      </c>
      <c r="C1657" t="inlineStr">
        <is>
          <t>Föryngringsavverkning</t>
        </is>
      </c>
      <c r="D1657" s="1" t="n">
        <v>46113</v>
      </c>
      <c r="E1657" s="1" t="n">
        <v>46313</v>
      </c>
      <c r="F1657" t="inlineStr">
        <is>
          <t>GÄVLEBORGS LÄN</t>
        </is>
      </c>
      <c r="G1657" t="inlineStr">
        <is>
          <t>BOLLNÄS</t>
        </is>
      </c>
      <c r="I1657" t="n">
        <v>10.1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s="2" t="inlineStr"/>
    </row>
    <row r="1658" ht="15" customHeight="1">
      <c r="A1658" t="inlineStr">
        <is>
          <t>A 34250-2024</t>
        </is>
      </c>
      <c r="B1658" t="inlineStr">
        <is>
          <t>avverkningsanmälan</t>
        </is>
      </c>
      <c r="C1658" t="inlineStr">
        <is>
          <t>Föryngringsavverkning</t>
        </is>
      </c>
      <c r="D1658" s="1" t="n">
        <v>45524</v>
      </c>
      <c r="E1658" s="1" t="n">
        <v>46313</v>
      </c>
      <c r="F1658" t="inlineStr">
        <is>
          <t>GÄVLEBORGS LÄN</t>
        </is>
      </c>
      <c r="G1658" t="inlineStr">
        <is>
          <t>BOLLNÄS</t>
        </is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s="2" t="inlineStr"/>
    </row>
    <row r="1659" ht="15" customHeight="1">
      <c r="A1659" t="inlineStr">
        <is>
          <t>A 16936-2026</t>
        </is>
      </c>
      <c r="B1659" t="inlineStr">
        <is>
          <t>avverkningsanmälan</t>
        </is>
      </c>
      <c r="C1659" t="inlineStr">
        <is>
          <t>Föryngringsavverkning</t>
        </is>
      </c>
      <c r="D1659" s="1" t="n">
        <v>46113</v>
      </c>
      <c r="E1659" s="1" t="n">
        <v>46313</v>
      </c>
      <c r="F1659" t="inlineStr">
        <is>
          <t>GÄVLEBORGS LÄN</t>
        </is>
      </c>
      <c r="G1659" t="inlineStr">
        <is>
          <t>BOLLNÄS</t>
        </is>
      </c>
      <c r="I1659" t="n">
        <v>2.6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s="2" t="inlineStr"/>
    </row>
    <row r="1660" ht="15" customHeight="1">
      <c r="A1660" t="inlineStr">
        <is>
          <t>A 32386-2026</t>
        </is>
      </c>
      <c r="B1660" t="inlineStr">
        <is>
          <t>avverkningsanmälan</t>
        </is>
      </c>
      <c r="C1660" t="inlineStr">
        <is>
          <t>Föryngringsavverkning</t>
        </is>
      </c>
      <c r="D1660" s="1" t="n">
        <v>46238</v>
      </c>
      <c r="E1660" s="1" t="n">
        <v>46313</v>
      </c>
      <c r="F1660" t="inlineStr">
        <is>
          <t>GÄVLEBORGS LÄN</t>
        </is>
      </c>
      <c r="G1660" t="inlineStr">
        <is>
          <t>BOLLNÄS</t>
        </is>
      </c>
      <c r="H1660" t="inlineStr">
        <is>
          <t>Bergvik skog väst AB</t>
        </is>
      </c>
      <c r="I1660" t="n">
        <v>1.6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s="2" t="inlineStr"/>
    </row>
    <row r="1661" ht="15" customHeight="1">
      <c r="A1661" t="inlineStr">
        <is>
          <t>A 54511-2024</t>
        </is>
      </c>
      <c r="B1661" t="inlineStr">
        <is>
          <t>avverkningsanmälan</t>
        </is>
      </c>
      <c r="C1661" t="inlineStr">
        <is>
          <t>Föryngringsavverkning</t>
        </is>
      </c>
      <c r="D1661" s="1" t="n">
        <v>45617</v>
      </c>
      <c r="E1661" s="1" t="n">
        <v>46313</v>
      </c>
      <c r="F1661" t="inlineStr">
        <is>
          <t>GÄVLEBORGS LÄN</t>
        </is>
      </c>
      <c r="G1661" t="inlineStr">
        <is>
          <t>BOLLNÄS</t>
        </is>
      </c>
      <c r="I1661" t="n">
        <v>1.1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s="2" t="inlineStr"/>
    </row>
    <row r="1662" ht="15" customHeight="1">
      <c r="A1662" t="inlineStr">
        <is>
          <t>A 38402-2026</t>
        </is>
      </c>
      <c r="B1662" t="inlineStr">
        <is>
          <t>avverkningsanmälan</t>
        </is>
      </c>
      <c r="C1662" t="inlineStr">
        <is>
          <t>Föryngringsavverkning</t>
        </is>
      </c>
      <c r="D1662" s="1" t="n">
        <v>46282</v>
      </c>
      <c r="E1662" s="1" t="n">
        <v>46313</v>
      </c>
      <c r="F1662" t="inlineStr">
        <is>
          <t>GÄVLEBORGS LÄN</t>
        </is>
      </c>
      <c r="G1662" t="inlineStr">
        <is>
          <t>BOLLNÄS</t>
        </is>
      </c>
      <c r="H1662" t="inlineStr">
        <is>
          <t>Bergvik skog väst AB</t>
        </is>
      </c>
      <c r="I1662" t="n">
        <v>3.4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s="2" t="inlineStr"/>
    </row>
    <row r="1663" ht="15" customHeight="1">
      <c r="A1663" t="inlineStr">
        <is>
          <t>A 38555-2026</t>
        </is>
      </c>
      <c r="B1663" t="inlineStr">
        <is>
          <t>avverkningsanmälan</t>
        </is>
      </c>
      <c r="C1663" t="inlineStr">
        <is>
          <t>Föryngringsavverkning</t>
        </is>
      </c>
      <c r="D1663" s="1" t="n">
        <v>46283</v>
      </c>
      <c r="E1663" s="1" t="n">
        <v>46313</v>
      </c>
      <c r="F1663" t="inlineStr">
        <is>
          <t>GÄVLEBORGS LÄN</t>
        </is>
      </c>
      <c r="G1663" t="inlineStr">
        <is>
          <t>BOLLNÄS</t>
        </is>
      </c>
      <c r="H1663" t="inlineStr">
        <is>
          <t>Sveaskog</t>
        </is>
      </c>
      <c r="I1663" t="n">
        <v>5.5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s="2" t="inlineStr"/>
    </row>
    <row r="1664" ht="15" customHeight="1">
      <c r="A1664" t="inlineStr">
        <is>
          <t>A 38559-2026</t>
        </is>
      </c>
      <c r="B1664" t="inlineStr">
        <is>
          <t>avverkningsanmälan</t>
        </is>
      </c>
      <c r="C1664" t="inlineStr">
        <is>
          <t>Föryngringsavverkning</t>
        </is>
      </c>
      <c r="D1664" s="1" t="n">
        <v>46283</v>
      </c>
      <c r="E1664" s="1" t="n">
        <v>46313</v>
      </c>
      <c r="F1664" t="inlineStr">
        <is>
          <t>GÄVLEBORGS LÄN</t>
        </is>
      </c>
      <c r="G1664" t="inlineStr">
        <is>
          <t>BOLLNÄS</t>
        </is>
      </c>
      <c r="H1664" t="inlineStr">
        <is>
          <t>Sveaskog</t>
        </is>
      </c>
      <c r="I1664" t="n">
        <v>0.5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s="2" t="inlineStr"/>
    </row>
    <row r="1665" ht="15" customHeight="1">
      <c r="A1665" t="inlineStr">
        <is>
          <t>A 32455-2026</t>
        </is>
      </c>
      <c r="B1665" t="inlineStr">
        <is>
          <t>avverkningsanmälan</t>
        </is>
      </c>
      <c r="C1665" t="inlineStr">
        <is>
          <t>Föryngringsavverkning</t>
        </is>
      </c>
      <c r="D1665" s="1" t="n">
        <v>46239</v>
      </c>
      <c r="E1665" s="1" t="n">
        <v>46313</v>
      </c>
      <c r="F1665" t="inlineStr">
        <is>
          <t>GÄVLEBORGS LÄN</t>
        </is>
      </c>
      <c r="G1665" t="inlineStr">
        <is>
          <t>BOLLNÄS</t>
        </is>
      </c>
      <c r="I1665" t="n">
        <v>2.2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s="2" t="inlineStr"/>
    </row>
    <row r="1666" ht="15" customHeight="1">
      <c r="A1666" t="inlineStr">
        <is>
          <t>A 32478-2026</t>
        </is>
      </c>
      <c r="B1666" t="inlineStr">
        <is>
          <t>avverkningsanmälan</t>
        </is>
      </c>
      <c r="C1666" t="inlineStr">
        <is>
          <t>Föryngringsavverkning</t>
        </is>
      </c>
      <c r="D1666" s="1" t="n">
        <v>46239</v>
      </c>
      <c r="E1666" s="1" t="n">
        <v>46313</v>
      </c>
      <c r="F1666" t="inlineStr">
        <is>
          <t>GÄVLEBORGS LÄN</t>
        </is>
      </c>
      <c r="G1666" t="inlineStr">
        <is>
          <t>BOLLNÄS</t>
        </is>
      </c>
      <c r="I1666" t="n">
        <v>1.3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s="2" t="inlineStr"/>
    </row>
    <row r="1667" ht="15" customHeight="1">
      <c r="A1667" t="inlineStr">
        <is>
          <t>A 32484-2026</t>
        </is>
      </c>
      <c r="B1667" t="inlineStr">
        <is>
          <t>avverkningsanmälan</t>
        </is>
      </c>
      <c r="C1667" t="inlineStr">
        <is>
          <t>Föryngringsavverkning</t>
        </is>
      </c>
      <c r="D1667" s="1" t="n">
        <v>46239</v>
      </c>
      <c r="E1667" s="1" t="n">
        <v>46313</v>
      </c>
      <c r="F1667" t="inlineStr">
        <is>
          <t>GÄVLEBORGS LÄN</t>
        </is>
      </c>
      <c r="G1667" t="inlineStr">
        <is>
          <t>BOLLNÄS</t>
        </is>
      </c>
      <c r="I1667" t="n">
        <v>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s="2" t="inlineStr"/>
    </row>
    <row r="1668" ht="15" customHeight="1">
      <c r="A1668" t="inlineStr">
        <is>
          <t>A 32463-2026</t>
        </is>
      </c>
      <c r="B1668" t="inlineStr">
        <is>
          <t>avverkningsanmälan</t>
        </is>
      </c>
      <c r="C1668" t="inlineStr">
        <is>
          <t>Föryngringsavverkning</t>
        </is>
      </c>
      <c r="D1668" s="1" t="n">
        <v>46239</v>
      </c>
      <c r="E1668" s="1" t="n">
        <v>46313</v>
      </c>
      <c r="F1668" t="inlineStr">
        <is>
          <t>GÄVLEBORGS LÄN</t>
        </is>
      </c>
      <c r="G1668" t="inlineStr">
        <is>
          <t>BOLLNÄS</t>
        </is>
      </c>
      <c r="I1668" t="n">
        <v>2.2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s="2" t="inlineStr"/>
    </row>
    <row r="1669" ht="15" customHeight="1">
      <c r="A1669" t="inlineStr">
        <is>
          <t>A 58431-2021</t>
        </is>
      </c>
      <c r="B1669" t="inlineStr">
        <is>
          <t>avverkningsanmälan</t>
        </is>
      </c>
      <c r="C1669" t="inlineStr">
        <is>
          <t>Föryngringsavverkning</t>
        </is>
      </c>
      <c r="D1669" s="1" t="n">
        <v>44488</v>
      </c>
      <c r="E1669" s="1" t="n">
        <v>46313</v>
      </c>
      <c r="F1669" t="inlineStr">
        <is>
          <t>GÄVLEBORGS LÄN</t>
        </is>
      </c>
      <c r="G1669" t="inlineStr">
        <is>
          <t>BOLLNÄS</t>
        </is>
      </c>
      <c r="I1669" t="n">
        <v>1.6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s="2" t="inlineStr"/>
    </row>
    <row r="1670" ht="15" customHeight="1">
      <c r="A1670" t="inlineStr">
        <is>
          <t>A 27152-2024</t>
        </is>
      </c>
      <c r="B1670" t="inlineStr">
        <is>
          <t>avverkningsanmälan</t>
        </is>
      </c>
      <c r="C1670" t="inlineStr">
        <is>
          <t>Föryngringsavverkning</t>
        </is>
      </c>
      <c r="D1670" s="1" t="n">
        <v>45471</v>
      </c>
      <c r="E1670" s="1" t="n">
        <v>46313</v>
      </c>
      <c r="F1670" t="inlineStr">
        <is>
          <t>GÄVLEBORGS LÄN</t>
        </is>
      </c>
      <c r="G1670" t="inlineStr">
        <is>
          <t>BOLLNÄS</t>
        </is>
      </c>
      <c r="I1670" t="n">
        <v>0.7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s="2" t="inlineStr"/>
    </row>
    <row r="1671" ht="15" customHeight="1">
      <c r="A1671" t="inlineStr">
        <is>
          <t>A 29241-2022</t>
        </is>
      </c>
      <c r="B1671" t="inlineStr">
        <is>
          <t>avverkningsanmälan</t>
        </is>
      </c>
      <c r="C1671" t="inlineStr">
        <is>
          <t>Föryngringsavverkning</t>
        </is>
      </c>
      <c r="D1671" s="1" t="n">
        <v>44750</v>
      </c>
      <c r="E1671" s="1" t="n">
        <v>46313</v>
      </c>
      <c r="F1671" t="inlineStr">
        <is>
          <t>GÄVLEBORGS LÄN</t>
        </is>
      </c>
      <c r="G1671" t="inlineStr">
        <is>
          <t>BOLLNÄS</t>
        </is>
      </c>
      <c r="H1671" t="inlineStr">
        <is>
          <t>Sveaskog</t>
        </is>
      </c>
      <c r="I1671" t="n">
        <v>1.2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s="2" t="inlineStr"/>
    </row>
    <row r="1672" ht="15" customHeight="1">
      <c r="A1672" t="inlineStr">
        <is>
          <t>A 32605-2026</t>
        </is>
      </c>
      <c r="B1672" t="inlineStr">
        <is>
          <t>avverkningsanmälan</t>
        </is>
      </c>
      <c r="C1672" t="inlineStr">
        <is>
          <t>Föryngringsavverkning</t>
        </is>
      </c>
      <c r="D1672" s="1" t="n">
        <v>46240</v>
      </c>
      <c r="E1672" s="1" t="n">
        <v>46313</v>
      </c>
      <c r="F1672" t="inlineStr">
        <is>
          <t>GÄVLEBORGS LÄN</t>
        </is>
      </c>
      <c r="G1672" t="inlineStr">
        <is>
          <t>BOLLNÄS</t>
        </is>
      </c>
      <c r="I1672" t="n">
        <v>2.6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s="2" t="inlineStr"/>
    </row>
    <row r="1673" ht="15" customHeight="1">
      <c r="A1673" t="inlineStr">
        <is>
          <t>A 38403-2026</t>
        </is>
      </c>
      <c r="B1673" t="inlineStr">
        <is>
          <t>avverkningsanmälan</t>
        </is>
      </c>
      <c r="C1673" t="inlineStr">
        <is>
          <t>Föryngringsavverkning</t>
        </is>
      </c>
      <c r="D1673" s="1" t="n">
        <v>46282</v>
      </c>
      <c r="E1673" s="1" t="n">
        <v>46313</v>
      </c>
      <c r="F1673" t="inlineStr">
        <is>
          <t>GÄVLEBORGS LÄN</t>
        </is>
      </c>
      <c r="G1673" t="inlineStr">
        <is>
          <t>BOLLNÄS</t>
        </is>
      </c>
      <c r="H1673" t="inlineStr">
        <is>
          <t>Bergvik skog väst AB</t>
        </is>
      </c>
      <c r="I1673" t="n">
        <v>2.2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s="2" t="inlineStr"/>
    </row>
    <row r="1674" ht="15" customHeight="1">
      <c r="A1674" t="inlineStr">
        <is>
          <t>A 38367-2026</t>
        </is>
      </c>
      <c r="B1674" t="inlineStr">
        <is>
          <t>avverkningsanmälan</t>
        </is>
      </c>
      <c r="C1674" t="inlineStr">
        <is>
          <t>Föryngringsavverkning</t>
        </is>
      </c>
      <c r="D1674" s="1" t="n">
        <v>46282</v>
      </c>
      <c r="E1674" s="1" t="n">
        <v>46313</v>
      </c>
      <c r="F1674" t="inlineStr">
        <is>
          <t>GÄVLEBORGS LÄN</t>
        </is>
      </c>
      <c r="G1674" t="inlineStr">
        <is>
          <t>BOLLNÄS</t>
        </is>
      </c>
      <c r="I1674" t="n">
        <v>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s="2" t="inlineStr"/>
    </row>
    <row r="1675" ht="15" customHeight="1">
      <c r="A1675" t="inlineStr">
        <is>
          <t>A 38607-2026</t>
        </is>
      </c>
      <c r="B1675" t="inlineStr">
        <is>
          <t>avverkningsanmälan</t>
        </is>
      </c>
      <c r="C1675" t="inlineStr">
        <is>
          <t>Föryngringsavverkning</t>
        </is>
      </c>
      <c r="D1675" s="1" t="n">
        <v>46283</v>
      </c>
      <c r="E1675" s="1" t="n">
        <v>46313</v>
      </c>
      <c r="F1675" t="inlineStr">
        <is>
          <t>GÄVLEBORGS LÄN</t>
        </is>
      </c>
      <c r="G1675" t="inlineStr">
        <is>
          <t>BOLLNÄS</t>
        </is>
      </c>
      <c r="H1675" t="inlineStr">
        <is>
          <t>Sveaskog</t>
        </is>
      </c>
      <c r="I1675" t="n">
        <v>1.4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s="2" t="inlineStr"/>
    </row>
    <row r="1676" ht="15" customHeight="1">
      <c r="A1676" t="inlineStr">
        <is>
          <t>A 38434-2026</t>
        </is>
      </c>
      <c r="B1676" t="inlineStr">
        <is>
          <t>avverkningsanmälan</t>
        </is>
      </c>
      <c r="C1676" t="inlineStr">
        <is>
          <t>Föryngringsavverkning</t>
        </is>
      </c>
      <c r="D1676" s="1" t="n">
        <v>46282</v>
      </c>
      <c r="E1676" s="1" t="n">
        <v>46313</v>
      </c>
      <c r="F1676" t="inlineStr">
        <is>
          <t>GÄVLEBORGS LÄN</t>
        </is>
      </c>
      <c r="G1676" t="inlineStr">
        <is>
          <t>BOLLNÄS</t>
        </is>
      </c>
      <c r="H1676" t="inlineStr">
        <is>
          <t>Sveaskog</t>
        </is>
      </c>
      <c r="I1676" t="n">
        <v>8.699999999999999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s="2" t="inlineStr"/>
    </row>
    <row r="1677" ht="15" customHeight="1">
      <c r="A1677" t="inlineStr">
        <is>
          <t>A 38610-2026</t>
        </is>
      </c>
      <c r="B1677" t="inlineStr">
        <is>
          <t>avverkningsanmälan</t>
        </is>
      </c>
      <c r="C1677" t="inlineStr">
        <is>
          <t>Föryngringsavverkning</t>
        </is>
      </c>
      <c r="D1677" s="1" t="n">
        <v>46283</v>
      </c>
      <c r="E1677" s="1" t="n">
        <v>46313</v>
      </c>
      <c r="F1677" t="inlineStr">
        <is>
          <t>GÄVLEBORGS LÄN</t>
        </is>
      </c>
      <c r="G1677" t="inlineStr">
        <is>
          <t>BOLLNÄS</t>
        </is>
      </c>
      <c r="H1677" t="inlineStr">
        <is>
          <t>Sveaskog</t>
        </is>
      </c>
      <c r="I1677" t="n">
        <v>1.6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s="2" t="inlineStr"/>
    </row>
    <row r="1678" ht="15" customHeight="1">
      <c r="A1678" t="inlineStr">
        <is>
          <t>A 27612-2024</t>
        </is>
      </c>
      <c r="B1678" t="inlineStr">
        <is>
          <t>avverkningsanmälan</t>
        </is>
      </c>
      <c r="C1678" t="inlineStr">
        <is>
          <t>Föryngringsavverkning</t>
        </is>
      </c>
      <c r="D1678" s="1" t="n">
        <v>45474</v>
      </c>
      <c r="E1678" s="1" t="n">
        <v>46313</v>
      </c>
      <c r="F1678" t="inlineStr">
        <is>
          <t>GÄVLEBORGS LÄN</t>
        </is>
      </c>
      <c r="G1678" t="inlineStr">
        <is>
          <t>BOLLNÄS</t>
        </is>
      </c>
      <c r="I1678" t="n">
        <v>1.1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s="2" t="inlineStr"/>
    </row>
    <row r="1679" ht="15" customHeight="1">
      <c r="A1679" t="inlineStr">
        <is>
          <t>A 10606-2024</t>
        </is>
      </c>
      <c r="B1679" t="inlineStr">
        <is>
          <t>avverkningsanmälan</t>
        </is>
      </c>
      <c r="C1679" t="inlineStr">
        <is>
          <t>Föryngringsavverkning</t>
        </is>
      </c>
      <c r="D1679" s="1" t="n">
        <v>45366</v>
      </c>
      <c r="E1679" s="1" t="n">
        <v>46313</v>
      </c>
      <c r="F1679" t="inlineStr">
        <is>
          <t>GÄVLEBORGS LÄN</t>
        </is>
      </c>
      <c r="G1679" t="inlineStr">
        <is>
          <t>BOLLNÄS</t>
        </is>
      </c>
      <c r="I1679" t="n">
        <v>2.6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s="2" t="inlineStr"/>
    </row>
    <row r="1680" ht="15" customHeight="1">
      <c r="A1680" t="inlineStr">
        <is>
          <t>A 36979-2026</t>
        </is>
      </c>
      <c r="B1680" t="inlineStr">
        <is>
          <t>avverkningsanmälan</t>
        </is>
      </c>
      <c r="C1680" t="inlineStr">
        <is>
          <t>Föryngringsavverkning</t>
        </is>
      </c>
      <c r="D1680" s="1" t="n">
        <v>46273</v>
      </c>
      <c r="E1680" s="1" t="n">
        <v>46313</v>
      </c>
      <c r="F1680" t="inlineStr">
        <is>
          <t>GÄVLEBORGS LÄN</t>
        </is>
      </c>
      <c r="G1680" t="inlineStr">
        <is>
          <t>BOLLNÄS</t>
        </is>
      </c>
      <c r="I1680" t="n">
        <v>5.1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s="2" t="inlineStr"/>
    </row>
    <row r="1681" ht="15" customHeight="1">
      <c r="A1681" t="inlineStr">
        <is>
          <t>A 14913-2025</t>
        </is>
      </c>
      <c r="B1681" t="inlineStr">
        <is>
          <t>avverkningsanmälan</t>
        </is>
      </c>
      <c r="C1681" t="inlineStr">
        <is>
          <t>Föryngringsavverkning</t>
        </is>
      </c>
      <c r="D1681" s="1" t="n">
        <v>45743</v>
      </c>
      <c r="E1681" s="1" t="n">
        <v>46313</v>
      </c>
      <c r="F1681" t="inlineStr">
        <is>
          <t>GÄVLEBORGS LÄN</t>
        </is>
      </c>
      <c r="G1681" t="inlineStr">
        <is>
          <t>BOLLNÄS</t>
        </is>
      </c>
      <c r="H1681" t="inlineStr">
        <is>
          <t>Bergvik skog väst AB</t>
        </is>
      </c>
      <c r="I1681" t="n">
        <v>9.199999999999999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s="2" t="inlineStr"/>
    </row>
    <row r="1682" ht="15" customHeight="1">
      <c r="A1682" t="inlineStr">
        <is>
          <t>A 48007-2022</t>
        </is>
      </c>
      <c r="B1682" t="inlineStr">
        <is>
          <t>avverkningsanmälan</t>
        </is>
      </c>
      <c r="C1682" t="inlineStr">
        <is>
          <t>Föryngringsavverkning</t>
        </is>
      </c>
      <c r="D1682" s="1" t="n">
        <v>44855</v>
      </c>
      <c r="E1682" s="1" t="n">
        <v>46313</v>
      </c>
      <c r="F1682" t="inlineStr">
        <is>
          <t>GÄVLEBORGS LÄN</t>
        </is>
      </c>
      <c r="G1682" t="inlineStr">
        <is>
          <t>BOLLNÄS</t>
        </is>
      </c>
      <c r="I1682" t="n">
        <v>4.3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s="2" t="inlineStr"/>
    </row>
    <row r="1683" ht="15" customHeight="1">
      <c r="A1683" t="inlineStr">
        <is>
          <t>A 38796-2026</t>
        </is>
      </c>
      <c r="B1683" t="inlineStr">
        <is>
          <t>avverkningsanmälan</t>
        </is>
      </c>
      <c r="C1683" t="inlineStr">
        <is>
          <t>Föryngringsavverkning</t>
        </is>
      </c>
      <c r="D1683" s="1" t="n">
        <v>46286</v>
      </c>
      <c r="E1683" s="1" t="n">
        <v>46313</v>
      </c>
      <c r="F1683" t="inlineStr">
        <is>
          <t>GÄVLEBORGS LÄN</t>
        </is>
      </c>
      <c r="G1683" t="inlineStr">
        <is>
          <t>BOLLNÄS</t>
        </is>
      </c>
      <c r="I1683" t="n">
        <v>6.1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s="2" t="inlineStr"/>
    </row>
    <row r="1684" ht="15" customHeight="1">
      <c r="A1684" t="inlineStr">
        <is>
          <t>A 36087-2023</t>
        </is>
      </c>
      <c r="B1684" t="inlineStr">
        <is>
          <t>avverkningsanmälan</t>
        </is>
      </c>
      <c r="C1684" t="inlineStr">
        <is>
          <t>Föryngringsavverkning</t>
        </is>
      </c>
      <c r="D1684" s="1" t="n">
        <v>45149</v>
      </c>
      <c r="E1684" s="1" t="n">
        <v>46313</v>
      </c>
      <c r="F1684" t="inlineStr">
        <is>
          <t>GÄVLEBORGS LÄN</t>
        </is>
      </c>
      <c r="G1684" t="inlineStr">
        <is>
          <t>BOLLNÄS</t>
        </is>
      </c>
      <c r="I1684" t="n">
        <v>1.4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s="2" t="inlineStr"/>
    </row>
    <row r="1685" ht="15" customHeight="1">
      <c r="A1685" t="inlineStr">
        <is>
          <t>A 32704-2026</t>
        </is>
      </c>
      <c r="B1685" t="inlineStr">
        <is>
          <t>avverkningsanmälan</t>
        </is>
      </c>
      <c r="C1685" t="inlineStr">
        <is>
          <t>Föryngringsavverkning</t>
        </is>
      </c>
      <c r="D1685" s="1" t="n">
        <v>46241</v>
      </c>
      <c r="E1685" s="1" t="n">
        <v>46313</v>
      </c>
      <c r="F1685" t="inlineStr">
        <is>
          <t>GÄVLEBORGS LÄN</t>
        </is>
      </c>
      <c r="G1685" t="inlineStr">
        <is>
          <t>BOLLNÄS</t>
        </is>
      </c>
      <c r="I1685" t="n">
        <v>1.5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s="2" t="inlineStr"/>
    </row>
    <row r="1686" ht="15" customHeight="1">
      <c r="A1686" t="inlineStr">
        <is>
          <t>A 30067-2023</t>
        </is>
      </c>
      <c r="B1686" t="inlineStr">
        <is>
          <t>avverkningsanmälan</t>
        </is>
      </c>
      <c r="C1686" t="inlineStr">
        <is>
          <t>Föryngringsavverkning</t>
        </is>
      </c>
      <c r="D1686" s="1" t="n">
        <v>45110</v>
      </c>
      <c r="E1686" s="1" t="n">
        <v>46313</v>
      </c>
      <c r="F1686" t="inlineStr">
        <is>
          <t>GÄVLEBORGS LÄN</t>
        </is>
      </c>
      <c r="G1686" t="inlineStr">
        <is>
          <t>BOLLNÄS</t>
        </is>
      </c>
      <c r="I1686" t="n">
        <v>0.5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s="2" t="inlineStr"/>
    </row>
    <row r="1687" ht="15" customHeight="1">
      <c r="A1687" t="inlineStr">
        <is>
          <t>A 60884-2022</t>
        </is>
      </c>
      <c r="B1687" t="inlineStr">
        <is>
          <t>avverkningsanmälan</t>
        </is>
      </c>
      <c r="C1687" t="inlineStr">
        <is>
          <t>Föryngringsavverkning</t>
        </is>
      </c>
      <c r="D1687" s="1" t="n">
        <v>44914</v>
      </c>
      <c r="E1687" s="1" t="n">
        <v>46313</v>
      </c>
      <c r="F1687" t="inlineStr">
        <is>
          <t>GÄVLEBORGS LÄN</t>
        </is>
      </c>
      <c r="G1687" t="inlineStr">
        <is>
          <t>BOLLNÄS</t>
        </is>
      </c>
      <c r="I1687" t="n">
        <v>0.8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s="2" t="inlineStr"/>
    </row>
    <row r="1688" ht="15" customHeight="1">
      <c r="A1688" t="inlineStr">
        <is>
          <t>A 36913-2026</t>
        </is>
      </c>
      <c r="B1688" t="inlineStr">
        <is>
          <t>avverkningsanmälan</t>
        </is>
      </c>
      <c r="C1688" t="inlineStr">
        <is>
          <t>Föryngringsavverkning</t>
        </is>
      </c>
      <c r="D1688" s="1" t="n">
        <v>46273</v>
      </c>
      <c r="E1688" s="1" t="n">
        <v>46313</v>
      </c>
      <c r="F1688" t="inlineStr">
        <is>
          <t>GÄVLEBORGS LÄN</t>
        </is>
      </c>
      <c r="G1688" t="inlineStr">
        <is>
          <t>BOLLNÄS</t>
        </is>
      </c>
      <c r="I1688" t="n">
        <v>2.1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s="2" t="inlineStr"/>
    </row>
    <row r="1689" ht="15" customHeight="1">
      <c r="A1689" t="inlineStr">
        <is>
          <t>A 32898-2026</t>
        </is>
      </c>
      <c r="B1689" t="inlineStr">
        <is>
          <t>avverkningsanmälan</t>
        </is>
      </c>
      <c r="C1689" t="inlineStr">
        <is>
          <t>Föryngringsavverkning</t>
        </is>
      </c>
      <c r="D1689" s="1" t="n">
        <v>46244</v>
      </c>
      <c r="E1689" s="1" t="n">
        <v>46313</v>
      </c>
      <c r="F1689" t="inlineStr">
        <is>
          <t>GÄVLEBORGS LÄN</t>
        </is>
      </c>
      <c r="G1689" t="inlineStr">
        <is>
          <t>BOLLNÄS</t>
        </is>
      </c>
      <c r="H1689" t="inlineStr">
        <is>
          <t>Bergvik skog väst AB</t>
        </is>
      </c>
      <c r="I1689" t="n">
        <v>2.2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s="2" t="inlineStr"/>
    </row>
    <row r="1690" ht="15" customHeight="1">
      <c r="A1690" t="inlineStr">
        <is>
          <t>A 11956-2023</t>
        </is>
      </c>
      <c r="B1690" t="inlineStr">
        <is>
          <t>avverkningsanmälan</t>
        </is>
      </c>
      <c r="C1690" t="inlineStr">
        <is>
          <t>Föryngringsavverkning</t>
        </is>
      </c>
      <c r="D1690" s="1" t="n">
        <v>44995</v>
      </c>
      <c r="E1690" s="1" t="n">
        <v>46313</v>
      </c>
      <c r="F1690" t="inlineStr">
        <is>
          <t>GÄVLEBORGS LÄN</t>
        </is>
      </c>
      <c r="G1690" t="inlineStr">
        <is>
          <t>BOLLNÄS</t>
        </is>
      </c>
      <c r="I1690" t="n">
        <v>3.2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s="2" t="inlineStr"/>
    </row>
    <row r="1691" ht="15" customHeight="1">
      <c r="A1691" t="inlineStr">
        <is>
          <t>A 38887-2026</t>
        </is>
      </c>
      <c r="B1691" t="inlineStr">
        <is>
          <t>avverkningsanmälan</t>
        </is>
      </c>
      <c r="C1691" t="inlineStr">
        <is>
          <t>Föryngringsavverkning</t>
        </is>
      </c>
      <c r="D1691" s="1" t="n">
        <v>46286</v>
      </c>
      <c r="E1691" s="1" t="n">
        <v>46313</v>
      </c>
      <c r="F1691" t="inlineStr">
        <is>
          <t>GÄVLEBORGS LÄN</t>
        </is>
      </c>
      <c r="G1691" t="inlineStr">
        <is>
          <t>BOLLNÄS</t>
        </is>
      </c>
      <c r="I1691" t="n">
        <v>2.3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s="2" t="inlineStr"/>
    </row>
    <row r="1692" ht="15" customHeight="1">
      <c r="A1692" t="inlineStr">
        <is>
          <t>A 36970-2026</t>
        </is>
      </c>
      <c r="B1692" t="inlineStr">
        <is>
          <t>avverkningsanmälan</t>
        </is>
      </c>
      <c r="C1692" t="inlineStr">
        <is>
          <t>Föryngringsavverkning</t>
        </is>
      </c>
      <c r="D1692" s="1" t="n">
        <v>46273</v>
      </c>
      <c r="E1692" s="1" t="n">
        <v>46313</v>
      </c>
      <c r="F1692" t="inlineStr">
        <is>
          <t>GÄVLEBORGS LÄN</t>
        </is>
      </c>
      <c r="G1692" t="inlineStr">
        <is>
          <t>BOLLNÄS</t>
        </is>
      </c>
      <c r="I1692" t="n">
        <v>5.3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s="2" t="inlineStr"/>
    </row>
    <row r="1693" ht="15" customHeight="1">
      <c r="A1693" t="inlineStr">
        <is>
          <t>A 38894-2026</t>
        </is>
      </c>
      <c r="B1693" t="inlineStr">
        <is>
          <t>avverkningsanmälan</t>
        </is>
      </c>
      <c r="C1693" t="inlineStr">
        <is>
          <t>Föryngringsavverkning</t>
        </is>
      </c>
      <c r="D1693" s="1" t="n">
        <v>46286</v>
      </c>
      <c r="E1693" s="1" t="n">
        <v>46313</v>
      </c>
      <c r="F1693" t="inlineStr">
        <is>
          <t>GÄVLEBORGS LÄN</t>
        </is>
      </c>
      <c r="G1693" t="inlineStr">
        <is>
          <t>BOLLNÄS</t>
        </is>
      </c>
      <c r="I1693" t="n">
        <v>2.3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s="2" t="inlineStr"/>
    </row>
    <row r="1694" ht="15" customHeight="1">
      <c r="A1694" t="inlineStr">
        <is>
          <t>A 26528-2026</t>
        </is>
      </c>
      <c r="B1694" t="inlineStr">
        <is>
          <t>avverkningsanmälan</t>
        </is>
      </c>
      <c r="C1694" t="inlineStr">
        <is>
          <t>Föryngringsavverkning</t>
        </is>
      </c>
      <c r="D1694" s="1" t="n">
        <v>46183</v>
      </c>
      <c r="E1694" s="1" t="n">
        <v>46313</v>
      </c>
      <c r="F1694" t="inlineStr">
        <is>
          <t>GÄVLEBORGS LÄN</t>
        </is>
      </c>
      <c r="G1694" t="inlineStr">
        <is>
          <t>BOLLNÄS</t>
        </is>
      </c>
      <c r="I1694" t="n">
        <v>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s="2" t="inlineStr"/>
    </row>
    <row r="1695" ht="15" customHeight="1">
      <c r="A1695" t="inlineStr">
        <is>
          <t>A 48301-2023</t>
        </is>
      </c>
      <c r="B1695" t="inlineStr">
        <is>
          <t>avverkningsanmälan</t>
        </is>
      </c>
      <c r="C1695" t="inlineStr">
        <is>
          <t>Föryngringsavverkning</t>
        </is>
      </c>
      <c r="D1695" s="1" t="n">
        <v>45205</v>
      </c>
      <c r="E1695" s="1" t="n">
        <v>46313</v>
      </c>
      <c r="F1695" t="inlineStr">
        <is>
          <t>GÄVLEBORGS LÄN</t>
        </is>
      </c>
      <c r="G1695" t="inlineStr">
        <is>
          <t>BOLLNÄS</t>
        </is>
      </c>
      <c r="I1695" t="n">
        <v>5.1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s="2" t="inlineStr"/>
    </row>
    <row r="1696" ht="15" customHeight="1">
      <c r="A1696" t="inlineStr">
        <is>
          <t>A 27322-2026</t>
        </is>
      </c>
      <c r="B1696" t="inlineStr">
        <is>
          <t>avverkningsanmälan</t>
        </is>
      </c>
      <c r="C1696" t="inlineStr">
        <is>
          <t>Föryngringsavverkning</t>
        </is>
      </c>
      <c r="D1696" s="1" t="n">
        <v>46188</v>
      </c>
      <c r="E1696" s="1" t="n">
        <v>46313</v>
      </c>
      <c r="F1696" t="inlineStr">
        <is>
          <t>GÄVLEBORGS LÄN</t>
        </is>
      </c>
      <c r="G1696" t="inlineStr">
        <is>
          <t>BOLLNÄS</t>
        </is>
      </c>
      <c r="I1696" t="n">
        <v>6.4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s="2" t="inlineStr"/>
    </row>
    <row r="1697" ht="15" customHeight="1">
      <c r="A1697" t="inlineStr">
        <is>
          <t>A 38895-2026</t>
        </is>
      </c>
      <c r="B1697" t="inlineStr">
        <is>
          <t>avverkningsanmälan</t>
        </is>
      </c>
      <c r="C1697" t="inlineStr">
        <is>
          <t>Föryngringsavverkning</t>
        </is>
      </c>
      <c r="D1697" s="1" t="n">
        <v>46286</v>
      </c>
      <c r="E1697" s="1" t="n">
        <v>46313</v>
      </c>
      <c r="F1697" t="inlineStr">
        <is>
          <t>GÄVLEBORGS LÄN</t>
        </is>
      </c>
      <c r="G1697" t="inlineStr">
        <is>
          <t>BOLLNÄS</t>
        </is>
      </c>
      <c r="I1697" t="n">
        <v>0.7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s="2" t="inlineStr"/>
    </row>
    <row r="1698" ht="15" customHeight="1">
      <c r="A1698" t="inlineStr">
        <is>
          <t>A 71657-2021</t>
        </is>
      </c>
      <c r="B1698" t="inlineStr">
        <is>
          <t>avverkningsanmälan</t>
        </is>
      </c>
      <c r="C1698" t="inlineStr">
        <is>
          <t>Föryngringsavverkning</t>
        </is>
      </c>
      <c r="D1698" s="1" t="n">
        <v>44543</v>
      </c>
      <c r="E1698" s="1" t="n">
        <v>46313</v>
      </c>
      <c r="F1698" t="inlineStr">
        <is>
          <t>GÄVLEBORGS LÄN</t>
        </is>
      </c>
      <c r="G1698" t="inlineStr">
        <is>
          <t>BOLLNÄS</t>
        </is>
      </c>
      <c r="I1698" t="n">
        <v>1.4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s="2" t="inlineStr"/>
    </row>
    <row r="1699" ht="15" customHeight="1">
      <c r="A1699" t="inlineStr">
        <is>
          <t>A 23365-2024</t>
        </is>
      </c>
      <c r="B1699" t="inlineStr">
        <is>
          <t>avverkningsanmälan</t>
        </is>
      </c>
      <c r="C1699" t="inlineStr">
        <is>
          <t>Föryngringsavverkning</t>
        </is>
      </c>
      <c r="D1699" s="1" t="n">
        <v>45453</v>
      </c>
      <c r="E1699" s="1" t="n">
        <v>46313</v>
      </c>
      <c r="F1699" t="inlineStr">
        <is>
          <t>GÄVLEBORGS LÄN</t>
        </is>
      </c>
      <c r="G1699" t="inlineStr">
        <is>
          <t>BOLLNÄS</t>
        </is>
      </c>
      <c r="I1699" t="n">
        <v>0.5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s="2" t="inlineStr"/>
    </row>
    <row r="1700" ht="15" customHeight="1">
      <c r="A1700" t="inlineStr">
        <is>
          <t>A 38717-2026</t>
        </is>
      </c>
      <c r="B1700" t="inlineStr">
        <is>
          <t>avverkningsanmälan</t>
        </is>
      </c>
      <c r="C1700" t="inlineStr">
        <is>
          <t>Avverkning för annat ändamål</t>
        </is>
      </c>
      <c r="D1700" s="1" t="n">
        <v>46284</v>
      </c>
      <c r="E1700" s="1" t="n">
        <v>46313</v>
      </c>
      <c r="F1700" t="inlineStr">
        <is>
          <t>GÄVLEBORGS LÄN</t>
        </is>
      </c>
      <c r="G1700" t="inlineStr">
        <is>
          <t>BOLLNÄS</t>
        </is>
      </c>
      <c r="I1700" t="n">
        <v>0.7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s="2" t="inlineStr"/>
    </row>
    <row r="1701" ht="15" customHeight="1">
      <c r="A1701" t="inlineStr">
        <is>
          <t>A 20876-2024</t>
        </is>
      </c>
      <c r="B1701" t="inlineStr">
        <is>
          <t>avverkningsanmälan</t>
        </is>
      </c>
      <c r="C1701" t="inlineStr">
        <is>
          <t>Föryngringsavverkning</t>
        </is>
      </c>
      <c r="D1701" s="1" t="n">
        <v>45439</v>
      </c>
      <c r="E1701" s="1" t="n">
        <v>46313</v>
      </c>
      <c r="F1701" t="inlineStr">
        <is>
          <t>GÄVLEBORGS LÄN</t>
        </is>
      </c>
      <c r="G1701" t="inlineStr">
        <is>
          <t>BOLLNÄS</t>
        </is>
      </c>
      <c r="I1701" t="n">
        <v>2.2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s="2" t="inlineStr"/>
    </row>
    <row r="1702" ht="15" customHeight="1">
      <c r="A1702" t="inlineStr">
        <is>
          <t>A 15150-2023</t>
        </is>
      </c>
      <c r="B1702" t="inlineStr">
        <is>
          <t>avverkningsanmälan</t>
        </is>
      </c>
      <c r="C1702" t="inlineStr">
        <is>
          <t>Föryngringsavverkning</t>
        </is>
      </c>
      <c r="D1702" s="1" t="n">
        <v>45016</v>
      </c>
      <c r="E1702" s="1" t="n">
        <v>46313</v>
      </c>
      <c r="F1702" t="inlineStr">
        <is>
          <t>GÄVLEBORGS LÄN</t>
        </is>
      </c>
      <c r="G1702" t="inlineStr">
        <is>
          <t>BOLLNÄS</t>
        </is>
      </c>
      <c r="I1702" t="n">
        <v>0.5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s="2" t="inlineStr"/>
    </row>
    <row r="1703" ht="15" customHeight="1">
      <c r="A1703" t="inlineStr">
        <is>
          <t>A 2297-2024</t>
        </is>
      </c>
      <c r="B1703" t="inlineStr">
        <is>
          <t>avverkningsanmälan</t>
        </is>
      </c>
      <c r="C1703" t="inlineStr">
        <is>
          <t>Föryngringsavverkning</t>
        </is>
      </c>
      <c r="D1703" s="1" t="n">
        <v>45310</v>
      </c>
      <c r="E1703" s="1" t="n">
        <v>46313</v>
      </c>
      <c r="F1703" t="inlineStr">
        <is>
          <t>GÄVLEBORGS LÄN</t>
        </is>
      </c>
      <c r="G1703" t="inlineStr">
        <is>
          <t>BOLLNÄS</t>
        </is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s="2" t="inlineStr"/>
    </row>
    <row r="1704" ht="15" customHeight="1">
      <c r="A1704" t="inlineStr">
        <is>
          <t>A 39308-2026</t>
        </is>
      </c>
      <c r="B1704" t="inlineStr">
        <is>
          <t>avverkningsanmälan</t>
        </is>
      </c>
      <c r="C1704" t="inlineStr">
        <is>
          <t>Föryngringsavverkning</t>
        </is>
      </c>
      <c r="D1704" s="1" t="n">
        <v>46288</v>
      </c>
      <c r="E1704" s="1" t="n">
        <v>46313</v>
      </c>
      <c r="F1704" t="inlineStr">
        <is>
          <t>GÄVLEBORGS LÄN</t>
        </is>
      </c>
      <c r="G1704" t="inlineStr">
        <is>
          <t>BOLLNÄS</t>
        </is>
      </c>
      <c r="I1704" t="n">
        <v>1.3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s="2" t="inlineStr"/>
    </row>
    <row r="1705" ht="15" customHeight="1">
      <c r="A1705" t="inlineStr">
        <is>
          <t>A 1515-2026</t>
        </is>
      </c>
      <c r="B1705" t="inlineStr">
        <is>
          <t>avverkningsanmälan</t>
        </is>
      </c>
      <c r="C1705" t="inlineStr">
        <is>
          <t>Föryngringsavverkning</t>
        </is>
      </c>
      <c r="D1705" s="1" t="n">
        <v>46034</v>
      </c>
      <c r="E1705" s="1" t="n">
        <v>46313</v>
      </c>
      <c r="F1705" t="inlineStr">
        <is>
          <t>GÄVLEBORGS LÄN</t>
        </is>
      </c>
      <c r="G1705" t="inlineStr">
        <is>
          <t>BOLLNÄS</t>
        </is>
      </c>
      <c r="I1705" t="n">
        <v>16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s="2" t="inlineStr"/>
    </row>
    <row r="1706" ht="15" customHeight="1">
      <c r="A1706" t="inlineStr">
        <is>
          <t>A 34405-2026</t>
        </is>
      </c>
      <c r="B1706" t="inlineStr">
        <is>
          <t>avverkningsanmälan</t>
        </is>
      </c>
      <c r="C1706" t="inlineStr">
        <is>
          <t>Föryngringsavverkning</t>
        </is>
      </c>
      <c r="D1706" s="1" t="n">
        <v>46254</v>
      </c>
      <c r="E1706" s="1" t="n">
        <v>46313</v>
      </c>
      <c r="F1706" t="inlineStr">
        <is>
          <t>GÄVLEBORGS LÄN</t>
        </is>
      </c>
      <c r="G1706" t="inlineStr">
        <is>
          <t>BOLLNÄS</t>
        </is>
      </c>
      <c r="I1706" t="n">
        <v>41.4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s="2" t="inlineStr"/>
    </row>
    <row r="1707" ht="15" customHeight="1">
      <c r="A1707" t="inlineStr">
        <is>
          <t>A 23118-2024</t>
        </is>
      </c>
      <c r="B1707" t="inlineStr">
        <is>
          <t>avverkningsanmälan</t>
        </is>
      </c>
      <c r="C1707" t="inlineStr">
        <is>
          <t>Föryngringsavverkning</t>
        </is>
      </c>
      <c r="D1707" s="1" t="n">
        <v>45450</v>
      </c>
      <c r="E1707" s="1" t="n">
        <v>46313</v>
      </c>
      <c r="F1707" t="inlineStr">
        <is>
          <t>GÄVLEBORGS LÄN</t>
        </is>
      </c>
      <c r="G1707" t="inlineStr">
        <is>
          <t>BOLLNÄS</t>
        </is>
      </c>
      <c r="I1707" t="n">
        <v>0.7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s="2" t="inlineStr"/>
    </row>
    <row r="1708" ht="15" customHeight="1">
      <c r="A1708" t="inlineStr">
        <is>
          <t>A 20284-2025</t>
        </is>
      </c>
      <c r="B1708" t="inlineStr">
        <is>
          <t>avverkningsanmälan</t>
        </is>
      </c>
      <c r="C1708" t="inlineStr">
        <is>
          <t>Föryngringsavverkning</t>
        </is>
      </c>
      <c r="D1708" s="1" t="n">
        <v>45774</v>
      </c>
      <c r="E1708" s="1" t="n">
        <v>46313</v>
      </c>
      <c r="F1708" t="inlineStr">
        <is>
          <t>GÄVLEBORGS LÄN</t>
        </is>
      </c>
      <c r="G1708" t="inlineStr">
        <is>
          <t>BOLLNÄS</t>
        </is>
      </c>
      <c r="H1708" t="inlineStr">
        <is>
          <t>Bergvik skog väst AB</t>
        </is>
      </c>
      <c r="I1708" t="n">
        <v>0.4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s="2" t="inlineStr"/>
    </row>
    <row r="1709" ht="15" customHeight="1">
      <c r="A1709" t="inlineStr">
        <is>
          <t>A 60743-2024</t>
        </is>
      </c>
      <c r="B1709" t="inlineStr">
        <is>
          <t>avverkningsanmälan</t>
        </is>
      </c>
      <c r="C1709" t="inlineStr">
        <is>
          <t>Föryngringsavverkning</t>
        </is>
      </c>
      <c r="D1709" s="1" t="n">
        <v>45644</v>
      </c>
      <c r="E1709" s="1" t="n">
        <v>46313</v>
      </c>
      <c r="F1709" t="inlineStr">
        <is>
          <t>GÄVLEBORGS LÄN</t>
        </is>
      </c>
      <c r="G1709" t="inlineStr">
        <is>
          <t>BOLLNÄS</t>
        </is>
      </c>
      <c r="I1709" t="n">
        <v>1.6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s="2" t="inlineStr"/>
    </row>
    <row r="1710" ht="15" customHeight="1">
      <c r="A1710" t="inlineStr">
        <is>
          <t>A 10021-2025</t>
        </is>
      </c>
      <c r="B1710" t="inlineStr">
        <is>
          <t>avverkningsanmälan</t>
        </is>
      </c>
      <c r="C1710" t="inlineStr">
        <is>
          <t>Föryngringsavverkning</t>
        </is>
      </c>
      <c r="D1710" s="1" t="n">
        <v>45719</v>
      </c>
      <c r="E1710" s="1" t="n">
        <v>46313</v>
      </c>
      <c r="F1710" t="inlineStr">
        <is>
          <t>GÄVLEBORGS LÄN</t>
        </is>
      </c>
      <c r="G1710" t="inlineStr">
        <is>
          <t>BOLLNÄS</t>
        </is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s="2" t="inlineStr"/>
    </row>
    <row r="1711" ht="15" customHeight="1">
      <c r="A1711" t="inlineStr">
        <is>
          <t>A 59636-2024</t>
        </is>
      </c>
      <c r="B1711" t="inlineStr">
        <is>
          <t>avverkningsanmälan</t>
        </is>
      </c>
      <c r="C1711" t="inlineStr">
        <is>
          <t>Föryngringsavverkning</t>
        </is>
      </c>
      <c r="D1711" s="1" t="n">
        <v>45639</v>
      </c>
      <c r="E1711" s="1" t="n">
        <v>46313</v>
      </c>
      <c r="F1711" t="inlineStr">
        <is>
          <t>GÄVLEBORGS LÄN</t>
        </is>
      </c>
      <c r="G1711" t="inlineStr">
        <is>
          <t>BOLLNÄS</t>
        </is>
      </c>
      <c r="I1711" t="n">
        <v>1.9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s="2" t="inlineStr"/>
    </row>
    <row r="1712" ht="15" customHeight="1">
      <c r="A1712" t="inlineStr">
        <is>
          <t>A 44177-2022</t>
        </is>
      </c>
      <c r="B1712" t="inlineStr">
        <is>
          <t>avverkningsanmälan</t>
        </is>
      </c>
      <c r="C1712" t="inlineStr">
        <is>
          <t>Föryngringsavverkning</t>
        </is>
      </c>
      <c r="D1712" s="1" t="n">
        <v>44839</v>
      </c>
      <c r="E1712" s="1" t="n">
        <v>46313</v>
      </c>
      <c r="F1712" t="inlineStr">
        <is>
          <t>GÄVLEBORGS LÄN</t>
        </is>
      </c>
      <c r="G1712" t="inlineStr">
        <is>
          <t>BOLLNÄS</t>
        </is>
      </c>
      <c r="I1712" t="n">
        <v>1.1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s="2" t="inlineStr"/>
    </row>
    <row r="1713" ht="15" customHeight="1">
      <c r="A1713" t="inlineStr">
        <is>
          <t>A 35941-2022</t>
        </is>
      </c>
      <c r="B1713" t="inlineStr">
        <is>
          <t>avverkningsanmälan</t>
        </is>
      </c>
      <c r="C1713" t="inlineStr">
        <is>
          <t>Föryngringsavverkning</t>
        </is>
      </c>
      <c r="D1713" s="1" t="n">
        <v>44802</v>
      </c>
      <c r="E1713" s="1" t="n">
        <v>46313</v>
      </c>
      <c r="F1713" t="inlineStr">
        <is>
          <t>GÄVLEBORGS LÄN</t>
        </is>
      </c>
      <c r="G1713" t="inlineStr">
        <is>
          <t>BOLLNÄS</t>
        </is>
      </c>
      <c r="I1713" t="n">
        <v>1.2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s="2" t="inlineStr"/>
    </row>
    <row r="1714" ht="15" customHeight="1">
      <c r="A1714" t="inlineStr">
        <is>
          <t>A 26246-2024</t>
        </is>
      </c>
      <c r="B1714" t="inlineStr">
        <is>
          <t>avverkningsanmälan</t>
        </is>
      </c>
      <c r="C1714" t="inlineStr">
        <is>
          <t>Föryngringsavverkning</t>
        </is>
      </c>
      <c r="D1714" s="1" t="n">
        <v>45468</v>
      </c>
      <c r="E1714" s="1" t="n">
        <v>46313</v>
      </c>
      <c r="F1714" t="inlineStr">
        <is>
          <t>GÄVLEBORGS LÄN</t>
        </is>
      </c>
      <c r="G1714" t="inlineStr">
        <is>
          <t>BOLLNÄS</t>
        </is>
      </c>
      <c r="I1714" t="n">
        <v>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s="2" t="inlineStr"/>
    </row>
    <row r="1715" ht="15" customHeight="1">
      <c r="A1715" t="inlineStr">
        <is>
          <t>A 10118-2024</t>
        </is>
      </c>
      <c r="B1715" t="inlineStr">
        <is>
          <t>avverkningsanmälan</t>
        </is>
      </c>
      <c r="C1715" t="inlineStr">
        <is>
          <t>Föryngringsavverkning</t>
        </is>
      </c>
      <c r="D1715" s="1" t="n">
        <v>45364</v>
      </c>
      <c r="E1715" s="1" t="n">
        <v>46313</v>
      </c>
      <c r="F1715" t="inlineStr">
        <is>
          <t>GÄVLEBORGS LÄN</t>
        </is>
      </c>
      <c r="G1715" t="inlineStr">
        <is>
          <t>BOLLNÄS</t>
        </is>
      </c>
      <c r="I1715" t="n">
        <v>0.3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s="2" t="inlineStr"/>
    </row>
    <row r="1716" ht="15" customHeight="1">
      <c r="A1716" t="inlineStr">
        <is>
          <t>A 10119-2024</t>
        </is>
      </c>
      <c r="B1716" t="inlineStr">
        <is>
          <t>avverkningsanmälan</t>
        </is>
      </c>
      <c r="C1716" t="inlineStr">
        <is>
          <t>Föryngringsavverkning</t>
        </is>
      </c>
      <c r="D1716" s="1" t="n">
        <v>45364</v>
      </c>
      <c r="E1716" s="1" t="n">
        <v>46313</v>
      </c>
      <c r="F1716" t="inlineStr">
        <is>
          <t>GÄVLEBORGS LÄN</t>
        </is>
      </c>
      <c r="G1716" t="inlineStr">
        <is>
          <t>BOLLNÄS</t>
        </is>
      </c>
      <c r="I1716" t="n">
        <v>0.4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s="2" t="inlineStr"/>
    </row>
    <row r="1717" ht="15" customHeight="1">
      <c r="A1717" t="inlineStr">
        <is>
          <t>A 64043-2025</t>
        </is>
      </c>
      <c r="B1717" t="inlineStr">
        <is>
          <t>avverkningsanmälan</t>
        </is>
      </c>
      <c r="C1717" t="inlineStr">
        <is>
          <t>Föryngringsavverkning</t>
        </is>
      </c>
      <c r="D1717" s="1" t="n">
        <v>46021</v>
      </c>
      <c r="E1717" s="1" t="n">
        <v>46313</v>
      </c>
      <c r="F1717" t="inlineStr">
        <is>
          <t>GÄVLEBORGS LÄN</t>
        </is>
      </c>
      <c r="G1717" t="inlineStr">
        <is>
          <t>BOLLNÄS</t>
        </is>
      </c>
      <c r="I1717" t="n">
        <v>17.6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s="2" t="inlineStr"/>
    </row>
    <row r="1718" ht="15" customHeight="1">
      <c r="A1718" t="inlineStr">
        <is>
          <t>A 39568-2026</t>
        </is>
      </c>
      <c r="B1718" t="inlineStr">
        <is>
          <t>avverkningsanmälan</t>
        </is>
      </c>
      <c r="C1718" t="inlineStr">
        <is>
          <t>Föryngringsavverkning</t>
        </is>
      </c>
      <c r="D1718" s="1" t="n">
        <v>46289</v>
      </c>
      <c r="E1718" s="1" t="n">
        <v>46313</v>
      </c>
      <c r="F1718" t="inlineStr">
        <is>
          <t>GÄVLEBORGS LÄN</t>
        </is>
      </c>
      <c r="G1718" t="inlineStr">
        <is>
          <t>BOLLNÄS</t>
        </is>
      </c>
      <c r="I1718" t="n">
        <v>0.9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s="2" t="inlineStr"/>
    </row>
    <row r="1719" ht="15" customHeight="1">
      <c r="A1719" t="inlineStr">
        <is>
          <t>A 12010-2026</t>
        </is>
      </c>
      <c r="B1719" t="inlineStr">
        <is>
          <t>avverkningsanmälan</t>
        </is>
      </c>
      <c r="C1719" t="inlineStr">
        <is>
          <t>Föryngringsavverkning</t>
        </is>
      </c>
      <c r="D1719" s="1" t="n">
        <v>46085</v>
      </c>
      <c r="E1719" s="1" t="n">
        <v>46313</v>
      </c>
      <c r="F1719" t="inlineStr">
        <is>
          <t>GÄVLEBORGS LÄN</t>
        </is>
      </c>
      <c r="G1719" t="inlineStr">
        <is>
          <t>BOLLNÄS</t>
        </is>
      </c>
      <c r="I1719" t="n">
        <v>3.3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s="2" t="inlineStr"/>
    </row>
    <row r="1720" ht="15" customHeight="1">
      <c r="A1720" t="inlineStr">
        <is>
          <t>A 2345-2024</t>
        </is>
      </c>
      <c r="B1720" t="inlineStr">
        <is>
          <t>avverkningsanmälan</t>
        </is>
      </c>
      <c r="C1720" t="inlineStr">
        <is>
          <t>Föryngringsavverkning</t>
        </is>
      </c>
      <c r="D1720" s="1" t="n">
        <v>45310</v>
      </c>
      <c r="E1720" s="1" t="n">
        <v>46313</v>
      </c>
      <c r="F1720" t="inlineStr">
        <is>
          <t>GÄVLEBORGS LÄN</t>
        </is>
      </c>
      <c r="G1720" t="inlineStr">
        <is>
          <t>BOLLNÄS</t>
        </is>
      </c>
      <c r="I1720" t="n">
        <v>0.5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s="2" t="inlineStr"/>
    </row>
    <row r="1721" ht="15" customHeight="1">
      <c r="A1721" t="inlineStr">
        <is>
          <t>A 46724-2024</t>
        </is>
      </c>
      <c r="B1721" t="inlineStr">
        <is>
          <t>avverkningsanmälan</t>
        </is>
      </c>
      <c r="C1721" t="inlineStr">
        <is>
          <t>Föryngringsavverkning</t>
        </is>
      </c>
      <c r="D1721" s="1" t="n">
        <v>45583</v>
      </c>
      <c r="E1721" s="1" t="n">
        <v>46313</v>
      </c>
      <c r="F1721" t="inlineStr">
        <is>
          <t>GÄVLEBORGS LÄN</t>
        </is>
      </c>
      <c r="G1721" t="inlineStr">
        <is>
          <t>BOLLNÄS</t>
        </is>
      </c>
      <c r="I1721" t="n">
        <v>6.9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s="2" t="inlineStr"/>
    </row>
    <row r="1722" ht="15" customHeight="1">
      <c r="A1722" t="inlineStr">
        <is>
          <t>A 46739-2024</t>
        </is>
      </c>
      <c r="B1722" t="inlineStr">
        <is>
          <t>avverkningsanmälan</t>
        </is>
      </c>
      <c r="C1722" t="inlineStr">
        <is>
          <t>Föryngringsavverkning</t>
        </is>
      </c>
      <c r="D1722" s="1" t="n">
        <v>45583</v>
      </c>
      <c r="E1722" s="1" t="n">
        <v>46313</v>
      </c>
      <c r="F1722" t="inlineStr">
        <is>
          <t>GÄVLEBORGS LÄN</t>
        </is>
      </c>
      <c r="G1722" t="inlineStr">
        <is>
          <t>BOLLNÄS</t>
        </is>
      </c>
      <c r="I1722" t="n">
        <v>5.1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s="2" t="inlineStr"/>
    </row>
    <row r="1723" ht="15" customHeight="1">
      <c r="A1723" t="inlineStr">
        <is>
          <t>A 39592-2026</t>
        </is>
      </c>
      <c r="B1723" t="inlineStr">
        <is>
          <t>avverkningsanmälan</t>
        </is>
      </c>
      <c r="C1723" t="inlineStr">
        <is>
          <t>Föryngringsavverkning</t>
        </is>
      </c>
      <c r="D1723" s="1" t="n">
        <v>46289</v>
      </c>
      <c r="E1723" s="1" t="n">
        <v>46313</v>
      </c>
      <c r="F1723" t="inlineStr">
        <is>
          <t>GÄVLEBORGS LÄN</t>
        </is>
      </c>
      <c r="G1723" t="inlineStr">
        <is>
          <t>BOLLNÄS</t>
        </is>
      </c>
      <c r="H1723" t="inlineStr">
        <is>
          <t>Sveaskog</t>
        </is>
      </c>
      <c r="I1723" t="n">
        <v>3.7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s="2" t="inlineStr"/>
    </row>
    <row r="1724" ht="15" customHeight="1">
      <c r="A1724" t="inlineStr">
        <is>
          <t>A 6755-2024</t>
        </is>
      </c>
      <c r="B1724" t="inlineStr">
        <is>
          <t>avverkningsanmälan</t>
        </is>
      </c>
      <c r="C1724" t="inlineStr">
        <is>
          <t>Föryngringsavverkning</t>
        </is>
      </c>
      <c r="D1724" s="1" t="n">
        <v>45342</v>
      </c>
      <c r="E1724" s="1" t="n">
        <v>46313</v>
      </c>
      <c r="F1724" t="inlineStr">
        <is>
          <t>GÄVLEBORGS LÄN</t>
        </is>
      </c>
      <c r="G1724" t="inlineStr">
        <is>
          <t>BOLLNÄS</t>
        </is>
      </c>
      <c r="I1724" t="n">
        <v>2.4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s="2" t="inlineStr"/>
    </row>
    <row r="1725" ht="15" customHeight="1">
      <c r="A1725" t="inlineStr">
        <is>
          <t>A 33869-2026</t>
        </is>
      </c>
      <c r="B1725" t="inlineStr">
        <is>
          <t>avverkningsanmälan</t>
        </is>
      </c>
      <c r="C1725" t="inlineStr">
        <is>
          <t>Föryngringsavverkning</t>
        </is>
      </c>
      <c r="D1725" s="1" t="n">
        <v>46251</v>
      </c>
      <c r="E1725" s="1" t="n">
        <v>46313</v>
      </c>
      <c r="F1725" t="inlineStr">
        <is>
          <t>GÄVLEBORGS LÄN</t>
        </is>
      </c>
      <c r="G1725" t="inlineStr">
        <is>
          <t>BOLLNÄS</t>
        </is>
      </c>
      <c r="I1725" t="n">
        <v>2.8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s="2" t="inlineStr"/>
    </row>
    <row r="1726" ht="15" customHeight="1">
      <c r="A1726" t="inlineStr">
        <is>
          <t>A 23288-2026</t>
        </is>
      </c>
      <c r="B1726" t="inlineStr">
        <is>
          <t>avverkningsanmälan</t>
        </is>
      </c>
      <c r="C1726" t="inlineStr">
        <is>
          <t>Föryngringsavverkning</t>
        </is>
      </c>
      <c r="D1726" s="1" t="n">
        <v>46162</v>
      </c>
      <c r="E1726" s="1" t="n">
        <v>46313</v>
      </c>
      <c r="F1726" t="inlineStr">
        <is>
          <t>GÄVLEBORGS LÄN</t>
        </is>
      </c>
      <c r="G1726" t="inlineStr">
        <is>
          <t>BOLLNÄS</t>
        </is>
      </c>
      <c r="I1726" t="n">
        <v>5.6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s="2" t="inlineStr"/>
    </row>
    <row r="1727" ht="15" customHeight="1">
      <c r="A1727" t="inlineStr">
        <is>
          <t>A 40212-2026</t>
        </is>
      </c>
      <c r="B1727" t="inlineStr">
        <is>
          <t>avverkningsanmälan</t>
        </is>
      </c>
      <c r="C1727" t="inlineStr">
        <is>
          <t>Föryngringsavverkning</t>
        </is>
      </c>
      <c r="D1727" s="1" t="n">
        <v>46293</v>
      </c>
      <c r="E1727" s="1" t="n">
        <v>46313</v>
      </c>
      <c r="F1727" t="inlineStr">
        <is>
          <t>GÄVLEBORGS LÄN</t>
        </is>
      </c>
      <c r="G1727" t="inlineStr">
        <is>
          <t>BOLLNÄS</t>
        </is>
      </c>
      <c r="I1727" t="n">
        <v>0.9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s="2" t="inlineStr"/>
    </row>
    <row r="1728" ht="15" customHeight="1">
      <c r="A1728" t="inlineStr">
        <is>
          <t>A 48308-2024</t>
        </is>
      </c>
      <c r="B1728" t="inlineStr">
        <is>
          <t>avverkningsanmälan</t>
        </is>
      </c>
      <c r="C1728" t="inlineStr">
        <is>
          <t>Föryngringsavverkning</t>
        </is>
      </c>
      <c r="D1728" s="1" t="n">
        <v>45590</v>
      </c>
      <c r="E1728" s="1" t="n">
        <v>46313</v>
      </c>
      <c r="F1728" t="inlineStr">
        <is>
          <t>GÄVLEBORGS LÄN</t>
        </is>
      </c>
      <c r="G1728" t="inlineStr">
        <is>
          <t>BOLLNÄS</t>
        </is>
      </c>
      <c r="I1728" t="n">
        <v>2.1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s="2" t="inlineStr"/>
    </row>
    <row r="1729" ht="15" customHeight="1">
      <c r="A1729" t="inlineStr">
        <is>
          <t>A 33588-2026</t>
        </is>
      </c>
      <c r="B1729" t="inlineStr">
        <is>
          <t>avverkningsanmälan</t>
        </is>
      </c>
      <c r="C1729" t="inlineStr">
        <is>
          <t>Föryngringsavverkning</t>
        </is>
      </c>
      <c r="D1729" s="1" t="n">
        <v>46248</v>
      </c>
      <c r="E1729" s="1" t="n">
        <v>46313</v>
      </c>
      <c r="F1729" t="inlineStr">
        <is>
          <t>GÄVLEBORGS LÄN</t>
        </is>
      </c>
      <c r="G1729" t="inlineStr">
        <is>
          <t>BOLLNÄS</t>
        </is>
      </c>
      <c r="I1729" t="n">
        <v>1.5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s="2" t="inlineStr"/>
    </row>
    <row r="1730" ht="15" customHeight="1">
      <c r="A1730" t="inlineStr">
        <is>
          <t>A 33589-2026</t>
        </is>
      </c>
      <c r="B1730" t="inlineStr">
        <is>
          <t>avverkningsanmälan</t>
        </is>
      </c>
      <c r="C1730" t="inlineStr">
        <is>
          <t>Föryngringsavverkning</t>
        </is>
      </c>
      <c r="D1730" s="1" t="n">
        <v>46248</v>
      </c>
      <c r="E1730" s="1" t="n">
        <v>46313</v>
      </c>
      <c r="F1730" t="inlineStr">
        <is>
          <t>GÄVLEBORGS LÄN</t>
        </is>
      </c>
      <c r="G1730" t="inlineStr">
        <is>
          <t>BOLLNÄS</t>
        </is>
      </c>
      <c r="I1730" t="n">
        <v>2.5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s="2" t="inlineStr"/>
    </row>
    <row r="1731" ht="15" customHeight="1">
      <c r="A1731" t="inlineStr">
        <is>
          <t>A 39851-2026</t>
        </is>
      </c>
      <c r="B1731" t="inlineStr">
        <is>
          <t>avverkningsanmälan</t>
        </is>
      </c>
      <c r="C1731" t="inlineStr">
        <is>
          <t>Föryngringsavverkning</t>
        </is>
      </c>
      <c r="D1731" s="1" t="n">
        <v>46290</v>
      </c>
      <c r="E1731" s="1" t="n">
        <v>46313</v>
      </c>
      <c r="F1731" t="inlineStr">
        <is>
          <t>GÄVLEBORGS LÄN</t>
        </is>
      </c>
      <c r="G1731" t="inlineStr">
        <is>
          <t>BOLLNÄS</t>
        </is>
      </c>
      <c r="H1731" t="inlineStr">
        <is>
          <t>Sveaskog</t>
        </is>
      </c>
      <c r="I1731" t="n">
        <v>4.5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s="2" t="inlineStr"/>
    </row>
    <row r="1732" ht="15" customHeight="1">
      <c r="A1732" t="inlineStr">
        <is>
          <t>A 18151-2024</t>
        </is>
      </c>
      <c r="B1732" t="inlineStr">
        <is>
          <t>avverkningsanmälan</t>
        </is>
      </c>
      <c r="C1732" t="inlineStr">
        <is>
          <t>Föryngringsavverkning</t>
        </is>
      </c>
      <c r="D1732" s="1" t="n">
        <v>45420</v>
      </c>
      <c r="E1732" s="1" t="n">
        <v>46313</v>
      </c>
      <c r="F1732" t="inlineStr">
        <is>
          <t>GÄVLEBORGS LÄN</t>
        </is>
      </c>
      <c r="G1732" t="inlineStr">
        <is>
          <t>BOLLNÄS</t>
        </is>
      </c>
      <c r="I1732" t="n">
        <v>7.2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s="2" t="inlineStr"/>
    </row>
    <row r="1733" ht="15" customHeight="1">
      <c r="A1733" t="inlineStr">
        <is>
          <t>A 40190-2026</t>
        </is>
      </c>
      <c r="B1733" t="inlineStr">
        <is>
          <t>avverkningsanmälan</t>
        </is>
      </c>
      <c r="C1733" t="inlineStr">
        <is>
          <t>Föryngringsavverkning</t>
        </is>
      </c>
      <c r="D1733" s="1" t="n">
        <v>46293</v>
      </c>
      <c r="E1733" s="1" t="n">
        <v>46313</v>
      </c>
      <c r="F1733" t="inlineStr">
        <is>
          <t>GÄVLEBORGS LÄN</t>
        </is>
      </c>
      <c r="G1733" t="inlineStr">
        <is>
          <t>BOLLNÄS</t>
        </is>
      </c>
      <c r="I1733" t="n">
        <v>0.6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s="2" t="inlineStr"/>
    </row>
    <row r="1734" ht="15" customHeight="1">
      <c r="A1734" t="inlineStr">
        <is>
          <t>A 33496-2026</t>
        </is>
      </c>
      <c r="B1734" t="inlineStr">
        <is>
          <t>avverkningsanmälan</t>
        </is>
      </c>
      <c r="C1734" t="inlineStr">
        <is>
          <t>Föryngringsavverkning</t>
        </is>
      </c>
      <c r="D1734" s="1" t="n">
        <v>46248</v>
      </c>
      <c r="E1734" s="1" t="n">
        <v>46313</v>
      </c>
      <c r="F1734" t="inlineStr">
        <is>
          <t>GÄVLEBORGS LÄN</t>
        </is>
      </c>
      <c r="G1734" t="inlineStr">
        <is>
          <t>BOLLNÄS</t>
        </is>
      </c>
      <c r="I1734" t="n">
        <v>1.3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s="2" t="inlineStr"/>
    </row>
    <row r="1735" ht="15" customHeight="1">
      <c r="A1735" t="inlineStr">
        <is>
          <t>A 27590-2023</t>
        </is>
      </c>
      <c r="B1735" t="inlineStr">
        <is>
          <t>avverkningsanmälan</t>
        </is>
      </c>
      <c r="C1735" t="inlineStr">
        <is>
          <t>Föryngringsavverkning</t>
        </is>
      </c>
      <c r="D1735" s="1" t="n">
        <v>45097</v>
      </c>
      <c r="E1735" s="1" t="n">
        <v>46313</v>
      </c>
      <c r="F1735" t="inlineStr">
        <is>
          <t>GÄVLEBORGS LÄN</t>
        </is>
      </c>
      <c r="G1735" t="inlineStr">
        <is>
          <t>BOLLNÄS</t>
        </is>
      </c>
      <c r="I1735" t="n">
        <v>3.8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s="2" t="inlineStr"/>
    </row>
    <row r="1736" ht="15" customHeight="1">
      <c r="A1736" t="inlineStr">
        <is>
          <t>A 40111-2026</t>
        </is>
      </c>
      <c r="B1736" t="inlineStr">
        <is>
          <t>avverkningsanmälan</t>
        </is>
      </c>
      <c r="C1736" t="inlineStr">
        <is>
          <t>Föryngringsavverkning</t>
        </is>
      </c>
      <c r="D1736" s="1" t="n">
        <v>46293</v>
      </c>
      <c r="E1736" s="1" t="n">
        <v>46313</v>
      </c>
      <c r="F1736" t="inlineStr">
        <is>
          <t>GÄVLEBORGS LÄN</t>
        </is>
      </c>
      <c r="G1736" t="inlineStr">
        <is>
          <t>BOLLNÄS</t>
        </is>
      </c>
      <c r="H1736" t="inlineStr">
        <is>
          <t>Bergvik skog väst AB</t>
        </is>
      </c>
      <c r="I1736" t="n">
        <v>6.2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s="2" t="inlineStr"/>
    </row>
    <row r="1737" ht="15" customHeight="1">
      <c r="A1737" t="inlineStr">
        <is>
          <t>A 40114-2026</t>
        </is>
      </c>
      <c r="B1737" t="inlineStr">
        <is>
          <t>avverkningsanmälan</t>
        </is>
      </c>
      <c r="C1737" t="inlineStr">
        <is>
          <t>Föryngringsavverkning</t>
        </is>
      </c>
      <c r="D1737" s="1" t="n">
        <v>46293</v>
      </c>
      <c r="E1737" s="1" t="n">
        <v>46313</v>
      </c>
      <c r="F1737" t="inlineStr">
        <is>
          <t>GÄVLEBORGS LÄN</t>
        </is>
      </c>
      <c r="G1737" t="inlineStr">
        <is>
          <t>BOLLNÄS</t>
        </is>
      </c>
      <c r="H1737" t="inlineStr">
        <is>
          <t>Bergvik skog väst AB</t>
        </is>
      </c>
      <c r="I1737" t="n">
        <v>5.8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s="2" t="inlineStr"/>
    </row>
    <row r="1738" ht="15" customHeight="1">
      <c r="A1738" t="inlineStr">
        <is>
          <t>A 33390-2026</t>
        </is>
      </c>
      <c r="B1738" t="inlineStr">
        <is>
          <t>avverkningsanmälan</t>
        </is>
      </c>
      <c r="C1738" t="inlineStr">
        <is>
          <t>Föryngringsavverkning</t>
        </is>
      </c>
      <c r="D1738" s="1" t="n">
        <v>46247</v>
      </c>
      <c r="E1738" s="1" t="n">
        <v>46313</v>
      </c>
      <c r="F1738" t="inlineStr">
        <is>
          <t>GÄVLEBORGS LÄN</t>
        </is>
      </c>
      <c r="G1738" t="inlineStr">
        <is>
          <t>BOLLNÄS</t>
        </is>
      </c>
      <c r="H1738" t="inlineStr">
        <is>
          <t>Bergvik skog väst AB</t>
        </is>
      </c>
      <c r="I1738" t="n">
        <v>2.1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s="2" t="inlineStr"/>
    </row>
    <row r="1739" ht="15" customHeight="1">
      <c r="A1739" t="inlineStr">
        <is>
          <t>A 31610-2024</t>
        </is>
      </c>
      <c r="B1739" t="inlineStr">
        <is>
          <t>avverkningsanmälan</t>
        </is>
      </c>
      <c r="C1739" t="inlineStr">
        <is>
          <t>Föryngringsavverkning</t>
        </is>
      </c>
      <c r="D1739" s="1" t="n">
        <v>45506</v>
      </c>
      <c r="E1739" s="1" t="n">
        <v>46313</v>
      </c>
      <c r="F1739" t="inlineStr">
        <is>
          <t>GÄVLEBORGS LÄN</t>
        </is>
      </c>
      <c r="G1739" t="inlineStr">
        <is>
          <t>BOLLNÄS</t>
        </is>
      </c>
      <c r="H1739" t="inlineStr">
        <is>
          <t>Sveaskog</t>
        </is>
      </c>
      <c r="I1739" t="n">
        <v>2.8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s="2" t="inlineStr"/>
    </row>
    <row r="1740" ht="15" customHeight="1">
      <c r="A1740" t="inlineStr">
        <is>
          <t>A 13878-2026</t>
        </is>
      </c>
      <c r="B1740" t="inlineStr">
        <is>
          <t>avverkningsanmälan</t>
        </is>
      </c>
      <c r="C1740" t="inlineStr">
        <is>
          <t>Föryngringsavverkning</t>
        </is>
      </c>
      <c r="D1740" s="1" t="n">
        <v>46098</v>
      </c>
      <c r="E1740" s="1" t="n">
        <v>46313</v>
      </c>
      <c r="F1740" t="inlineStr">
        <is>
          <t>GÄVLEBORGS LÄN</t>
        </is>
      </c>
      <c r="G1740" t="inlineStr">
        <is>
          <t>BOLLNÄS</t>
        </is>
      </c>
      <c r="I1740" t="n">
        <v>8.699999999999999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s="2" t="inlineStr"/>
    </row>
    <row r="1741" ht="15" customHeight="1">
      <c r="A1741" t="inlineStr">
        <is>
          <t>A 40123-2026</t>
        </is>
      </c>
      <c r="B1741" t="inlineStr">
        <is>
          <t>avverkningsanmälan</t>
        </is>
      </c>
      <c r="C1741" t="inlineStr">
        <is>
          <t>Föryngringsavverkning</t>
        </is>
      </c>
      <c r="D1741" s="1" t="n">
        <v>46293</v>
      </c>
      <c r="E1741" s="1" t="n">
        <v>46313</v>
      </c>
      <c r="F1741" t="inlineStr">
        <is>
          <t>GÄVLEBORGS LÄN</t>
        </is>
      </c>
      <c r="G1741" t="inlineStr">
        <is>
          <t>BOLLNÄS</t>
        </is>
      </c>
      <c r="H1741" t="inlineStr">
        <is>
          <t>Bergvik skog väst AB</t>
        </is>
      </c>
      <c r="I1741" t="n">
        <v>15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s="2" t="inlineStr"/>
    </row>
    <row r="1742" ht="15" customHeight="1">
      <c r="A1742" t="inlineStr">
        <is>
          <t>A 35071-2023</t>
        </is>
      </c>
      <c r="B1742" t="inlineStr">
        <is>
          <t>avverkningsanmälan</t>
        </is>
      </c>
      <c r="C1742" t="inlineStr">
        <is>
          <t>Föryngringsavverkning</t>
        </is>
      </c>
      <c r="D1742" s="1" t="n">
        <v>45145</v>
      </c>
      <c r="E1742" s="1" t="n">
        <v>46313</v>
      </c>
      <c r="F1742" t="inlineStr">
        <is>
          <t>GÄVLEBORGS LÄN</t>
        </is>
      </c>
      <c r="G1742" t="inlineStr">
        <is>
          <t>BOLLNÄS</t>
        </is>
      </c>
      <c r="I1742" t="n">
        <v>1.6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s="2" t="inlineStr"/>
    </row>
    <row r="1743" ht="15" customHeight="1">
      <c r="A1743" t="inlineStr">
        <is>
          <t>A 8580-2026</t>
        </is>
      </c>
      <c r="B1743" t="inlineStr">
        <is>
          <t>avverkningsanmälan</t>
        </is>
      </c>
      <c r="C1743" t="inlineStr">
        <is>
          <t>Föryngringsavverkning</t>
        </is>
      </c>
      <c r="D1743" s="1" t="n">
        <v>46065</v>
      </c>
      <c r="E1743" s="1" t="n">
        <v>46313</v>
      </c>
      <c r="F1743" t="inlineStr">
        <is>
          <t>GÄVLEBORGS LÄN</t>
        </is>
      </c>
      <c r="G1743" t="inlineStr">
        <is>
          <t>BOLLNÄS</t>
        </is>
      </c>
      <c r="H1743" t="inlineStr">
        <is>
          <t>Bergvik skog väst AB</t>
        </is>
      </c>
      <c r="I1743" t="n">
        <v>4.1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s="2" t="inlineStr"/>
    </row>
    <row r="1744" ht="15" customHeight="1">
      <c r="A1744" t="inlineStr">
        <is>
          <t>A 24889-2026</t>
        </is>
      </c>
      <c r="B1744" t="inlineStr">
        <is>
          <t>avverkningsanmälan</t>
        </is>
      </c>
      <c r="C1744" t="inlineStr">
        <is>
          <t>Föryngringsavverkning</t>
        </is>
      </c>
      <c r="D1744" s="1" t="n">
        <v>46174</v>
      </c>
      <c r="E1744" s="1" t="n">
        <v>46313</v>
      </c>
      <c r="F1744" t="inlineStr">
        <is>
          <t>GÄVLEBORGS LÄN</t>
        </is>
      </c>
      <c r="G1744" t="inlineStr">
        <is>
          <t>BOLLNÄS</t>
        </is>
      </c>
      <c r="I1744" t="n">
        <v>3.4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s="2" t="inlineStr"/>
    </row>
    <row r="1745" ht="15" customHeight="1">
      <c r="A1745" t="inlineStr">
        <is>
          <t>A 23268-2026</t>
        </is>
      </c>
      <c r="B1745" t="inlineStr">
        <is>
          <t>avverkningsanmälan</t>
        </is>
      </c>
      <c r="C1745" t="inlineStr">
        <is>
          <t>Föryngringsavverkning</t>
        </is>
      </c>
      <c r="D1745" s="1" t="n">
        <v>46162</v>
      </c>
      <c r="E1745" s="1" t="n">
        <v>46313</v>
      </c>
      <c r="F1745" t="inlineStr">
        <is>
          <t>GÄVLEBORGS LÄN</t>
        </is>
      </c>
      <c r="G1745" t="inlineStr">
        <is>
          <t>BOLLNÄS</t>
        </is>
      </c>
      <c r="I1745" t="n">
        <v>3.6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s="2" t="inlineStr"/>
    </row>
    <row r="1746" ht="15" customHeight="1">
      <c r="A1746" t="inlineStr">
        <is>
          <t>A 23272-2026</t>
        </is>
      </c>
      <c r="B1746" t="inlineStr">
        <is>
          <t>avverkningsanmälan</t>
        </is>
      </c>
      <c r="C1746" t="inlineStr">
        <is>
          <t>Föryngringsavverkning</t>
        </is>
      </c>
      <c r="D1746" s="1" t="n">
        <v>46162</v>
      </c>
      <c r="E1746" s="1" t="n">
        <v>46313</v>
      </c>
      <c r="F1746" t="inlineStr">
        <is>
          <t>GÄVLEBORGS LÄN</t>
        </is>
      </c>
      <c r="G1746" t="inlineStr">
        <is>
          <t>BOLLNÄS</t>
        </is>
      </c>
      <c r="I1746" t="n">
        <v>6.7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s="2" t="inlineStr"/>
    </row>
    <row r="1747" ht="15" customHeight="1">
      <c r="A1747" t="inlineStr">
        <is>
          <t>A 23278-2026</t>
        </is>
      </c>
      <c r="B1747" t="inlineStr">
        <is>
          <t>avverkningsanmälan</t>
        </is>
      </c>
      <c r="C1747" t="inlineStr">
        <is>
          <t>Föryngringsavverkning</t>
        </is>
      </c>
      <c r="D1747" s="1" t="n">
        <v>46162</v>
      </c>
      <c r="E1747" s="1" t="n">
        <v>46313</v>
      </c>
      <c r="F1747" t="inlineStr">
        <is>
          <t>GÄVLEBORGS LÄN</t>
        </is>
      </c>
      <c r="G1747" t="inlineStr">
        <is>
          <t>BOLLNÄS</t>
        </is>
      </c>
      <c r="I1747" t="n">
        <v>0.7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s="2" t="inlineStr"/>
    </row>
    <row r="1748" ht="15" customHeight="1">
      <c r="A1748" t="inlineStr">
        <is>
          <t>A 25209-2026</t>
        </is>
      </c>
      <c r="B1748" t="inlineStr">
        <is>
          <t>avverkningsanmälan</t>
        </is>
      </c>
      <c r="C1748" t="inlineStr">
        <is>
          <t>Föryngringsavverkning</t>
        </is>
      </c>
      <c r="D1748" s="1" t="n">
        <v>46175</v>
      </c>
      <c r="E1748" s="1" t="n">
        <v>46313</v>
      </c>
      <c r="F1748" t="inlineStr">
        <is>
          <t>GÄVLEBORGS LÄN</t>
        </is>
      </c>
      <c r="G1748" t="inlineStr">
        <is>
          <t>BOLLNÄS</t>
        </is>
      </c>
      <c r="I1748" t="n">
        <v>1.2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s="2" t="inlineStr"/>
    </row>
    <row r="1749" ht="15" customHeight="1">
      <c r="A1749" t="inlineStr">
        <is>
          <t>A 6833-2023</t>
        </is>
      </c>
      <c r="B1749" t="inlineStr">
        <is>
          <t>avverkningsanmälan</t>
        </is>
      </c>
      <c r="C1749" t="inlineStr">
        <is>
          <t>Föryngringsavverkning</t>
        </is>
      </c>
      <c r="D1749" s="1" t="n">
        <v>44967</v>
      </c>
      <c r="E1749" s="1" t="n">
        <v>46313</v>
      </c>
      <c r="F1749" t="inlineStr">
        <is>
          <t>GÄVLEBORGS LÄN</t>
        </is>
      </c>
      <c r="G1749" t="inlineStr">
        <is>
          <t>BOLLNÄS</t>
        </is>
      </c>
      <c r="I1749" t="n">
        <v>11.1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s="2" t="inlineStr"/>
    </row>
    <row r="1750" ht="15" customHeight="1">
      <c r="A1750" t="inlineStr">
        <is>
          <t>A 23276-2026</t>
        </is>
      </c>
      <c r="B1750" t="inlineStr">
        <is>
          <t>avverkningsanmälan</t>
        </is>
      </c>
      <c r="C1750" t="inlineStr">
        <is>
          <t>Föryngringsavverkning</t>
        </is>
      </c>
      <c r="D1750" s="1" t="n">
        <v>46162</v>
      </c>
      <c r="E1750" s="1" t="n">
        <v>46313</v>
      </c>
      <c r="F1750" t="inlineStr">
        <is>
          <t>GÄVLEBORGS LÄN</t>
        </is>
      </c>
      <c r="G1750" t="inlineStr">
        <is>
          <t>BOLLNÄS</t>
        </is>
      </c>
      <c r="I1750" t="n">
        <v>7.1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s="2" t="inlineStr"/>
    </row>
    <row r="1751" ht="15" customHeight="1">
      <c r="A1751" t="inlineStr">
        <is>
          <t>A 23277-2026</t>
        </is>
      </c>
      <c r="B1751" t="inlineStr">
        <is>
          <t>avverkningsanmälan</t>
        </is>
      </c>
      <c r="C1751" t="inlineStr">
        <is>
          <t>Föryngringsavverkning</t>
        </is>
      </c>
      <c r="D1751" s="1" t="n">
        <v>46162</v>
      </c>
      <c r="E1751" s="1" t="n">
        <v>46313</v>
      </c>
      <c r="F1751" t="inlineStr">
        <is>
          <t>GÄVLEBORGS LÄN</t>
        </is>
      </c>
      <c r="G1751" t="inlineStr">
        <is>
          <t>BOLLNÄS</t>
        </is>
      </c>
      <c r="I1751" t="n">
        <v>0.7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s="2" t="inlineStr"/>
    </row>
    <row r="1752" ht="15" customHeight="1">
      <c r="A1752" t="inlineStr">
        <is>
          <t>A 24953-2026</t>
        </is>
      </c>
      <c r="B1752" t="inlineStr">
        <is>
          <t>avverkningsanmälan</t>
        </is>
      </c>
      <c r="C1752" t="inlineStr">
        <is>
          <t>Föryngringsavverkning</t>
        </is>
      </c>
      <c r="D1752" s="1" t="n">
        <v>46174</v>
      </c>
      <c r="E1752" s="1" t="n">
        <v>46313</v>
      </c>
      <c r="F1752" t="inlineStr">
        <is>
          <t>GÄVLEBORGS LÄN</t>
        </is>
      </c>
      <c r="G1752" t="inlineStr">
        <is>
          <t>BOLLNÄS</t>
        </is>
      </c>
      <c r="H1752" t="inlineStr">
        <is>
          <t>Kommuner</t>
        </is>
      </c>
      <c r="I1752" t="n">
        <v>1.4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s="2" t="inlineStr"/>
    </row>
    <row r="1753" ht="15" customHeight="1">
      <c r="A1753" t="inlineStr">
        <is>
          <t>A 38881-2026</t>
        </is>
      </c>
      <c r="B1753" t="inlineStr">
        <is>
          <t>avverkningsanmälan</t>
        </is>
      </c>
      <c r="C1753" t="inlineStr">
        <is>
          <t>Föryngringsavverkning</t>
        </is>
      </c>
      <c r="D1753" s="1" t="n">
        <v>46286</v>
      </c>
      <c r="E1753" s="1" t="n">
        <v>46313</v>
      </c>
      <c r="F1753" t="inlineStr">
        <is>
          <t>GÄVLEBORGS LÄN</t>
        </is>
      </c>
      <c r="G1753" t="inlineStr">
        <is>
          <t>BOLLNÄS</t>
        </is>
      </c>
      <c r="H1753" t="inlineStr">
        <is>
          <t>Kyrkan</t>
        </is>
      </c>
      <c r="I1753" t="n">
        <v>7.2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s="2" t="inlineStr"/>
    </row>
    <row r="1754" ht="15" customHeight="1">
      <c r="A1754" t="inlineStr">
        <is>
          <t>A 42643-2024</t>
        </is>
      </c>
      <c r="B1754" t="inlineStr">
        <is>
          <t>avverkningsanmälan</t>
        </is>
      </c>
      <c r="C1754" t="inlineStr">
        <is>
          <t>Föryngringsavverkning</t>
        </is>
      </c>
      <c r="D1754" s="1" t="n">
        <v>45566</v>
      </c>
      <c r="E1754" s="1" t="n">
        <v>46313</v>
      </c>
      <c r="F1754" t="inlineStr">
        <is>
          <t>GÄVLEBORGS LÄN</t>
        </is>
      </c>
      <c r="G1754" t="inlineStr">
        <is>
          <t>BOLLNÄS</t>
        </is>
      </c>
      <c r="I1754" t="n">
        <v>0.8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s="2" t="inlineStr"/>
    </row>
    <row r="1755" ht="15" customHeight="1">
      <c r="A1755" t="inlineStr">
        <is>
          <t>A 42644-2024</t>
        </is>
      </c>
      <c r="B1755" t="inlineStr">
        <is>
          <t>avverkningsanmälan</t>
        </is>
      </c>
      <c r="C1755" t="inlineStr">
        <is>
          <t>Föryngringsavverkning</t>
        </is>
      </c>
      <c r="D1755" s="1" t="n">
        <v>45566</v>
      </c>
      <c r="E1755" s="1" t="n">
        <v>46313</v>
      </c>
      <c r="F1755" t="inlineStr">
        <is>
          <t>GÄVLEBORGS LÄN</t>
        </is>
      </c>
      <c r="G1755" t="inlineStr">
        <is>
          <t>BOLLNÄS</t>
        </is>
      </c>
      <c r="I1755" t="n">
        <v>0.8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s="2" t="inlineStr"/>
    </row>
    <row r="1756" ht="15" customHeight="1">
      <c r="A1756" t="inlineStr">
        <is>
          <t>A 33740-2026</t>
        </is>
      </c>
      <c r="B1756" t="inlineStr">
        <is>
          <t>avverkningsanmälan</t>
        </is>
      </c>
      <c r="C1756" t="inlineStr">
        <is>
          <t>Föryngringsavverkning</t>
        </is>
      </c>
      <c r="D1756" s="1" t="n">
        <v>46251</v>
      </c>
      <c r="E1756" s="1" t="n">
        <v>46313</v>
      </c>
      <c r="F1756" t="inlineStr">
        <is>
          <t>GÄVLEBORGS LÄN</t>
        </is>
      </c>
      <c r="G1756" t="inlineStr">
        <is>
          <t>BOLLNÄS</t>
        </is>
      </c>
      <c r="I1756" t="n">
        <v>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s="2" t="inlineStr"/>
    </row>
    <row r="1757" ht="15" customHeight="1">
      <c r="A1757" t="inlineStr">
        <is>
          <t>A 54209-2023</t>
        </is>
      </c>
      <c r="B1757" t="inlineStr">
        <is>
          <t>avverkningsanmälan</t>
        </is>
      </c>
      <c r="C1757" t="inlineStr">
        <is>
          <t>Föryngringsavverkning</t>
        </is>
      </c>
      <c r="D1757" s="1" t="n">
        <v>45232</v>
      </c>
      <c r="E1757" s="1" t="n">
        <v>46313</v>
      </c>
      <c r="F1757" t="inlineStr">
        <is>
          <t>GÄVLEBORGS LÄN</t>
        </is>
      </c>
      <c r="G1757" t="inlineStr">
        <is>
          <t>BOLLNÄS</t>
        </is>
      </c>
      <c r="I1757" t="n">
        <v>0.4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s="2" t="inlineStr"/>
    </row>
    <row r="1758" ht="15" customHeight="1">
      <c r="A1758" t="inlineStr">
        <is>
          <t>A 2292-2026</t>
        </is>
      </c>
      <c r="B1758" t="inlineStr">
        <is>
          <t>avverkningsanmälan</t>
        </is>
      </c>
      <c r="C1758" t="inlineStr">
        <is>
          <t>Föryngringsavverkning</t>
        </is>
      </c>
      <c r="D1758" s="1" t="n">
        <v>46036</v>
      </c>
      <c r="E1758" s="1" t="n">
        <v>46313</v>
      </c>
      <c r="F1758" t="inlineStr">
        <is>
          <t>GÄVLEBORGS LÄN</t>
        </is>
      </c>
      <c r="G1758" t="inlineStr">
        <is>
          <t>BOLLNÄS</t>
        </is>
      </c>
      <c r="I1758" t="n">
        <v>13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s="2" t="inlineStr"/>
    </row>
    <row r="1759" ht="15" customHeight="1">
      <c r="A1759" t="inlineStr">
        <is>
          <t>A 2403-2026</t>
        </is>
      </c>
      <c r="B1759" t="inlineStr">
        <is>
          <t>avverkningsanmälan</t>
        </is>
      </c>
      <c r="C1759" t="inlineStr">
        <is>
          <t>Föryngringsavverkning</t>
        </is>
      </c>
      <c r="D1759" s="1" t="n">
        <v>46036</v>
      </c>
      <c r="E1759" s="1" t="n">
        <v>46313</v>
      </c>
      <c r="F1759" t="inlineStr">
        <is>
          <t>GÄVLEBORGS LÄN</t>
        </is>
      </c>
      <c r="G1759" t="inlineStr">
        <is>
          <t>BOLLNÄS</t>
        </is>
      </c>
      <c r="I1759" t="n">
        <v>8.6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s="2" t="inlineStr"/>
    </row>
    <row r="1760" ht="15" customHeight="1">
      <c r="A1760" t="inlineStr">
        <is>
          <t>A 5178-2026</t>
        </is>
      </c>
      <c r="B1760" t="inlineStr">
        <is>
          <t>avverkningsanmälan</t>
        </is>
      </c>
      <c r="C1760" t="inlineStr">
        <is>
          <t>Föryngringsavverkning</t>
        </is>
      </c>
      <c r="D1760" s="1" t="n">
        <v>46049</v>
      </c>
      <c r="E1760" s="1" t="n">
        <v>46313</v>
      </c>
      <c r="F1760" t="inlineStr">
        <is>
          <t>GÄVLEBORGS LÄN</t>
        </is>
      </c>
      <c r="G1760" t="inlineStr">
        <is>
          <t>BOLLNÄS</t>
        </is>
      </c>
      <c r="I1760" t="n">
        <v>6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s="2" t="inlineStr"/>
    </row>
    <row r="1761" ht="15" customHeight="1">
      <c r="A1761" t="inlineStr">
        <is>
          <t>A 9187-2026</t>
        </is>
      </c>
      <c r="B1761" t="inlineStr">
        <is>
          <t>avverkningsanmälan</t>
        </is>
      </c>
      <c r="C1761" t="inlineStr">
        <is>
          <t>Föryngringsavverkning</t>
        </is>
      </c>
      <c r="D1761" s="1" t="n">
        <v>46070</v>
      </c>
      <c r="E1761" s="1" t="n">
        <v>46313</v>
      </c>
      <c r="F1761" t="inlineStr">
        <is>
          <t>GÄVLEBORGS LÄN</t>
        </is>
      </c>
      <c r="G1761" t="inlineStr">
        <is>
          <t>BOLLNÄS</t>
        </is>
      </c>
      <c r="I1761" t="n">
        <v>0.9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s="2" t="inlineStr"/>
    </row>
    <row r="1762" ht="15" customHeight="1">
      <c r="A1762" t="inlineStr">
        <is>
          <t>A 36607-2023</t>
        </is>
      </c>
      <c r="B1762" t="inlineStr">
        <is>
          <t>avverkningsanmälan</t>
        </is>
      </c>
      <c r="C1762" t="inlineStr">
        <is>
          <t>Föryngringsavverkning</t>
        </is>
      </c>
      <c r="D1762" s="1" t="n">
        <v>45153</v>
      </c>
      <c r="E1762" s="1" t="n">
        <v>46313</v>
      </c>
      <c r="F1762" t="inlineStr">
        <is>
          <t>GÄVLEBORGS LÄN</t>
        </is>
      </c>
      <c r="G1762" t="inlineStr">
        <is>
          <t>BOLLNÄS</t>
        </is>
      </c>
      <c r="I1762" t="n">
        <v>2.6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s="2" t="inlineStr"/>
    </row>
    <row r="1763" ht="15" customHeight="1">
      <c r="A1763" t="inlineStr">
        <is>
          <t>A 2361-2026</t>
        </is>
      </c>
      <c r="B1763" t="inlineStr">
        <is>
          <t>avverkningsanmälan</t>
        </is>
      </c>
      <c r="C1763" t="inlineStr">
        <is>
          <t>Föryngringsavverkning</t>
        </is>
      </c>
      <c r="D1763" s="1" t="n">
        <v>46036</v>
      </c>
      <c r="E1763" s="1" t="n">
        <v>46313</v>
      </c>
      <c r="F1763" t="inlineStr">
        <is>
          <t>GÄVLEBORGS LÄN</t>
        </is>
      </c>
      <c r="G1763" t="inlineStr">
        <is>
          <t>BOLLNÄS</t>
        </is>
      </c>
      <c r="I1763" t="n">
        <v>1.9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s="2" t="inlineStr"/>
    </row>
    <row r="1764" ht="15" customHeight="1">
      <c r="A1764" t="inlineStr">
        <is>
          <t>A 2985-2026</t>
        </is>
      </c>
      <c r="B1764" t="inlineStr">
        <is>
          <t>avverkningsanmälan</t>
        </is>
      </c>
      <c r="C1764" t="inlineStr">
        <is>
          <t>Föryngringsavverkning</t>
        </is>
      </c>
      <c r="D1764" s="1" t="n">
        <v>46038</v>
      </c>
      <c r="E1764" s="1" t="n">
        <v>46313</v>
      </c>
      <c r="F1764" t="inlineStr">
        <is>
          <t>GÄVLEBORGS LÄN</t>
        </is>
      </c>
      <c r="G1764" t="inlineStr">
        <is>
          <t>BOLLNÄS</t>
        </is>
      </c>
      <c r="I1764" t="n">
        <v>1.4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s="2" t="inlineStr"/>
    </row>
    <row r="1765" ht="15" customHeight="1">
      <c r="A1765" t="inlineStr">
        <is>
          <t>A 1647-2026</t>
        </is>
      </c>
      <c r="B1765" t="inlineStr">
        <is>
          <t>avverkningsanmälan</t>
        </is>
      </c>
      <c r="C1765" t="inlineStr">
        <is>
          <t>Föryngringsavverkning</t>
        </is>
      </c>
      <c r="D1765" s="1" t="n">
        <v>46034</v>
      </c>
      <c r="E1765" s="1" t="n">
        <v>46313</v>
      </c>
      <c r="F1765" t="inlineStr">
        <is>
          <t>GÄVLEBORGS LÄN</t>
        </is>
      </c>
      <c r="G1765" t="inlineStr">
        <is>
          <t>BOLLNÄS</t>
        </is>
      </c>
      <c r="I1765" t="n">
        <v>6.1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s="2" t="inlineStr"/>
    </row>
    <row r="1766" ht="15" customHeight="1">
      <c r="A1766" t="inlineStr">
        <is>
          <t>A 26304-2022</t>
        </is>
      </c>
      <c r="B1766" t="inlineStr">
        <is>
          <t>avverkningsanmälan</t>
        </is>
      </c>
      <c r="C1766" t="inlineStr">
        <is>
          <t>Föryngringsavverkning</t>
        </is>
      </c>
      <c r="D1766" s="1" t="n">
        <v>44735</v>
      </c>
      <c r="E1766" s="1" t="n">
        <v>46313</v>
      </c>
      <c r="F1766" t="inlineStr">
        <is>
          <t>GÄVLEBORGS LÄN</t>
        </is>
      </c>
      <c r="G1766" t="inlineStr">
        <is>
          <t>BOLLNÄS</t>
        </is>
      </c>
      <c r="I1766" t="n">
        <v>2.3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s="2" t="inlineStr"/>
    </row>
    <row r="1767" ht="15" customHeight="1">
      <c r="A1767" t="inlineStr">
        <is>
          <t>A 16051-2026</t>
        </is>
      </c>
      <c r="B1767" t="inlineStr">
        <is>
          <t>avverkningsanmälan</t>
        </is>
      </c>
      <c r="C1767" t="inlineStr">
        <is>
          <t>Föryngringsavverkning</t>
        </is>
      </c>
      <c r="D1767" s="1" t="n">
        <v>46108</v>
      </c>
      <c r="E1767" s="1" t="n">
        <v>46313</v>
      </c>
      <c r="F1767" t="inlineStr">
        <is>
          <t>GÄVLEBORGS LÄN</t>
        </is>
      </c>
      <c r="G1767" t="inlineStr">
        <is>
          <t>BOLLNÄS</t>
        </is>
      </c>
      <c r="I1767" t="n">
        <v>14.9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s="2" t="inlineStr"/>
    </row>
    <row r="1768" ht="15" customHeight="1">
      <c r="A1768" t="inlineStr">
        <is>
          <t>A 23885-2026</t>
        </is>
      </c>
      <c r="B1768" t="inlineStr">
        <is>
          <t>avverkningsanmälan</t>
        </is>
      </c>
      <c r="C1768" t="inlineStr">
        <is>
          <t>Föryngringsavverkning</t>
        </is>
      </c>
      <c r="D1768" s="1" t="n">
        <v>46167</v>
      </c>
      <c r="E1768" s="1" t="n">
        <v>46313</v>
      </c>
      <c r="F1768" t="inlineStr">
        <is>
          <t>GÄVLEBORGS LÄN</t>
        </is>
      </c>
      <c r="G1768" t="inlineStr">
        <is>
          <t>BOLLNÄS</t>
        </is>
      </c>
      <c r="I1768" t="n">
        <v>16.3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s="2" t="inlineStr"/>
    </row>
    <row r="1769" ht="15" customHeight="1">
      <c r="A1769" t="inlineStr">
        <is>
          <t>A 22193-2026</t>
        </is>
      </c>
      <c r="B1769" t="inlineStr">
        <is>
          <t>avverkningsanmälan</t>
        </is>
      </c>
      <c r="C1769" t="inlineStr">
        <is>
          <t>Föryngringsavverkning</t>
        </is>
      </c>
      <c r="D1769" s="1" t="n">
        <v>46153</v>
      </c>
      <c r="E1769" s="1" t="n">
        <v>46313</v>
      </c>
      <c r="F1769" t="inlineStr">
        <is>
          <t>GÄVLEBORGS LÄN</t>
        </is>
      </c>
      <c r="G1769" t="inlineStr">
        <is>
          <t>BOLLNÄS</t>
        </is>
      </c>
      <c r="I1769" t="n">
        <v>3.3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s="2" t="inlineStr"/>
    </row>
    <row r="1770" ht="15" customHeight="1">
      <c r="A1770" t="inlineStr">
        <is>
          <t>A 40383-2026</t>
        </is>
      </c>
      <c r="B1770" t="inlineStr">
        <is>
          <t>avverkningsanmälan</t>
        </is>
      </c>
      <c r="C1770" t="inlineStr">
        <is>
          <t>Avverkning för att bevara och utveckla /försöksver</t>
        </is>
      </c>
      <c r="D1770" s="1" t="n">
        <v>46294</v>
      </c>
      <c r="E1770" s="1" t="n">
        <v>46313</v>
      </c>
      <c r="F1770" t="inlineStr">
        <is>
          <t>GÄVLEBORGS LÄN</t>
        </is>
      </c>
      <c r="G1770" t="inlineStr">
        <is>
          <t>BOLLNÄS</t>
        </is>
      </c>
      <c r="H1770" t="inlineStr">
        <is>
          <t>Sveaskog</t>
        </is>
      </c>
      <c r="I1770" t="n">
        <v>1.5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s="2" t="inlineStr"/>
    </row>
    <row r="1771" ht="15" customHeight="1">
      <c r="A1771" t="inlineStr">
        <is>
          <t>A 23273-2026</t>
        </is>
      </c>
      <c r="B1771" t="inlineStr">
        <is>
          <t>avverkningsanmälan</t>
        </is>
      </c>
      <c r="C1771" t="inlineStr">
        <is>
          <t>Föryngringsavverkning</t>
        </is>
      </c>
      <c r="D1771" s="1" t="n">
        <v>46162</v>
      </c>
      <c r="E1771" s="1" t="n">
        <v>46313</v>
      </c>
      <c r="F1771" t="inlineStr">
        <is>
          <t>GÄVLEBORGS LÄN</t>
        </is>
      </c>
      <c r="G1771" t="inlineStr">
        <is>
          <t>BOLLNÄS</t>
        </is>
      </c>
      <c r="I1771" t="n">
        <v>1.3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s="2" t="inlineStr"/>
    </row>
    <row r="1772" ht="15" customHeight="1">
      <c r="A1772" t="inlineStr">
        <is>
          <t>A 23291-2026</t>
        </is>
      </c>
      <c r="B1772" t="inlineStr">
        <is>
          <t>avverkningsanmälan</t>
        </is>
      </c>
      <c r="C1772" t="inlineStr">
        <is>
          <t>Föryngringsavverkning</t>
        </is>
      </c>
      <c r="D1772" s="1" t="n">
        <v>46162</v>
      </c>
      <c r="E1772" s="1" t="n">
        <v>46313</v>
      </c>
      <c r="F1772" t="inlineStr">
        <is>
          <t>GÄVLEBORGS LÄN</t>
        </is>
      </c>
      <c r="G1772" t="inlineStr">
        <is>
          <t>BOLLNÄS</t>
        </is>
      </c>
      <c r="I1772" t="n">
        <v>0.7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s="2" t="inlineStr"/>
    </row>
    <row r="1773" ht="15" customHeight="1">
      <c r="A1773" t="inlineStr">
        <is>
          <t>A 25455-2026</t>
        </is>
      </c>
      <c r="B1773" t="inlineStr">
        <is>
          <t>avverkningsanmälan</t>
        </is>
      </c>
      <c r="C1773" t="inlineStr">
        <is>
          <t>Föryngringsavverkning</t>
        </is>
      </c>
      <c r="D1773" s="1" t="n">
        <v>46177</v>
      </c>
      <c r="E1773" s="1" t="n">
        <v>46313</v>
      </c>
      <c r="F1773" t="inlineStr">
        <is>
          <t>GÄVLEBORGS LÄN</t>
        </is>
      </c>
      <c r="G1773" t="inlineStr">
        <is>
          <t>BOLLNÄS</t>
        </is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s="2" t="inlineStr"/>
    </row>
    <row r="1774" ht="15" customHeight="1">
      <c r="A1774" t="inlineStr">
        <is>
          <t>A 4300-2026</t>
        </is>
      </c>
      <c r="B1774" t="inlineStr">
        <is>
          <t>avverkningsanmälan</t>
        </is>
      </c>
      <c r="C1774" t="inlineStr">
        <is>
          <t>Föryngringsavverkning</t>
        </is>
      </c>
      <c r="D1774" s="1" t="n">
        <v>46045</v>
      </c>
      <c r="E1774" s="1" t="n">
        <v>46313</v>
      </c>
      <c r="F1774" t="inlineStr">
        <is>
          <t>GÄVLEBORGS LÄN</t>
        </is>
      </c>
      <c r="G1774" t="inlineStr">
        <is>
          <t>BOLLNÄS</t>
        </is>
      </c>
      <c r="I1774" t="n">
        <v>8.699999999999999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s="2" t="inlineStr"/>
    </row>
    <row r="1775" ht="15" customHeight="1">
      <c r="A1775" t="inlineStr">
        <is>
          <t>A 18334-2024</t>
        </is>
      </c>
      <c r="B1775" t="inlineStr">
        <is>
          <t>avverkningsanmälan</t>
        </is>
      </c>
      <c r="C1775" t="inlineStr">
        <is>
          <t>Föryngringsavverkning</t>
        </is>
      </c>
      <c r="D1775" s="1" t="n">
        <v>45422</v>
      </c>
      <c r="E1775" s="1" t="n">
        <v>46313</v>
      </c>
      <c r="F1775" t="inlineStr">
        <is>
          <t>GÄVLEBORGS LÄN</t>
        </is>
      </c>
      <c r="G1775" t="inlineStr">
        <is>
          <t>BOLLNÄS</t>
        </is>
      </c>
      <c r="I1775" t="n">
        <v>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s="2" t="inlineStr"/>
    </row>
    <row r="1776" ht="15" customHeight="1">
      <c r="A1776" t="inlineStr">
        <is>
          <t>A 33742-2026</t>
        </is>
      </c>
      <c r="B1776" t="inlineStr">
        <is>
          <t>avverkningsanmälan</t>
        </is>
      </c>
      <c r="C1776" t="inlineStr">
        <is>
          <t>Föryngringsavverkning</t>
        </is>
      </c>
      <c r="D1776" s="1" t="n">
        <v>46251</v>
      </c>
      <c r="E1776" s="1" t="n">
        <v>46313</v>
      </c>
      <c r="F1776" t="inlineStr">
        <is>
          <t>GÄVLEBORGS LÄN</t>
        </is>
      </c>
      <c r="G1776" t="inlineStr">
        <is>
          <t>BOLLNÄS</t>
        </is>
      </c>
      <c r="I1776" t="n">
        <v>3.6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s="2" t="inlineStr"/>
    </row>
    <row r="1777" ht="15" customHeight="1">
      <c r="A1777" t="inlineStr">
        <is>
          <t>A 41730-2023</t>
        </is>
      </c>
      <c r="B1777" t="inlineStr">
        <is>
          <t>avverkningsanmälan</t>
        </is>
      </c>
      <c r="C1777" t="inlineStr">
        <is>
          <t>Föryngringsavverkning</t>
        </is>
      </c>
      <c r="D1777" s="1" t="n">
        <v>45176</v>
      </c>
      <c r="E1777" s="1" t="n">
        <v>46313</v>
      </c>
      <c r="F1777" t="inlineStr">
        <is>
          <t>GÄVLEBORGS LÄN</t>
        </is>
      </c>
      <c r="G1777" t="inlineStr">
        <is>
          <t>BOLLNÄS</t>
        </is>
      </c>
      <c r="I1777" t="n">
        <v>1.4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s="2" t="inlineStr"/>
    </row>
    <row r="1778" ht="15" customHeight="1">
      <c r="A1778" t="inlineStr">
        <is>
          <t>A 7884-2026</t>
        </is>
      </c>
      <c r="B1778" t="inlineStr">
        <is>
          <t>avverkningsanmälan</t>
        </is>
      </c>
      <c r="C1778" t="inlineStr">
        <is>
          <t>Föryngringsavverkning</t>
        </is>
      </c>
      <c r="D1778" s="1" t="n">
        <v>46063</v>
      </c>
      <c r="E1778" s="1" t="n">
        <v>46313</v>
      </c>
      <c r="F1778" t="inlineStr">
        <is>
          <t>GÄVLEBORGS LÄN</t>
        </is>
      </c>
      <c r="G1778" t="inlineStr">
        <is>
          <t>BOLLNÄS</t>
        </is>
      </c>
      <c r="H1778" t="inlineStr">
        <is>
          <t>Bergvik skog väst AB</t>
        </is>
      </c>
      <c r="I1778" t="n">
        <v>7.6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s="2" t="inlineStr"/>
    </row>
    <row r="1779" ht="15" customHeight="1">
      <c r="A1779" t="inlineStr">
        <is>
          <t>A 19926-2026</t>
        </is>
      </c>
      <c r="B1779" t="inlineStr">
        <is>
          <t>avverkningsanmälan</t>
        </is>
      </c>
      <c r="C1779" t="inlineStr">
        <is>
          <t>Föryngringsavverkning</t>
        </is>
      </c>
      <c r="D1779" s="1" t="n">
        <v>46136</v>
      </c>
      <c r="E1779" s="1" t="n">
        <v>46313</v>
      </c>
      <c r="F1779" t="inlineStr">
        <is>
          <t>GÄVLEBORGS LÄN</t>
        </is>
      </c>
      <c r="G1779" t="inlineStr">
        <is>
          <t>BOLLNÄS</t>
        </is>
      </c>
      <c r="I1779" t="n">
        <v>1.8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s="2" t="inlineStr"/>
    </row>
    <row r="1780" ht="15" customHeight="1">
      <c r="A1780" t="inlineStr">
        <is>
          <t>A 19643-2026</t>
        </is>
      </c>
      <c r="B1780" t="inlineStr">
        <is>
          <t>avverkningsanmälan</t>
        </is>
      </c>
      <c r="C1780" t="inlineStr">
        <is>
          <t>Föryngringsavverkning</t>
        </is>
      </c>
      <c r="D1780" s="1" t="n">
        <v>46134</v>
      </c>
      <c r="E1780" s="1" t="n">
        <v>46313</v>
      </c>
      <c r="F1780" t="inlineStr">
        <is>
          <t>GÄVLEBORGS LÄN</t>
        </is>
      </c>
      <c r="G1780" t="inlineStr">
        <is>
          <t>BOLLNÄS</t>
        </is>
      </c>
      <c r="I1780" t="n">
        <v>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s="2" t="inlineStr"/>
    </row>
    <row r="1781" ht="15" customHeight="1">
      <c r="A1781" t="inlineStr">
        <is>
          <t>A 23897-2026</t>
        </is>
      </c>
      <c r="B1781" t="inlineStr">
        <is>
          <t>avverkningsanmälan</t>
        </is>
      </c>
      <c r="C1781" t="inlineStr">
        <is>
          <t>Föryngringsavverkning</t>
        </is>
      </c>
      <c r="D1781" s="1" t="n">
        <v>46167</v>
      </c>
      <c r="E1781" s="1" t="n">
        <v>46313</v>
      </c>
      <c r="F1781" t="inlineStr">
        <is>
          <t>GÄVLEBORGS LÄN</t>
        </is>
      </c>
      <c r="G1781" t="inlineStr">
        <is>
          <t>BOLLNÄS</t>
        </is>
      </c>
      <c r="I1781" t="n">
        <v>3.2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s="2" t="inlineStr"/>
    </row>
    <row r="1782" ht="15" customHeight="1">
      <c r="A1782" t="inlineStr">
        <is>
          <t>A 15654-2025</t>
        </is>
      </c>
      <c r="B1782" t="inlineStr">
        <is>
          <t>avverkningsanmälan</t>
        </is>
      </c>
      <c r="C1782" t="inlineStr">
        <is>
          <t>Föryngringsavverkning</t>
        </is>
      </c>
      <c r="D1782" s="1" t="n">
        <v>45748</v>
      </c>
      <c r="E1782" s="1" t="n">
        <v>46313</v>
      </c>
      <c r="F1782" t="inlineStr">
        <is>
          <t>GÄVLEBORGS LÄN</t>
        </is>
      </c>
      <c r="G1782" t="inlineStr">
        <is>
          <t>BOLLNÄS</t>
        </is>
      </c>
      <c r="I1782" t="n">
        <v>0.6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s="2" t="inlineStr"/>
    </row>
    <row r="1783" ht="15" customHeight="1">
      <c r="A1783" t="inlineStr">
        <is>
          <t>A 2667-2025</t>
        </is>
      </c>
      <c r="B1783" t="inlineStr">
        <is>
          <t>avverkningsanmälan</t>
        </is>
      </c>
      <c r="C1783" t="inlineStr">
        <is>
          <t>Föryngringsavverkning</t>
        </is>
      </c>
      <c r="D1783" s="1" t="n">
        <v>45677</v>
      </c>
      <c r="E1783" s="1" t="n">
        <v>46313</v>
      </c>
      <c r="F1783" t="inlineStr">
        <is>
          <t>GÄVLEBORGS LÄN</t>
        </is>
      </c>
      <c r="G1783" t="inlineStr">
        <is>
          <t>BOLLNÄS</t>
        </is>
      </c>
      <c r="I1783" t="n">
        <v>2.3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s="2" t="inlineStr"/>
    </row>
    <row r="1784" ht="15" customHeight="1">
      <c r="A1784" t="inlineStr">
        <is>
          <t>A 22601-2026</t>
        </is>
      </c>
      <c r="B1784" t="inlineStr">
        <is>
          <t>avverkningsanmälan</t>
        </is>
      </c>
      <c r="C1784" t="inlineStr">
        <is>
          <t>Föryngringsavverkning</t>
        </is>
      </c>
      <c r="D1784" s="1" t="n">
        <v>46155</v>
      </c>
      <c r="E1784" s="1" t="n">
        <v>46313</v>
      </c>
      <c r="F1784" t="inlineStr">
        <is>
          <t>GÄVLEBORGS LÄN</t>
        </is>
      </c>
      <c r="G1784" t="inlineStr">
        <is>
          <t>BOLLNÄS</t>
        </is>
      </c>
      <c r="I1784" t="n">
        <v>3.2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s="2" t="inlineStr"/>
    </row>
    <row r="1785" ht="15" customHeight="1">
      <c r="A1785" t="inlineStr">
        <is>
          <t>A 23256-2026</t>
        </is>
      </c>
      <c r="B1785" t="inlineStr">
        <is>
          <t>avverkningsanmälan</t>
        </is>
      </c>
      <c r="C1785" t="inlineStr">
        <is>
          <t>Föryngringsavverkning</t>
        </is>
      </c>
      <c r="D1785" s="1" t="n">
        <v>46162</v>
      </c>
      <c r="E1785" s="1" t="n">
        <v>46313</v>
      </c>
      <c r="F1785" t="inlineStr">
        <is>
          <t>GÄVLEBORGS LÄN</t>
        </is>
      </c>
      <c r="G1785" t="inlineStr">
        <is>
          <t>BOLLNÄS</t>
        </is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s="2" t="inlineStr"/>
    </row>
    <row r="1786" ht="15" customHeight="1">
      <c r="A1786" t="inlineStr">
        <is>
          <t>A 39077-2026</t>
        </is>
      </c>
      <c r="B1786" t="inlineStr">
        <is>
          <t>avverkningsanmälan</t>
        </is>
      </c>
      <c r="C1786" t="inlineStr">
        <is>
          <t>Föryngringsavverkning</t>
        </is>
      </c>
      <c r="D1786" s="1" t="n">
        <v>46287</v>
      </c>
      <c r="E1786" s="1" t="n">
        <v>46313</v>
      </c>
      <c r="F1786" t="inlineStr">
        <is>
          <t>GÄVLEBORGS LÄN</t>
        </is>
      </c>
      <c r="G1786" t="inlineStr">
        <is>
          <t>BOLLNÄS</t>
        </is>
      </c>
      <c r="I1786" t="n">
        <v>1.5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s="2" t="inlineStr"/>
    </row>
    <row r="1787" ht="15" customHeight="1">
      <c r="A1787" t="inlineStr">
        <is>
          <t>A 22835-2024</t>
        </is>
      </c>
      <c r="B1787" t="inlineStr">
        <is>
          <t>avverkningsanmälan</t>
        </is>
      </c>
      <c r="C1787" t="inlineStr">
        <is>
          <t>Föryngringsavverkning</t>
        </is>
      </c>
      <c r="D1787" s="1" t="n">
        <v>45448</v>
      </c>
      <c r="E1787" s="1" t="n">
        <v>46313</v>
      </c>
      <c r="F1787" t="inlineStr">
        <is>
          <t>GÄVLEBORGS LÄN</t>
        </is>
      </c>
      <c r="G1787" t="inlineStr">
        <is>
          <t>BOLLNÄS</t>
        </is>
      </c>
      <c r="I1787" t="n">
        <v>1.1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s="2" t="inlineStr"/>
    </row>
    <row r="1788" ht="15" customHeight="1">
      <c r="A1788" t="inlineStr">
        <is>
          <t>A 10213-2026</t>
        </is>
      </c>
      <c r="B1788" t="inlineStr">
        <is>
          <t>avverkningsanmälan</t>
        </is>
      </c>
      <c r="C1788" t="inlineStr">
        <is>
          <t>Föryngringsavverkning</t>
        </is>
      </c>
      <c r="D1788" s="1" t="n">
        <v>46076</v>
      </c>
      <c r="E1788" s="1" t="n">
        <v>46313</v>
      </c>
      <c r="F1788" t="inlineStr">
        <is>
          <t>GÄVLEBORGS LÄN</t>
        </is>
      </c>
      <c r="G1788" t="inlineStr">
        <is>
          <t>BOLLNÄS</t>
        </is>
      </c>
      <c r="H1788" t="inlineStr">
        <is>
          <t>Bergvik skog väst AB</t>
        </is>
      </c>
      <c r="I1788" t="n">
        <v>3.6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s="2" t="inlineStr"/>
    </row>
    <row r="1789" ht="15" customHeight="1">
      <c r="A1789" t="inlineStr">
        <is>
          <t>A 61592-2022</t>
        </is>
      </c>
      <c r="B1789" t="inlineStr">
        <is>
          <t>avverkningsanmälan</t>
        </is>
      </c>
      <c r="C1789" t="inlineStr">
        <is>
          <t>Avverkning för annat ändamål</t>
        </is>
      </c>
      <c r="D1789" s="1" t="n">
        <v>44916</v>
      </c>
      <c r="E1789" s="1" t="n">
        <v>46313</v>
      </c>
      <c r="F1789" t="inlineStr">
        <is>
          <t>GÄVLEBORGS LÄN</t>
        </is>
      </c>
      <c r="G1789" t="inlineStr">
        <is>
          <t>BOLLNÄS</t>
        </is>
      </c>
      <c r="I1789" t="n">
        <v>0.5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s="2" t="inlineStr"/>
    </row>
    <row r="1790" ht="15" customHeight="1">
      <c r="A1790" t="inlineStr">
        <is>
          <t>A 33773-2026</t>
        </is>
      </c>
      <c r="B1790" t="inlineStr">
        <is>
          <t>avverkningsanmälan</t>
        </is>
      </c>
      <c r="C1790" t="inlineStr">
        <is>
          <t>Föryngringsavverkning</t>
        </is>
      </c>
      <c r="D1790" s="1" t="n">
        <v>46251</v>
      </c>
      <c r="E1790" s="1" t="n">
        <v>46313</v>
      </c>
      <c r="F1790" t="inlineStr">
        <is>
          <t>GÄVLEBORGS LÄN</t>
        </is>
      </c>
      <c r="G1790" t="inlineStr">
        <is>
          <t>BOLLNÄS</t>
        </is>
      </c>
      <c r="I1790" t="n">
        <v>2.3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s="2" t="inlineStr"/>
    </row>
    <row r="1791" ht="15" customHeight="1">
      <c r="A1791" t="inlineStr">
        <is>
          <t>A 7129-2025</t>
        </is>
      </c>
      <c r="B1791" t="inlineStr">
        <is>
          <t>avverkningsanmälan</t>
        </is>
      </c>
      <c r="C1791" t="inlineStr">
        <is>
          <t>Föryngringsavverkning</t>
        </is>
      </c>
      <c r="D1791" s="1" t="n">
        <v>45702</v>
      </c>
      <c r="E1791" s="1" t="n">
        <v>46313</v>
      </c>
      <c r="F1791" t="inlineStr">
        <is>
          <t>GÄVLEBORGS LÄN</t>
        </is>
      </c>
      <c r="G1791" t="inlineStr">
        <is>
          <t>BOLLNÄS</t>
        </is>
      </c>
      <c r="I1791" t="n">
        <v>1.7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s="2" t="inlineStr"/>
    </row>
    <row r="1792" ht="15" customHeight="1">
      <c r="A1792" t="inlineStr">
        <is>
          <t>A 55570-2024</t>
        </is>
      </c>
      <c r="B1792" t="inlineStr">
        <is>
          <t>avverkningsanmälan</t>
        </is>
      </c>
      <c r="C1792" t="inlineStr">
        <is>
          <t>Föryngringsavverkning</t>
        </is>
      </c>
      <c r="D1792" s="1" t="n">
        <v>45622</v>
      </c>
      <c r="E1792" s="1" t="n">
        <v>46313</v>
      </c>
      <c r="F1792" t="inlineStr">
        <is>
          <t>GÄVLEBORGS LÄN</t>
        </is>
      </c>
      <c r="G1792" t="inlineStr">
        <is>
          <t>BOLLNÄS</t>
        </is>
      </c>
      <c r="I1792" t="n">
        <v>1.5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s="2" t="inlineStr"/>
    </row>
    <row r="1793" ht="15" customHeight="1">
      <c r="A1793" t="inlineStr">
        <is>
          <t>A 40955-2026</t>
        </is>
      </c>
      <c r="B1793" t="inlineStr">
        <is>
          <t>avverkningsanmälan</t>
        </is>
      </c>
      <c r="C1793" t="inlineStr">
        <is>
          <t>Föryngringsavverkning</t>
        </is>
      </c>
      <c r="D1793" s="1" t="n">
        <v>46297</v>
      </c>
      <c r="E1793" s="1" t="n">
        <v>46313</v>
      </c>
      <c r="F1793" t="inlineStr">
        <is>
          <t>GÄVLEBORGS LÄN</t>
        </is>
      </c>
      <c r="G1793" t="inlineStr">
        <is>
          <t>BOLLNÄS</t>
        </is>
      </c>
      <c r="I1793" t="n">
        <v>0.8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s="2" t="inlineStr"/>
    </row>
    <row r="1794" ht="15" customHeight="1">
      <c r="A1794" t="inlineStr">
        <is>
          <t>A 6169-2026</t>
        </is>
      </c>
      <c r="B1794" t="inlineStr">
        <is>
          <t>avverkningsanmälan</t>
        </is>
      </c>
      <c r="C1794" t="inlineStr">
        <is>
          <t>Föryngringsavverkning</t>
        </is>
      </c>
      <c r="D1794" s="1" t="n">
        <v>46055</v>
      </c>
      <c r="E1794" s="1" t="n">
        <v>46313</v>
      </c>
      <c r="F1794" t="inlineStr">
        <is>
          <t>GÄVLEBORGS LÄN</t>
        </is>
      </c>
      <c r="G1794" t="inlineStr">
        <is>
          <t>BOLLNÄS</t>
        </is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s="2" t="inlineStr"/>
    </row>
    <row r="1795" ht="15" customHeight="1">
      <c r="A1795" t="inlineStr">
        <is>
          <t>A 13465-2025</t>
        </is>
      </c>
      <c r="B1795" t="inlineStr">
        <is>
          <t>avverkningsanmälan</t>
        </is>
      </c>
      <c r="C1795" t="inlineStr">
        <is>
          <t>Avverkning för annat ändamål</t>
        </is>
      </c>
      <c r="D1795" s="1" t="n">
        <v>45736</v>
      </c>
      <c r="E1795" s="1" t="n">
        <v>46313</v>
      </c>
      <c r="F1795" t="inlineStr">
        <is>
          <t>GÄVLEBORGS LÄN</t>
        </is>
      </c>
      <c r="G1795" t="inlineStr">
        <is>
          <t>BOLLNÄS</t>
        </is>
      </c>
      <c r="I1795" t="n">
        <v>0.3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s="2" t="inlineStr"/>
    </row>
    <row r="1796" ht="15" customHeight="1">
      <c r="A1796" t="inlineStr">
        <is>
          <t>A 34461-2026</t>
        </is>
      </c>
      <c r="B1796" t="inlineStr">
        <is>
          <t>avverkningsanmälan</t>
        </is>
      </c>
      <c r="C1796" t="inlineStr">
        <is>
          <t>Föryngringsavverkning</t>
        </is>
      </c>
      <c r="D1796" s="1" t="n">
        <v>46254</v>
      </c>
      <c r="E1796" s="1" t="n">
        <v>46313</v>
      </c>
      <c r="F1796" t="inlineStr">
        <is>
          <t>GÄVLEBORGS LÄN</t>
        </is>
      </c>
      <c r="G1796" t="inlineStr">
        <is>
          <t>BOLLNÄS</t>
        </is>
      </c>
      <c r="I1796" t="n">
        <v>3.3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s="2" t="inlineStr"/>
    </row>
    <row r="1797" ht="15" customHeight="1">
      <c r="A1797" t="inlineStr">
        <is>
          <t>A 34330-2026</t>
        </is>
      </c>
      <c r="B1797" t="inlineStr">
        <is>
          <t>avverkningsanmälan</t>
        </is>
      </c>
      <c r="C1797" t="inlineStr">
        <is>
          <t>Föryngringsavverkning</t>
        </is>
      </c>
      <c r="D1797" s="1" t="n">
        <v>46254</v>
      </c>
      <c r="E1797" s="1" t="n">
        <v>46313</v>
      </c>
      <c r="F1797" t="inlineStr">
        <is>
          <t>GÄVLEBORGS LÄN</t>
        </is>
      </c>
      <c r="G1797" t="inlineStr">
        <is>
          <t>BOLLNÄS</t>
        </is>
      </c>
      <c r="H1797" t="inlineStr">
        <is>
          <t>Bergvik skog väst AB</t>
        </is>
      </c>
      <c r="I1797" t="n">
        <v>1.6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s="2" t="inlineStr"/>
    </row>
    <row r="1798" ht="15" customHeight="1">
      <c r="A1798" t="inlineStr">
        <is>
          <t>A 16919-2025</t>
        </is>
      </c>
      <c r="B1798" t="inlineStr">
        <is>
          <t>avverkningsanmälan</t>
        </is>
      </c>
      <c r="C1798" t="inlineStr">
        <is>
          <t>Föryngringsavverkning</t>
        </is>
      </c>
      <c r="D1798" s="1" t="n">
        <v>45755</v>
      </c>
      <c r="E1798" s="1" t="n">
        <v>46313</v>
      </c>
      <c r="F1798" t="inlineStr">
        <is>
          <t>GÄVLEBORGS LÄN</t>
        </is>
      </c>
      <c r="G1798" t="inlineStr">
        <is>
          <t>BOLLNÄS</t>
        </is>
      </c>
      <c r="I1798" t="n">
        <v>0.9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s="2" t="inlineStr"/>
    </row>
    <row r="1799" ht="15" customHeight="1">
      <c r="A1799" t="inlineStr">
        <is>
          <t>A 34580-2026</t>
        </is>
      </c>
      <c r="B1799" t="inlineStr">
        <is>
          <t>avverkningsanmälan</t>
        </is>
      </c>
      <c r="C1799" t="inlineStr">
        <is>
          <t>Föryngringsavverkning</t>
        </is>
      </c>
      <c r="D1799" s="1" t="n">
        <v>46255</v>
      </c>
      <c r="E1799" s="1" t="n">
        <v>46313</v>
      </c>
      <c r="F1799" t="inlineStr">
        <is>
          <t>GÄVLEBORGS LÄN</t>
        </is>
      </c>
      <c r="G1799" t="inlineStr">
        <is>
          <t>BOLLNÄS</t>
        </is>
      </c>
      <c r="I1799" t="n">
        <v>0.9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s="2" t="inlineStr"/>
    </row>
    <row r="1800" ht="15" customHeight="1">
      <c r="A1800" t="inlineStr">
        <is>
          <t>A 61612-2025</t>
        </is>
      </c>
      <c r="B1800" t="inlineStr">
        <is>
          <t>avverkningsanmälan</t>
        </is>
      </c>
      <c r="C1800" t="inlineStr">
        <is>
          <t>Föryngringsavverkning</t>
        </is>
      </c>
      <c r="D1800" s="1" t="n">
        <v>46002</v>
      </c>
      <c r="E1800" s="1" t="n">
        <v>46313</v>
      </c>
      <c r="F1800" t="inlineStr">
        <is>
          <t>GÄVLEBORGS LÄN</t>
        </is>
      </c>
      <c r="G1800" t="inlineStr">
        <is>
          <t>BOLLNÄS</t>
        </is>
      </c>
      <c r="I1800" t="n">
        <v>0.4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s="2" t="inlineStr"/>
    </row>
    <row r="1801" ht="15" customHeight="1">
      <c r="A1801" t="inlineStr">
        <is>
          <t>A 61622-2025</t>
        </is>
      </c>
      <c r="B1801" t="inlineStr">
        <is>
          <t>avverkningsanmälan</t>
        </is>
      </c>
      <c r="C1801" t="inlineStr">
        <is>
          <t>Föryngringsavverkning</t>
        </is>
      </c>
      <c r="D1801" s="1" t="n">
        <v>46002</v>
      </c>
      <c r="E1801" s="1" t="n">
        <v>46313</v>
      </c>
      <c r="F1801" t="inlineStr">
        <is>
          <t>GÄVLEBORGS LÄN</t>
        </is>
      </c>
      <c r="G1801" t="inlineStr">
        <is>
          <t>BOLLNÄS</t>
        </is>
      </c>
      <c r="I1801" t="n">
        <v>0.9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s="2" t="inlineStr"/>
    </row>
    <row r="1802" ht="15" customHeight="1">
      <c r="A1802" t="inlineStr">
        <is>
          <t>A 14986-2025</t>
        </is>
      </c>
      <c r="B1802" t="inlineStr">
        <is>
          <t>avverkningsanmälan</t>
        </is>
      </c>
      <c r="C1802" t="inlineStr">
        <is>
          <t>Föryngringsavverkning</t>
        </is>
      </c>
      <c r="D1802" s="1" t="n">
        <v>45743</v>
      </c>
      <c r="E1802" s="1" t="n">
        <v>46313</v>
      </c>
      <c r="F1802" t="inlineStr">
        <is>
          <t>GÄVLEBORGS LÄN</t>
        </is>
      </c>
      <c r="G1802" t="inlineStr">
        <is>
          <t>BOLLNÄS</t>
        </is>
      </c>
      <c r="H1802" t="inlineStr">
        <is>
          <t>Bergvik skog väst AB</t>
        </is>
      </c>
      <c r="I1802" t="n">
        <v>0.9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s="2" t="inlineStr"/>
    </row>
    <row r="1803" ht="15" customHeight="1">
      <c r="A1803" t="inlineStr">
        <is>
          <t>A 32968-2026</t>
        </is>
      </c>
      <c r="B1803" t="inlineStr">
        <is>
          <t>avverkningsanmälan</t>
        </is>
      </c>
      <c r="C1803" t="inlineStr">
        <is>
          <t>Föryngringsavverkning</t>
        </is>
      </c>
      <c r="D1803" s="1" t="n">
        <v>46244</v>
      </c>
      <c r="E1803" s="1" t="n">
        <v>46313</v>
      </c>
      <c r="F1803" t="inlineStr">
        <is>
          <t>GÄVLEBORGS LÄN</t>
        </is>
      </c>
      <c r="G1803" t="inlineStr">
        <is>
          <t>BOLLNÄS</t>
        </is>
      </c>
      <c r="H1803" t="inlineStr">
        <is>
          <t>Bergvik skog väst AB</t>
        </is>
      </c>
      <c r="I1803" t="n">
        <v>3.8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s="2" t="inlineStr"/>
    </row>
    <row r="1804" ht="15" customHeight="1">
      <c r="A1804" t="inlineStr">
        <is>
          <t>A 40771-2026</t>
        </is>
      </c>
      <c r="B1804" t="inlineStr">
        <is>
          <t>avverkningsanmälan</t>
        </is>
      </c>
      <c r="C1804" t="inlineStr">
        <is>
          <t>Föryngringsavverkning</t>
        </is>
      </c>
      <c r="D1804" s="1" t="n">
        <v>46296</v>
      </c>
      <c r="E1804" s="1" t="n">
        <v>46313</v>
      </c>
      <c r="F1804" t="inlineStr">
        <is>
          <t>GÄVLEBORGS LÄN</t>
        </is>
      </c>
      <c r="G1804" t="inlineStr">
        <is>
          <t>BOLLNÄS</t>
        </is>
      </c>
      <c r="H1804" t="inlineStr">
        <is>
          <t>Sveaskog</t>
        </is>
      </c>
      <c r="I1804" t="n">
        <v>6.2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s="2" t="inlineStr"/>
    </row>
    <row r="1805" ht="15" customHeight="1">
      <c r="A1805" t="inlineStr">
        <is>
          <t>A 1376-2026</t>
        </is>
      </c>
      <c r="B1805" t="inlineStr">
        <is>
          <t>avverkningsanmälan</t>
        </is>
      </c>
      <c r="C1805" t="inlineStr">
        <is>
          <t>Föryngringsavverkning</t>
        </is>
      </c>
      <c r="D1805" s="1" t="n">
        <v>46031</v>
      </c>
      <c r="E1805" s="1" t="n">
        <v>46313</v>
      </c>
      <c r="F1805" t="inlineStr">
        <is>
          <t>GÄVLEBORGS LÄN</t>
        </is>
      </c>
      <c r="G1805" t="inlineStr">
        <is>
          <t>BOLLNÄS</t>
        </is>
      </c>
      <c r="I1805" t="n">
        <v>0.9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s="2" t="inlineStr"/>
    </row>
    <row r="1806" ht="15" customHeight="1">
      <c r="A1806" t="inlineStr">
        <is>
          <t>A 8800-2026</t>
        </is>
      </c>
      <c r="B1806" t="inlineStr">
        <is>
          <t>avverkningsanmälan</t>
        </is>
      </c>
      <c r="C1806" t="inlineStr">
        <is>
          <t>Föryngringsavverkning</t>
        </is>
      </c>
      <c r="D1806" s="1" t="n">
        <v>46066</v>
      </c>
      <c r="E1806" s="1" t="n">
        <v>46313</v>
      </c>
      <c r="F1806" t="inlineStr">
        <is>
          <t>GÄVLEBORGS LÄN</t>
        </is>
      </c>
      <c r="G1806" t="inlineStr">
        <is>
          <t>BOLLNÄS</t>
        </is>
      </c>
      <c r="I1806" t="n">
        <v>0.4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s="2" t="inlineStr"/>
    </row>
    <row r="1807" ht="15" customHeight="1">
      <c r="A1807" t="inlineStr">
        <is>
          <t>A 12951-2026</t>
        </is>
      </c>
      <c r="B1807" t="inlineStr">
        <is>
          <t>avverkningsanmälan</t>
        </is>
      </c>
      <c r="C1807" t="inlineStr">
        <is>
          <t>Föryngringsavverkning</t>
        </is>
      </c>
      <c r="D1807" s="1" t="n">
        <v>46092</v>
      </c>
      <c r="E1807" s="1" t="n">
        <v>46313</v>
      </c>
      <c r="F1807" t="inlineStr">
        <is>
          <t>GÄVLEBORGS LÄN</t>
        </is>
      </c>
      <c r="G1807" t="inlineStr">
        <is>
          <t>BOLLNÄS</t>
        </is>
      </c>
      <c r="H1807" t="inlineStr">
        <is>
          <t>Sveaskog</t>
        </is>
      </c>
      <c r="I1807" t="n">
        <v>1.4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s="2" t="inlineStr"/>
    </row>
    <row r="1808" ht="15" customHeight="1">
      <c r="A1808" t="inlineStr">
        <is>
          <t>A 34140-2026</t>
        </is>
      </c>
      <c r="B1808" t="inlineStr">
        <is>
          <t>avverkningsanmälan</t>
        </is>
      </c>
      <c r="C1808" t="inlineStr">
        <is>
          <t>Föryngringsavverkning</t>
        </is>
      </c>
      <c r="D1808" s="1" t="n">
        <v>46253</v>
      </c>
      <c r="E1808" s="1" t="n">
        <v>46313</v>
      </c>
      <c r="F1808" t="inlineStr">
        <is>
          <t>GÄVLEBORGS LÄN</t>
        </is>
      </c>
      <c r="G1808" t="inlineStr">
        <is>
          <t>BOLLNÄS</t>
        </is>
      </c>
      <c r="I1808" t="n">
        <v>0.7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s="2" t="inlineStr"/>
    </row>
    <row r="1809" ht="15" customHeight="1">
      <c r="A1809" t="inlineStr">
        <is>
          <t>A 57995-2025</t>
        </is>
      </c>
      <c r="B1809" t="inlineStr">
        <is>
          <t>avverkningsanmälan</t>
        </is>
      </c>
      <c r="C1809" t="inlineStr">
        <is>
          <t>Föryngringsavverkning</t>
        </is>
      </c>
      <c r="D1809" s="1" t="n">
        <v>45982</v>
      </c>
      <c r="E1809" s="1" t="n">
        <v>46313</v>
      </c>
      <c r="F1809" t="inlineStr">
        <is>
          <t>GÄVLEBORGS LÄN</t>
        </is>
      </c>
      <c r="G1809" t="inlineStr">
        <is>
          <t>BOLLNÄS</t>
        </is>
      </c>
      <c r="I1809" t="n">
        <v>3.2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s="2" t="inlineStr"/>
    </row>
    <row r="1810" ht="15" customHeight="1">
      <c r="A1810" t="inlineStr">
        <is>
          <t>A 32908-2026</t>
        </is>
      </c>
      <c r="B1810" t="inlineStr">
        <is>
          <t>avverkningsanmälan</t>
        </is>
      </c>
      <c r="C1810" t="inlineStr">
        <is>
          <t>Föryngringsavverkning</t>
        </is>
      </c>
      <c r="D1810" s="1" t="n">
        <v>46244</v>
      </c>
      <c r="E1810" s="1" t="n">
        <v>46313</v>
      </c>
      <c r="F1810" t="inlineStr">
        <is>
          <t>GÄVLEBORGS LÄN</t>
        </is>
      </c>
      <c r="G1810" t="inlineStr">
        <is>
          <t>BOLLNÄS</t>
        </is>
      </c>
      <c r="H1810" t="inlineStr">
        <is>
          <t>Bergvik skog väst AB</t>
        </is>
      </c>
      <c r="I1810" t="n">
        <v>10.5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s="2" t="inlineStr"/>
    </row>
    <row r="1811" ht="15" customHeight="1">
      <c r="A1811" t="inlineStr">
        <is>
          <t>A 58100-2025</t>
        </is>
      </c>
      <c r="B1811" t="inlineStr">
        <is>
          <t>avverkningsanmälan</t>
        </is>
      </c>
      <c r="C1811" t="inlineStr">
        <is>
          <t>Föryngringsavverkning</t>
        </is>
      </c>
      <c r="D1811" s="1" t="n">
        <v>45982</v>
      </c>
      <c r="E1811" s="1" t="n">
        <v>46313</v>
      </c>
      <c r="F1811" t="inlineStr">
        <is>
          <t>GÄVLEBORGS LÄN</t>
        </is>
      </c>
      <c r="G1811" t="inlineStr">
        <is>
          <t>BOLLNÄS</t>
        </is>
      </c>
      <c r="I1811" t="n">
        <v>0.8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s="2" t="inlineStr"/>
    </row>
    <row r="1812" ht="15" customHeight="1">
      <c r="A1812" t="inlineStr">
        <is>
          <t>A 61619-2025</t>
        </is>
      </c>
      <c r="B1812" t="inlineStr">
        <is>
          <t>avverkningsanmälan</t>
        </is>
      </c>
      <c r="C1812" t="inlineStr">
        <is>
          <t>Föryngringsavverkning</t>
        </is>
      </c>
      <c r="D1812" s="1" t="n">
        <v>46002</v>
      </c>
      <c r="E1812" s="1" t="n">
        <v>46313</v>
      </c>
      <c r="F1812" t="inlineStr">
        <is>
          <t>GÄVLEBORGS LÄN</t>
        </is>
      </c>
      <c r="G1812" t="inlineStr">
        <is>
          <t>BOLLNÄS</t>
        </is>
      </c>
      <c r="I1812" t="n">
        <v>1.1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s="2" t="inlineStr"/>
    </row>
    <row r="1813" ht="15" customHeight="1">
      <c r="A1813" t="inlineStr">
        <is>
          <t>A 2965-2026</t>
        </is>
      </c>
      <c r="B1813" t="inlineStr">
        <is>
          <t>avverkningsanmälan</t>
        </is>
      </c>
      <c r="C1813" t="inlineStr">
        <is>
          <t>Föryngringsavverkning</t>
        </is>
      </c>
      <c r="D1813" s="1" t="n">
        <v>46038</v>
      </c>
      <c r="E1813" s="1" t="n">
        <v>46313</v>
      </c>
      <c r="F1813" t="inlineStr">
        <is>
          <t>GÄVLEBORGS LÄN</t>
        </is>
      </c>
      <c r="G1813" t="inlineStr">
        <is>
          <t>BOLLNÄS</t>
        </is>
      </c>
      <c r="I1813" t="n">
        <v>26.9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s="2" t="inlineStr"/>
    </row>
    <row r="1814" ht="15" customHeight="1">
      <c r="A1814" t="inlineStr">
        <is>
          <t>A 41000-2026</t>
        </is>
      </c>
      <c r="B1814" t="inlineStr">
        <is>
          <t>avverkningsanmälan</t>
        </is>
      </c>
      <c r="C1814" t="inlineStr">
        <is>
          <t>Föryngringsavverkning</t>
        </is>
      </c>
      <c r="D1814" s="1" t="n">
        <v>46297</v>
      </c>
      <c r="E1814" s="1" t="n">
        <v>46313</v>
      </c>
      <c r="F1814" t="inlineStr">
        <is>
          <t>GÄVLEBORGS LÄN</t>
        </is>
      </c>
      <c r="G1814" t="inlineStr">
        <is>
          <t>BOLLNÄS</t>
        </is>
      </c>
      <c r="H1814" t="inlineStr">
        <is>
          <t>Kyrkan</t>
        </is>
      </c>
      <c r="I1814" t="n">
        <v>0.6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s="2" t="inlineStr"/>
    </row>
    <row r="1815" ht="15" customHeight="1">
      <c r="A1815" t="inlineStr">
        <is>
          <t>A 34069-2026</t>
        </is>
      </c>
      <c r="B1815" t="inlineStr">
        <is>
          <t>avverkningsanmälan</t>
        </is>
      </c>
      <c r="C1815" t="inlineStr">
        <is>
          <t>Föryngringsavverkning</t>
        </is>
      </c>
      <c r="D1815" s="1" t="n">
        <v>46252</v>
      </c>
      <c r="E1815" s="1" t="n">
        <v>46313</v>
      </c>
      <c r="F1815" t="inlineStr">
        <is>
          <t>GÄVLEBORGS LÄN</t>
        </is>
      </c>
      <c r="G1815" t="inlineStr">
        <is>
          <t>BOLLNÄS</t>
        </is>
      </c>
      <c r="I1815" t="n">
        <v>0.8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s="2" t="inlineStr"/>
    </row>
    <row r="1816" ht="15" customHeight="1">
      <c r="A1816" t="inlineStr">
        <is>
          <t>A 40952-2026</t>
        </is>
      </c>
      <c r="B1816" t="inlineStr">
        <is>
          <t>avverkningsanmälan</t>
        </is>
      </c>
      <c r="C1816" t="inlineStr">
        <is>
          <t>Föryngringsavverkning</t>
        </is>
      </c>
      <c r="D1816" s="1" t="n">
        <v>46297</v>
      </c>
      <c r="E1816" s="1" t="n">
        <v>46313</v>
      </c>
      <c r="F1816" t="inlineStr">
        <is>
          <t>GÄVLEBORGS LÄN</t>
        </is>
      </c>
      <c r="G1816" t="inlineStr">
        <is>
          <t>BOLLNÄS</t>
        </is>
      </c>
      <c r="I1816" t="n">
        <v>3.6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s="2" t="inlineStr"/>
    </row>
    <row r="1817" ht="15" customHeight="1">
      <c r="A1817" t="inlineStr">
        <is>
          <t>A 33956-2026</t>
        </is>
      </c>
      <c r="B1817" t="inlineStr">
        <is>
          <t>avverkningsanmälan</t>
        </is>
      </c>
      <c r="C1817" t="inlineStr">
        <is>
          <t>Föryngringsavverkning</t>
        </is>
      </c>
      <c r="D1817" s="1" t="n">
        <v>46252</v>
      </c>
      <c r="E1817" s="1" t="n">
        <v>46313</v>
      </c>
      <c r="F1817" t="inlineStr">
        <is>
          <t>GÄVLEBORGS LÄN</t>
        </is>
      </c>
      <c r="G1817" t="inlineStr">
        <is>
          <t>BOLLNÄS</t>
        </is>
      </c>
      <c r="I1817" t="n">
        <v>3.1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s="2" t="inlineStr"/>
    </row>
    <row r="1818" ht="15" customHeight="1">
      <c r="A1818" t="inlineStr">
        <is>
          <t>A 34107-2026</t>
        </is>
      </c>
      <c r="B1818" t="inlineStr">
        <is>
          <t>avverkningsanmälan</t>
        </is>
      </c>
      <c r="C1818" t="inlineStr">
        <is>
          <t>Föryngringsavverkning</t>
        </is>
      </c>
      <c r="D1818" s="1" t="n">
        <v>46253</v>
      </c>
      <c r="E1818" s="1" t="n">
        <v>46313</v>
      </c>
      <c r="F1818" t="inlineStr">
        <is>
          <t>GÄVLEBORGS LÄN</t>
        </is>
      </c>
      <c r="G1818" t="inlineStr">
        <is>
          <t>BOLLNÄS</t>
        </is>
      </c>
      <c r="I1818" t="n">
        <v>1.5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s="2" t="inlineStr"/>
    </row>
    <row r="1819" ht="15" customHeight="1">
      <c r="A1819" t="inlineStr">
        <is>
          <t>A 8669-2026</t>
        </is>
      </c>
      <c r="B1819" t="inlineStr">
        <is>
          <t>avverkningsanmälan</t>
        </is>
      </c>
      <c r="C1819" t="inlineStr">
        <is>
          <t>Föryngringsavverkning</t>
        </is>
      </c>
      <c r="D1819" s="1" t="n">
        <v>46066</v>
      </c>
      <c r="E1819" s="1" t="n">
        <v>46313</v>
      </c>
      <c r="F1819" t="inlineStr">
        <is>
          <t>GÄVLEBORGS LÄN</t>
        </is>
      </c>
      <c r="G1819" t="inlineStr">
        <is>
          <t>BOLLNÄS</t>
        </is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s="2" t="inlineStr"/>
    </row>
    <row r="1820" ht="15" customHeight="1">
      <c r="A1820" t="inlineStr">
        <is>
          <t>A 34129-2026</t>
        </is>
      </c>
      <c r="B1820" t="inlineStr">
        <is>
          <t>avverkningsanmälan</t>
        </is>
      </c>
      <c r="C1820" t="inlineStr">
        <is>
          <t>Föryngringsavverkning</t>
        </is>
      </c>
      <c r="D1820" s="1" t="n">
        <v>46253</v>
      </c>
      <c r="E1820" s="1" t="n">
        <v>46313</v>
      </c>
      <c r="F1820" t="inlineStr">
        <is>
          <t>GÄVLEBORGS LÄN</t>
        </is>
      </c>
      <c r="G1820" t="inlineStr">
        <is>
          <t>BOLLNÄS</t>
        </is>
      </c>
      <c r="I1820" t="n">
        <v>1.1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s="2" t="inlineStr"/>
    </row>
    <row r="1821" ht="15" customHeight="1">
      <c r="A1821" t="inlineStr">
        <is>
          <t>A 59637-2024</t>
        </is>
      </c>
      <c r="B1821" t="inlineStr">
        <is>
          <t>avverkningsanmälan</t>
        </is>
      </c>
      <c r="C1821" t="inlineStr">
        <is>
          <t>Föryngringsavverkning</t>
        </is>
      </c>
      <c r="D1821" s="1" t="n">
        <v>45639</v>
      </c>
      <c r="E1821" s="1" t="n">
        <v>46313</v>
      </c>
      <c r="F1821" t="inlineStr">
        <is>
          <t>GÄVLEBORGS LÄN</t>
        </is>
      </c>
      <c r="G1821" t="inlineStr">
        <is>
          <t>BOLLNÄS</t>
        </is>
      </c>
      <c r="I1821" t="n">
        <v>1.4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s="2" t="inlineStr"/>
    </row>
    <row r="1822" ht="15" customHeight="1">
      <c r="A1822" t="inlineStr">
        <is>
          <t>A 22310-2026</t>
        </is>
      </c>
      <c r="B1822" t="inlineStr">
        <is>
          <t>avverkningsanmälan</t>
        </is>
      </c>
      <c r="C1822" t="inlineStr">
        <is>
          <t>Föryngringsavverkning</t>
        </is>
      </c>
      <c r="D1822" s="1" t="n">
        <v>46154</v>
      </c>
      <c r="E1822" s="1" t="n">
        <v>46313</v>
      </c>
      <c r="F1822" t="inlineStr">
        <is>
          <t>GÄVLEBORGS LÄN</t>
        </is>
      </c>
      <c r="G1822" t="inlineStr">
        <is>
          <t>BOLLNÄS</t>
        </is>
      </c>
      <c r="I1822" t="n">
        <v>1.7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s="2" t="inlineStr"/>
    </row>
    <row r="1823" ht="15" customHeight="1">
      <c r="A1823" t="inlineStr">
        <is>
          <t>A 19153-2026</t>
        </is>
      </c>
      <c r="B1823" t="inlineStr">
        <is>
          <t>avverkningsanmälan</t>
        </is>
      </c>
      <c r="C1823" t="inlineStr">
        <is>
          <t>Föryngringsavverkning</t>
        </is>
      </c>
      <c r="D1823" s="1" t="n">
        <v>46132</v>
      </c>
      <c r="E1823" s="1" t="n">
        <v>46313</v>
      </c>
      <c r="F1823" t="inlineStr">
        <is>
          <t>GÄVLEBORGS LÄN</t>
        </is>
      </c>
      <c r="G1823" t="inlineStr">
        <is>
          <t>BOLLNÄS</t>
        </is>
      </c>
      <c r="I1823" t="n">
        <v>10.2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s="2" t="inlineStr"/>
    </row>
    <row r="1824" ht="15" customHeight="1">
      <c r="A1824" t="inlineStr">
        <is>
          <t>A 63716-2021</t>
        </is>
      </c>
      <c r="B1824" t="inlineStr">
        <is>
          <t>avverkningsanmälan</t>
        </is>
      </c>
      <c r="C1824" t="inlineStr">
        <is>
          <t>Föryngringsavverkning</t>
        </is>
      </c>
      <c r="D1824" s="1" t="n">
        <v>44509</v>
      </c>
      <c r="E1824" s="1" t="n">
        <v>46313</v>
      </c>
      <c r="F1824" t="inlineStr">
        <is>
          <t>GÄVLEBORGS LÄN</t>
        </is>
      </c>
      <c r="G1824" t="inlineStr">
        <is>
          <t>BOLLNÄS</t>
        </is>
      </c>
      <c r="I1824" t="n">
        <v>3.8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s="2" t="inlineStr"/>
    </row>
    <row r="1825" ht="15" customHeight="1">
      <c r="A1825" t="inlineStr">
        <is>
          <t>A 21696-2026</t>
        </is>
      </c>
      <c r="B1825" t="inlineStr">
        <is>
          <t>avverkningsanmälan</t>
        </is>
      </c>
      <c r="C1825" t="inlineStr">
        <is>
          <t>Föryngringsavverkning</t>
        </is>
      </c>
      <c r="D1825" s="1" t="n">
        <v>46149</v>
      </c>
      <c r="E1825" s="1" t="n">
        <v>46313</v>
      </c>
      <c r="F1825" t="inlineStr">
        <is>
          <t>GÄVLEBORGS LÄN</t>
        </is>
      </c>
      <c r="G1825" t="inlineStr">
        <is>
          <t>BOLLNÄS</t>
        </is>
      </c>
      <c r="I1825" t="n">
        <v>6.9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s="2" t="inlineStr"/>
    </row>
    <row r="1826" ht="15" customHeight="1">
      <c r="A1826" t="inlineStr">
        <is>
          <t>A 21790-2026</t>
        </is>
      </c>
      <c r="B1826" t="inlineStr">
        <is>
          <t>avverkningsanmälan</t>
        </is>
      </c>
      <c r="C1826" t="inlineStr">
        <is>
          <t>Föryngringsavverkning</t>
        </is>
      </c>
      <c r="D1826" s="1" t="n">
        <v>46150</v>
      </c>
      <c r="E1826" s="1" t="n">
        <v>46313</v>
      </c>
      <c r="F1826" t="inlineStr">
        <is>
          <t>GÄVLEBORGS LÄN</t>
        </is>
      </c>
      <c r="G1826" t="inlineStr">
        <is>
          <t>BOLLNÄS</t>
        </is>
      </c>
      <c r="I1826" t="n">
        <v>4.1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s="2" t="inlineStr"/>
    </row>
    <row r="1827" ht="15" customHeight="1">
      <c r="A1827" t="inlineStr">
        <is>
          <t>A 22502-2026</t>
        </is>
      </c>
      <c r="B1827" t="inlineStr">
        <is>
          <t>avverkningsanmälan</t>
        </is>
      </c>
      <c r="C1827" t="inlineStr">
        <is>
          <t>Föryngringsavverkning</t>
        </is>
      </c>
      <c r="D1827" s="1" t="n">
        <v>46155</v>
      </c>
      <c r="E1827" s="1" t="n">
        <v>46313</v>
      </c>
      <c r="F1827" t="inlineStr">
        <is>
          <t>GÄVLEBORGS LÄN</t>
        </is>
      </c>
      <c r="G1827" t="inlineStr">
        <is>
          <t>BOLLNÄS</t>
        </is>
      </c>
      <c r="I1827" t="n">
        <v>1.1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s="2" t="inlineStr"/>
    </row>
    <row r="1828" ht="15" customHeight="1">
      <c r="A1828" t="inlineStr">
        <is>
          <t>A 22499-2026</t>
        </is>
      </c>
      <c r="B1828" t="inlineStr">
        <is>
          <t>avverkningsanmälan</t>
        </is>
      </c>
      <c r="C1828" t="inlineStr">
        <is>
          <t>Föryngringsavverkning</t>
        </is>
      </c>
      <c r="D1828" s="1" t="n">
        <v>46155</v>
      </c>
      <c r="E1828" s="1" t="n">
        <v>46313</v>
      </c>
      <c r="F1828" t="inlineStr">
        <is>
          <t>GÄVLEBORGS LÄN</t>
        </is>
      </c>
      <c r="G1828" t="inlineStr">
        <is>
          <t>BOLLNÄS</t>
        </is>
      </c>
      <c r="I1828" t="n">
        <v>4.5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s="2" t="inlineStr"/>
    </row>
    <row r="1829" ht="15" customHeight="1">
      <c r="A1829" t="inlineStr">
        <is>
          <t>A 20060-2026</t>
        </is>
      </c>
      <c r="B1829" t="inlineStr">
        <is>
          <t>avverkningsanmälan</t>
        </is>
      </c>
      <c r="C1829" t="inlineStr">
        <is>
          <t>Avverkning för att bevara och utveckla /försöksver</t>
        </is>
      </c>
      <c r="D1829" s="1" t="n">
        <v>46136</v>
      </c>
      <c r="E1829" s="1" t="n">
        <v>46313</v>
      </c>
      <c r="F1829" t="inlineStr">
        <is>
          <t>GÄVLEBORGS LÄN</t>
        </is>
      </c>
      <c r="G1829" t="inlineStr">
        <is>
          <t>BOLLNÄS</t>
        </is>
      </c>
      <c r="I1829" t="n">
        <v>0.4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s="2" t="inlineStr"/>
    </row>
    <row r="1830" ht="15" customHeight="1">
      <c r="A1830" t="inlineStr">
        <is>
          <t>A 323-2026</t>
        </is>
      </c>
      <c r="B1830" t="inlineStr">
        <is>
          <t>avverkningsanmälan</t>
        </is>
      </c>
      <c r="C1830" t="inlineStr">
        <is>
          <t>Föryngringsavverkning</t>
        </is>
      </c>
      <c r="D1830" s="1" t="n">
        <v>46027</v>
      </c>
      <c r="E1830" s="1" t="n">
        <v>46313</v>
      </c>
      <c r="F1830" t="inlineStr">
        <is>
          <t>GÄVLEBORGS LÄN</t>
        </is>
      </c>
      <c r="G1830" t="inlineStr">
        <is>
          <t>BOLLNÄS</t>
        </is>
      </c>
      <c r="I1830" t="n">
        <v>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s="2" t="inlineStr"/>
    </row>
    <row r="1831" ht="15" customHeight="1">
      <c r="A1831" t="inlineStr">
        <is>
          <t>A 2620-2025</t>
        </is>
      </c>
      <c r="B1831" t="inlineStr">
        <is>
          <t>avverkningsanmälan</t>
        </is>
      </c>
      <c r="C1831" t="inlineStr">
        <is>
          <t>Föryngringsavverkning</t>
        </is>
      </c>
      <c r="D1831" s="1" t="n">
        <v>45675</v>
      </c>
      <c r="E1831" s="1" t="n">
        <v>46313</v>
      </c>
      <c r="F1831" t="inlineStr">
        <is>
          <t>GÄVLEBORGS LÄN</t>
        </is>
      </c>
      <c r="G1831" t="inlineStr">
        <is>
          <t>BOLLNÄS</t>
        </is>
      </c>
      <c r="I1831" t="n">
        <v>1.5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s="2" t="inlineStr"/>
    </row>
    <row r="1832" ht="15" customHeight="1">
      <c r="A1832" t="inlineStr">
        <is>
          <t>A 18025-2026</t>
        </is>
      </c>
      <c r="B1832" t="inlineStr">
        <is>
          <t>avverkningsanmälan</t>
        </is>
      </c>
      <c r="C1832" t="inlineStr">
        <is>
          <t>Föryngringsavverkning</t>
        </is>
      </c>
      <c r="D1832" s="1" t="n">
        <v>46125</v>
      </c>
      <c r="E1832" s="1" t="n">
        <v>46313</v>
      </c>
      <c r="F1832" t="inlineStr">
        <is>
          <t>GÄVLEBORGS LÄN</t>
        </is>
      </c>
      <c r="G1832" t="inlineStr">
        <is>
          <t>BOLLNÄS</t>
        </is>
      </c>
      <c r="I1832" t="n">
        <v>2.2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s="2" t="inlineStr"/>
    </row>
    <row r="1833" ht="15" customHeight="1">
      <c r="A1833" t="inlineStr">
        <is>
          <t>A 20724-2026</t>
        </is>
      </c>
      <c r="B1833" t="inlineStr">
        <is>
          <t>avverkningsanmälan</t>
        </is>
      </c>
      <c r="C1833" t="inlineStr">
        <is>
          <t>Föryngringsavverkning</t>
        </is>
      </c>
      <c r="D1833" s="1" t="n">
        <v>46141</v>
      </c>
      <c r="E1833" s="1" t="n">
        <v>46313</v>
      </c>
      <c r="F1833" t="inlineStr">
        <is>
          <t>GÄVLEBORGS LÄN</t>
        </is>
      </c>
      <c r="G1833" t="inlineStr">
        <is>
          <t>BOLLNÄS</t>
        </is>
      </c>
      <c r="H1833" t="inlineStr">
        <is>
          <t>Kyrkan</t>
        </is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s="2" t="inlineStr"/>
    </row>
    <row r="1834" ht="15" customHeight="1">
      <c r="A1834" t="inlineStr">
        <is>
          <t>A 22178-2026</t>
        </is>
      </c>
      <c r="B1834" t="inlineStr">
        <is>
          <t>avverkningsanmälan</t>
        </is>
      </c>
      <c r="C1834" t="inlineStr">
        <is>
          <t>Föryngringsavverkning</t>
        </is>
      </c>
      <c r="D1834" s="1" t="n">
        <v>46153</v>
      </c>
      <c r="E1834" s="1" t="n">
        <v>46313</v>
      </c>
      <c r="F1834" t="inlineStr">
        <is>
          <t>GÄVLEBORGS LÄN</t>
        </is>
      </c>
      <c r="G1834" t="inlineStr">
        <is>
          <t>BOLLNÄS</t>
        </is>
      </c>
      <c r="I1834" t="n">
        <v>9.6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s="2" t="inlineStr"/>
    </row>
    <row r="1835" ht="15" customHeight="1">
      <c r="A1835" t="inlineStr">
        <is>
          <t>A 41479-2026</t>
        </is>
      </c>
      <c r="B1835" t="inlineStr">
        <is>
          <t>avverkningsanmälan</t>
        </is>
      </c>
      <c r="C1835" t="inlineStr">
        <is>
          <t>Föryngringsavverkning</t>
        </is>
      </c>
      <c r="D1835" s="1" t="n">
        <v>46301</v>
      </c>
      <c r="E1835" s="1" t="n">
        <v>46313</v>
      </c>
      <c r="F1835" t="inlineStr">
        <is>
          <t>GÄVLEBORGS LÄN</t>
        </is>
      </c>
      <c r="G1835" t="inlineStr">
        <is>
          <t>BOLLNÄS</t>
        </is>
      </c>
      <c r="I1835" t="n">
        <v>1.6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s="2" t="inlineStr"/>
    </row>
    <row r="1836" ht="15" customHeight="1">
      <c r="A1836" t="inlineStr">
        <is>
          <t>A 48336-2023</t>
        </is>
      </c>
      <c r="B1836" t="inlineStr">
        <is>
          <t>avverkningsanmälan</t>
        </is>
      </c>
      <c r="C1836" t="inlineStr">
        <is>
          <t>Föryngringsavverkning</t>
        </is>
      </c>
      <c r="D1836" s="1" t="n">
        <v>45205</v>
      </c>
      <c r="E1836" s="1" t="n">
        <v>46313</v>
      </c>
      <c r="F1836" t="inlineStr">
        <is>
          <t>GÄVLEBORGS LÄN</t>
        </is>
      </c>
      <c r="G1836" t="inlineStr">
        <is>
          <t>BOLLNÄS</t>
        </is>
      </c>
      <c r="I1836" t="n">
        <v>6.1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s="2" t="inlineStr"/>
    </row>
    <row r="1837" ht="15" customHeight="1">
      <c r="A1837" t="inlineStr">
        <is>
          <t>A 41348-2026</t>
        </is>
      </c>
      <c r="B1837" t="inlineStr">
        <is>
          <t>avverkningsanmälan</t>
        </is>
      </c>
      <c r="C1837" t="inlineStr">
        <is>
          <t>Föryngringsavverkning</t>
        </is>
      </c>
      <c r="D1837" s="1" t="n">
        <v>46301</v>
      </c>
      <c r="E1837" s="1" t="n">
        <v>46313</v>
      </c>
      <c r="F1837" t="inlineStr">
        <is>
          <t>GÄVLEBORGS LÄN</t>
        </is>
      </c>
      <c r="G1837" t="inlineStr">
        <is>
          <t>BOLLNÄS</t>
        </is>
      </c>
      <c r="I1837" t="n">
        <v>0.5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s="2" t="inlineStr"/>
    </row>
    <row r="1838" ht="15" customHeight="1">
      <c r="A1838" t="inlineStr">
        <is>
          <t>A 20705-2025</t>
        </is>
      </c>
      <c r="B1838" t="inlineStr">
        <is>
          <t>avverkningsanmälan</t>
        </is>
      </c>
      <c r="C1838" t="inlineStr">
        <is>
          <t>Föryngringsavverkning</t>
        </is>
      </c>
      <c r="D1838" s="1" t="n">
        <v>45776</v>
      </c>
      <c r="E1838" s="1" t="n">
        <v>46313</v>
      </c>
      <c r="F1838" t="inlineStr">
        <is>
          <t>GÄVLEBORGS LÄN</t>
        </is>
      </c>
      <c r="G1838" t="inlineStr">
        <is>
          <t>BOLLNÄS</t>
        </is>
      </c>
      <c r="I1838" t="n">
        <v>1.2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s="2" t="inlineStr"/>
    </row>
    <row r="1839" ht="15" customHeight="1">
      <c r="A1839" t="inlineStr">
        <is>
          <t>A 20726-2026</t>
        </is>
      </c>
      <c r="B1839" t="inlineStr">
        <is>
          <t>avverkningsanmälan</t>
        </is>
      </c>
      <c r="C1839" t="inlineStr">
        <is>
          <t>Föryngringsavverkning</t>
        </is>
      </c>
      <c r="D1839" s="1" t="n">
        <v>46141</v>
      </c>
      <c r="E1839" s="1" t="n">
        <v>46313</v>
      </c>
      <c r="F1839" t="inlineStr">
        <is>
          <t>GÄVLEBORGS LÄN</t>
        </is>
      </c>
      <c r="G1839" t="inlineStr">
        <is>
          <t>BOLLNÄS</t>
        </is>
      </c>
      <c r="H1839" t="inlineStr">
        <is>
          <t>Kyrkan</t>
        </is>
      </c>
      <c r="I1839" t="n">
        <v>0.4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s="2" t="inlineStr"/>
    </row>
    <row r="1840" ht="15" customHeight="1">
      <c r="A1840" t="inlineStr">
        <is>
          <t>A 21629-2026</t>
        </is>
      </c>
      <c r="B1840" t="inlineStr">
        <is>
          <t>avverkningsanmälan</t>
        </is>
      </c>
      <c r="C1840" t="inlineStr">
        <is>
          <t>Föryngringsavverkning</t>
        </is>
      </c>
      <c r="D1840" s="1" t="n">
        <v>46149</v>
      </c>
      <c r="E1840" s="1" t="n">
        <v>46313</v>
      </c>
      <c r="F1840" t="inlineStr">
        <is>
          <t>GÄVLEBORGS LÄN</t>
        </is>
      </c>
      <c r="G1840" t="inlineStr">
        <is>
          <t>BOLLNÄS</t>
        </is>
      </c>
      <c r="I1840" t="n">
        <v>5.9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s="2" t="inlineStr"/>
    </row>
    <row r="1841" ht="15" customHeight="1">
      <c r="A1841" t="inlineStr">
        <is>
          <t>A 21675-2026</t>
        </is>
      </c>
      <c r="B1841" t="inlineStr">
        <is>
          <t>avverkningsanmälan</t>
        </is>
      </c>
      <c r="C1841" t="inlineStr">
        <is>
          <t>Föryngringsavverkning</t>
        </is>
      </c>
      <c r="D1841" s="1" t="n">
        <v>46149</v>
      </c>
      <c r="E1841" s="1" t="n">
        <v>46313</v>
      </c>
      <c r="F1841" t="inlineStr">
        <is>
          <t>GÄVLEBORGS LÄN</t>
        </is>
      </c>
      <c r="G1841" t="inlineStr">
        <is>
          <t>BOLLNÄS</t>
        </is>
      </c>
      <c r="I1841" t="n">
        <v>1.3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s="2" t="inlineStr"/>
    </row>
    <row r="1842" ht="15" customHeight="1">
      <c r="A1842" t="inlineStr">
        <is>
          <t>A 34784-2026</t>
        </is>
      </c>
      <c r="B1842" t="inlineStr">
        <is>
          <t>avverkningsanmälan</t>
        </is>
      </c>
      <c r="C1842" t="inlineStr">
        <is>
          <t>Föryngringsavverkning</t>
        </is>
      </c>
      <c r="D1842" s="1" t="n">
        <v>46258</v>
      </c>
      <c r="E1842" s="1" t="n">
        <v>46313</v>
      </c>
      <c r="F1842" t="inlineStr">
        <is>
          <t>GÄVLEBORGS LÄN</t>
        </is>
      </c>
      <c r="G1842" t="inlineStr">
        <is>
          <t>BOLLNÄS</t>
        </is>
      </c>
      <c r="I1842" t="n">
        <v>12.7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s="2" t="inlineStr"/>
    </row>
    <row r="1843" ht="15" customHeight="1">
      <c r="A1843" t="inlineStr">
        <is>
          <t>A 20710-2025</t>
        </is>
      </c>
      <c r="B1843" t="inlineStr">
        <is>
          <t>avverkningsanmälan</t>
        </is>
      </c>
      <c r="C1843" t="inlineStr">
        <is>
          <t>Föryngringsavverkning</t>
        </is>
      </c>
      <c r="D1843" s="1" t="n">
        <v>45776</v>
      </c>
      <c r="E1843" s="1" t="n">
        <v>46313</v>
      </c>
      <c r="F1843" t="inlineStr">
        <is>
          <t>GÄVLEBORGS LÄN</t>
        </is>
      </c>
      <c r="G1843" t="inlineStr">
        <is>
          <t>BOLLNÄS</t>
        </is>
      </c>
      <c r="I1843" t="n">
        <v>0.4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s="2" t="inlineStr"/>
    </row>
    <row r="1844" ht="15" customHeight="1">
      <c r="A1844" t="inlineStr">
        <is>
          <t>A 14758-2026</t>
        </is>
      </c>
      <c r="B1844" t="inlineStr">
        <is>
          <t>avverkningsanmälan</t>
        </is>
      </c>
      <c r="C1844" t="inlineStr">
        <is>
          <t>Föryngringsavverkning</t>
        </is>
      </c>
      <c r="D1844" s="1" t="n">
        <v>46101</v>
      </c>
      <c r="E1844" s="1" t="n">
        <v>46313</v>
      </c>
      <c r="F1844" t="inlineStr">
        <is>
          <t>GÄVLEBORGS LÄN</t>
        </is>
      </c>
      <c r="G1844" t="inlineStr">
        <is>
          <t>BOLLNÄS</t>
        </is>
      </c>
      <c r="I1844" t="n">
        <v>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s="2" t="inlineStr"/>
    </row>
    <row r="1845" ht="15" customHeight="1">
      <c r="A1845" t="inlineStr">
        <is>
          <t>A 29691-2026</t>
        </is>
      </c>
      <c r="B1845" t="inlineStr">
        <is>
          <t>avverkningsanmälan</t>
        </is>
      </c>
      <c r="C1845" t="inlineStr">
        <is>
          <t>Föryngringsavverkning</t>
        </is>
      </c>
      <c r="D1845" s="1" t="n">
        <v>46204</v>
      </c>
      <c r="E1845" s="1" t="n">
        <v>46313</v>
      </c>
      <c r="F1845" t="inlineStr">
        <is>
          <t>GÄVLEBORGS LÄN</t>
        </is>
      </c>
      <c r="G1845" t="inlineStr">
        <is>
          <t>BOLLNÄS</t>
        </is>
      </c>
      <c r="I1845" t="n">
        <v>1.2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s="2" t="inlineStr"/>
    </row>
    <row r="1846" ht="15" customHeight="1">
      <c r="A1846" t="inlineStr">
        <is>
          <t>A 15834-2026</t>
        </is>
      </c>
      <c r="B1846" t="inlineStr">
        <is>
          <t>avverkningsanmälan</t>
        </is>
      </c>
      <c r="C1846" t="inlineStr">
        <is>
          <t>Föryngringsavverkning</t>
        </is>
      </c>
      <c r="D1846" s="1" t="n">
        <v>46107</v>
      </c>
      <c r="E1846" s="1" t="n">
        <v>46313</v>
      </c>
      <c r="F1846" t="inlineStr">
        <is>
          <t>GÄVLEBORGS LÄN</t>
        </is>
      </c>
      <c r="G1846" t="inlineStr">
        <is>
          <t>BOLLNÄS</t>
        </is>
      </c>
      <c r="I1846" t="n">
        <v>2.2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s="2" t="inlineStr"/>
    </row>
    <row r="1847" ht="15" customHeight="1">
      <c r="A1847" t="inlineStr">
        <is>
          <t>A 22489-2026</t>
        </is>
      </c>
      <c r="B1847" t="inlineStr">
        <is>
          <t>avverkningsanmälan</t>
        </is>
      </c>
      <c r="C1847" t="inlineStr">
        <is>
          <t>Föryngringsavverkning</t>
        </is>
      </c>
      <c r="D1847" s="1" t="n">
        <v>46155</v>
      </c>
      <c r="E1847" s="1" t="n">
        <v>46313</v>
      </c>
      <c r="F1847" t="inlineStr">
        <is>
          <t>GÄVLEBORGS LÄN</t>
        </is>
      </c>
      <c r="G1847" t="inlineStr">
        <is>
          <t>BOLLNÄS</t>
        </is>
      </c>
      <c r="I1847" t="n">
        <v>4.8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s="2" t="inlineStr"/>
    </row>
    <row r="1848" ht="15" customHeight="1">
      <c r="A1848" t="inlineStr">
        <is>
          <t>A 22503-2026</t>
        </is>
      </c>
      <c r="B1848" t="inlineStr">
        <is>
          <t>avverkningsanmälan</t>
        </is>
      </c>
      <c r="C1848" t="inlineStr">
        <is>
          <t>Föryngringsavverkning</t>
        </is>
      </c>
      <c r="D1848" s="1" t="n">
        <v>46155</v>
      </c>
      <c r="E1848" s="1" t="n">
        <v>46313</v>
      </c>
      <c r="F1848" t="inlineStr">
        <is>
          <t>GÄVLEBORGS LÄN</t>
        </is>
      </c>
      <c r="G1848" t="inlineStr">
        <is>
          <t>BOLLNÄS</t>
        </is>
      </c>
      <c r="I1848" t="n">
        <v>0.9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s="2" t="inlineStr"/>
    </row>
    <row r="1849" ht="15" customHeight="1">
      <c r="A1849" t="inlineStr">
        <is>
          <t>A 16587-2026</t>
        </is>
      </c>
      <c r="B1849" t="inlineStr">
        <is>
          <t>avverkningsanmälan</t>
        </is>
      </c>
      <c r="C1849" t="inlineStr">
        <is>
          <t>Föryngringsavverkning</t>
        </is>
      </c>
      <c r="D1849" s="1" t="n">
        <v>46112</v>
      </c>
      <c r="E1849" s="1" t="n">
        <v>46313</v>
      </c>
      <c r="F1849" t="inlineStr">
        <is>
          <t>GÄVLEBORGS LÄN</t>
        </is>
      </c>
      <c r="G1849" t="inlineStr">
        <is>
          <t>BOLLNÄS</t>
        </is>
      </c>
      <c r="I1849" t="n">
        <v>1.7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s="2" t="inlineStr"/>
    </row>
    <row r="1850" ht="15" customHeight="1">
      <c r="A1850" t="inlineStr">
        <is>
          <t>A 46800-2024</t>
        </is>
      </c>
      <c r="B1850" t="inlineStr">
        <is>
          <t>avverkningsanmälan</t>
        </is>
      </c>
      <c r="C1850" t="inlineStr">
        <is>
          <t>Föryngringsavverkning</t>
        </is>
      </c>
      <c r="D1850" s="1" t="n">
        <v>45583</v>
      </c>
      <c r="E1850" s="1" t="n">
        <v>46313</v>
      </c>
      <c r="F1850" t="inlineStr">
        <is>
          <t>GÄVLEBORGS LÄN</t>
        </is>
      </c>
      <c r="G1850" t="inlineStr">
        <is>
          <t>BOLLNÄS</t>
        </is>
      </c>
      <c r="I1850" t="n">
        <v>2.2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s="2" t="inlineStr"/>
    </row>
    <row r="1851" ht="15" customHeight="1">
      <c r="A1851" t="inlineStr">
        <is>
          <t>A 21393-2025</t>
        </is>
      </c>
      <c r="B1851" t="inlineStr">
        <is>
          <t>avverkningsanmälan</t>
        </is>
      </c>
      <c r="C1851" t="inlineStr">
        <is>
          <t>Föryngringsavverkning</t>
        </is>
      </c>
      <c r="D1851" s="1" t="n">
        <v>45782</v>
      </c>
      <c r="E1851" s="1" t="n">
        <v>46313</v>
      </c>
      <c r="F1851" t="inlineStr">
        <is>
          <t>GÄVLEBORGS LÄN</t>
        </is>
      </c>
      <c r="G1851" t="inlineStr">
        <is>
          <t>BOLLNÄS</t>
        </is>
      </c>
      <c r="I1851" t="n">
        <v>1.7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s="2" t="inlineStr"/>
    </row>
    <row r="1852" ht="15" customHeight="1">
      <c r="A1852" t="inlineStr">
        <is>
          <t>A 6887-2026</t>
        </is>
      </c>
      <c r="B1852" t="inlineStr">
        <is>
          <t>avverkningsanmälan</t>
        </is>
      </c>
      <c r="C1852" t="inlineStr">
        <is>
          <t>Föryngringsavverkning</t>
        </is>
      </c>
      <c r="D1852" s="1" t="n">
        <v>46057</v>
      </c>
      <c r="E1852" s="1" t="n">
        <v>46313</v>
      </c>
      <c r="F1852" t="inlineStr">
        <is>
          <t>GÄVLEBORGS LÄN</t>
        </is>
      </c>
      <c r="G1852" t="inlineStr">
        <is>
          <t>BOLLNÄS</t>
        </is>
      </c>
      <c r="I1852" t="n">
        <v>1.3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s="2" t="inlineStr"/>
    </row>
    <row r="1853" ht="15" customHeight="1">
      <c r="A1853" t="inlineStr">
        <is>
          <t>A 34845-2026</t>
        </is>
      </c>
      <c r="B1853" t="inlineStr">
        <is>
          <t>avverkningsanmälan</t>
        </is>
      </c>
      <c r="C1853" t="inlineStr">
        <is>
          <t>Föryngringsavverkning</t>
        </is>
      </c>
      <c r="D1853" s="1" t="n">
        <v>46258</v>
      </c>
      <c r="E1853" s="1" t="n">
        <v>46313</v>
      </c>
      <c r="F1853" t="inlineStr">
        <is>
          <t>GÄVLEBORGS LÄN</t>
        </is>
      </c>
      <c r="G1853" t="inlineStr">
        <is>
          <t>BOLLNÄS</t>
        </is>
      </c>
      <c r="H1853" t="inlineStr">
        <is>
          <t>Sveaskog</t>
        </is>
      </c>
      <c r="I1853" t="n">
        <v>3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s="2" t="inlineStr"/>
    </row>
    <row r="1854" ht="15" customHeight="1">
      <c r="A1854" t="inlineStr">
        <is>
          <t>A 20228-2026</t>
        </is>
      </c>
      <c r="B1854" t="inlineStr">
        <is>
          <t>avverkningsanmälan</t>
        </is>
      </c>
      <c r="C1854" t="inlineStr">
        <is>
          <t>Föryngringsavverkning</t>
        </is>
      </c>
      <c r="D1854" s="1" t="n">
        <v>46139</v>
      </c>
      <c r="E1854" s="1" t="n">
        <v>46313</v>
      </c>
      <c r="F1854" t="inlineStr">
        <is>
          <t>GÄVLEBORGS LÄN</t>
        </is>
      </c>
      <c r="G1854" t="inlineStr">
        <is>
          <t>BOLLNÄS</t>
        </is>
      </c>
      <c r="I1854" t="n">
        <v>13.5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s="2" t="inlineStr"/>
    </row>
    <row r="1855" ht="15" customHeight="1">
      <c r="A1855" t="inlineStr">
        <is>
          <t>A 21682-2026</t>
        </is>
      </c>
      <c r="B1855" t="inlineStr">
        <is>
          <t>avverkningsanmälan</t>
        </is>
      </c>
      <c r="C1855" t="inlineStr">
        <is>
          <t>Föryngringsavverkning</t>
        </is>
      </c>
      <c r="D1855" s="1" t="n">
        <v>46149</v>
      </c>
      <c r="E1855" s="1" t="n">
        <v>46313</v>
      </c>
      <c r="F1855" t="inlineStr">
        <is>
          <t>GÄVLEBORGS LÄN</t>
        </is>
      </c>
      <c r="G1855" t="inlineStr">
        <is>
          <t>BOLLNÄS</t>
        </is>
      </c>
      <c r="I1855" t="n">
        <v>1.7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s="2" t="inlineStr"/>
    </row>
    <row r="1856" ht="15" customHeight="1">
      <c r="A1856" t="inlineStr">
        <is>
          <t>A 21693-2026</t>
        </is>
      </c>
      <c r="B1856" t="inlineStr">
        <is>
          <t>avverkningsanmälan</t>
        </is>
      </c>
      <c r="C1856" t="inlineStr">
        <is>
          <t>Föryngringsavverkning</t>
        </is>
      </c>
      <c r="D1856" s="1" t="n">
        <v>46149</v>
      </c>
      <c r="E1856" s="1" t="n">
        <v>46313</v>
      </c>
      <c r="F1856" t="inlineStr">
        <is>
          <t>GÄVLEBORGS LÄN</t>
        </is>
      </c>
      <c r="G1856" t="inlineStr">
        <is>
          <t>BOLLNÄS</t>
        </is>
      </c>
      <c r="I1856" t="n">
        <v>1.6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s="2" t="inlineStr"/>
    </row>
    <row r="1857" ht="15" customHeight="1">
      <c r="A1857" t="inlineStr">
        <is>
          <t>A 22300-2026</t>
        </is>
      </c>
      <c r="B1857" t="inlineStr">
        <is>
          <t>avverkningsanmälan</t>
        </is>
      </c>
      <c r="C1857" t="inlineStr">
        <is>
          <t>Föryngringsavverkning</t>
        </is>
      </c>
      <c r="D1857" s="1" t="n">
        <v>46154</v>
      </c>
      <c r="E1857" s="1" t="n">
        <v>46313</v>
      </c>
      <c r="F1857" t="inlineStr">
        <is>
          <t>GÄVLEBORGS LÄN</t>
        </is>
      </c>
      <c r="G1857" t="inlineStr">
        <is>
          <t>BOLLNÄS</t>
        </is>
      </c>
      <c r="I1857" t="n">
        <v>3.8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s="2" t="inlineStr"/>
    </row>
    <row r="1858" ht="15" customHeight="1">
      <c r="A1858" t="inlineStr">
        <is>
          <t>A 22301-2026</t>
        </is>
      </c>
      <c r="B1858" t="inlineStr">
        <is>
          <t>avverkningsanmälan</t>
        </is>
      </c>
      <c r="C1858" t="inlineStr">
        <is>
          <t>Föryngringsavverkning</t>
        </is>
      </c>
      <c r="D1858" s="1" t="n">
        <v>46154</v>
      </c>
      <c r="E1858" s="1" t="n">
        <v>46313</v>
      </c>
      <c r="F1858" t="inlineStr">
        <is>
          <t>GÄVLEBORGS LÄN</t>
        </is>
      </c>
      <c r="G1858" t="inlineStr">
        <is>
          <t>BOLLNÄS</t>
        </is>
      </c>
      <c r="I1858" t="n">
        <v>4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s="2" t="inlineStr"/>
    </row>
    <row r="1859" ht="15" customHeight="1">
      <c r="A1859" t="inlineStr">
        <is>
          <t>A 45782-2024</t>
        </is>
      </c>
      <c r="B1859" t="inlineStr">
        <is>
          <t>avverkningsanmälan</t>
        </is>
      </c>
      <c r="C1859" t="inlineStr">
        <is>
          <t>Föryngringsavverkning</t>
        </is>
      </c>
      <c r="D1859" s="1" t="n">
        <v>45579</v>
      </c>
      <c r="E1859" s="1" t="n">
        <v>46313</v>
      </c>
      <c r="F1859" t="inlineStr">
        <is>
          <t>GÄVLEBORGS LÄN</t>
        </is>
      </c>
      <c r="G1859" t="inlineStr">
        <is>
          <t>BOLLNÄS</t>
        </is>
      </c>
      <c r="I1859" t="n">
        <v>9.199999999999999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s="2" t="inlineStr"/>
    </row>
    <row r="1860" ht="15" customHeight="1">
      <c r="A1860" t="inlineStr">
        <is>
          <t>A 21700-2026</t>
        </is>
      </c>
      <c r="B1860" t="inlineStr">
        <is>
          <t>avverkningsanmälan</t>
        </is>
      </c>
      <c r="C1860" t="inlineStr">
        <is>
          <t>Föryngringsavverkning</t>
        </is>
      </c>
      <c r="D1860" s="1" t="n">
        <v>46149</v>
      </c>
      <c r="E1860" s="1" t="n">
        <v>46313</v>
      </c>
      <c r="F1860" t="inlineStr">
        <is>
          <t>GÄVLEBORGS LÄN</t>
        </is>
      </c>
      <c r="G1860" t="inlineStr">
        <is>
          <t>BOLLNÄS</t>
        </is>
      </c>
      <c r="I1860" t="n">
        <v>4.5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s="2" t="inlineStr"/>
    </row>
    <row r="1861" ht="15" customHeight="1">
      <c r="A1861" t="inlineStr">
        <is>
          <t>A 22496-2026</t>
        </is>
      </c>
      <c r="B1861" t="inlineStr">
        <is>
          <t>avverkningsanmälan</t>
        </is>
      </c>
      <c r="C1861" t="inlineStr">
        <is>
          <t>Föryngringsavverkning</t>
        </is>
      </c>
      <c r="D1861" s="1" t="n">
        <v>46155</v>
      </c>
      <c r="E1861" s="1" t="n">
        <v>46313</v>
      </c>
      <c r="F1861" t="inlineStr">
        <is>
          <t>GÄVLEBORGS LÄN</t>
        </is>
      </c>
      <c r="G1861" t="inlineStr">
        <is>
          <t>BOLLNÄS</t>
        </is>
      </c>
      <c r="I1861" t="n">
        <v>2.5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s="2" t="inlineStr"/>
    </row>
    <row r="1862" ht="15" customHeight="1">
      <c r="A1862" t="inlineStr">
        <is>
          <t>A 34735-2026</t>
        </is>
      </c>
      <c r="B1862" t="inlineStr">
        <is>
          <t>avverkningsanmälan</t>
        </is>
      </c>
      <c r="C1862" t="inlineStr">
        <is>
          <t>Föryngringsavverkning</t>
        </is>
      </c>
      <c r="D1862" s="1" t="n">
        <v>46258</v>
      </c>
      <c r="E1862" s="1" t="n">
        <v>46313</v>
      </c>
      <c r="F1862" t="inlineStr">
        <is>
          <t>GÄVLEBORGS LÄN</t>
        </is>
      </c>
      <c r="G1862" t="inlineStr">
        <is>
          <t>BOLLNÄS</t>
        </is>
      </c>
      <c r="I1862" t="n">
        <v>14.6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s="2" t="inlineStr"/>
    </row>
    <row r="1863" ht="15" customHeight="1">
      <c r="A1863" t="inlineStr">
        <is>
          <t>A 14252-2026</t>
        </is>
      </c>
      <c r="B1863" t="inlineStr">
        <is>
          <t>avverkningsanmälan</t>
        </is>
      </c>
      <c r="C1863" t="inlineStr">
        <is>
          <t>Föryngringsavverkning</t>
        </is>
      </c>
      <c r="D1863" s="1" t="n">
        <v>46099</v>
      </c>
      <c r="E1863" s="1" t="n">
        <v>46313</v>
      </c>
      <c r="F1863" t="inlineStr">
        <is>
          <t>GÄVLEBORGS LÄN</t>
        </is>
      </c>
      <c r="G1863" t="inlineStr">
        <is>
          <t>BOLLNÄS</t>
        </is>
      </c>
      <c r="I1863" t="n">
        <v>1.8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s="2" t="inlineStr"/>
    </row>
    <row r="1864" ht="15" customHeight="1">
      <c r="A1864" t="inlineStr">
        <is>
          <t>A 16871-2026</t>
        </is>
      </c>
      <c r="B1864" t="inlineStr">
        <is>
          <t>avverkningsanmälan</t>
        </is>
      </c>
      <c r="C1864" t="inlineStr">
        <is>
          <t>Föryngringsavverkning</t>
        </is>
      </c>
      <c r="D1864" s="1" t="n">
        <v>46113</v>
      </c>
      <c r="E1864" s="1" t="n">
        <v>46313</v>
      </c>
      <c r="F1864" t="inlineStr">
        <is>
          <t>GÄVLEBORGS LÄN</t>
        </is>
      </c>
      <c r="G1864" t="inlineStr">
        <is>
          <t>BOLLNÄS</t>
        </is>
      </c>
      <c r="I1864" t="n">
        <v>2.2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s="2" t="inlineStr"/>
    </row>
    <row r="1865" ht="15" customHeight="1">
      <c r="A1865" t="inlineStr">
        <is>
          <t>A 19135-2024</t>
        </is>
      </c>
      <c r="B1865" t="inlineStr">
        <is>
          <t>avverkningsanmälan</t>
        </is>
      </c>
      <c r="C1865" t="inlineStr">
        <is>
          <t>Föryngringsavverkning</t>
        </is>
      </c>
      <c r="D1865" s="1" t="n">
        <v>45428</v>
      </c>
      <c r="E1865" s="1" t="n">
        <v>46313</v>
      </c>
      <c r="F1865" t="inlineStr">
        <is>
          <t>GÄVLEBORGS LÄN</t>
        </is>
      </c>
      <c r="G1865" t="inlineStr">
        <is>
          <t>BOLLNÄS</t>
        </is>
      </c>
      <c r="I1865" t="n">
        <v>4.7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s="2" t="inlineStr"/>
    </row>
    <row r="1866" ht="15" customHeight="1">
      <c r="A1866" t="inlineStr">
        <is>
          <t>A 21562-2025</t>
        </is>
      </c>
      <c r="B1866" t="inlineStr">
        <is>
          <t>avverkningsanmälan</t>
        </is>
      </c>
      <c r="C1866" t="inlineStr">
        <is>
          <t>Avverkning för annat ändamål</t>
        </is>
      </c>
      <c r="D1866" s="1" t="n">
        <v>45782</v>
      </c>
      <c r="E1866" s="1" t="n">
        <v>46313</v>
      </c>
      <c r="F1866" t="inlineStr">
        <is>
          <t>GÄVLEBORGS LÄN</t>
        </is>
      </c>
      <c r="G1866" t="inlineStr">
        <is>
          <t>BOLLNÄS</t>
        </is>
      </c>
      <c r="H1866" t="inlineStr">
        <is>
          <t>Sveaskog</t>
        </is>
      </c>
      <c r="I1866" t="n">
        <v>0.4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s="2" t="inlineStr"/>
    </row>
    <row r="1867" ht="15" customHeight="1">
      <c r="A1867" t="inlineStr">
        <is>
          <t>A 21873-2025</t>
        </is>
      </c>
      <c r="B1867" t="inlineStr">
        <is>
          <t>avverkningsanmälan</t>
        </is>
      </c>
      <c r="C1867" t="inlineStr">
        <is>
          <t>Föryngringsavverkning</t>
        </is>
      </c>
      <c r="D1867" s="1" t="n">
        <v>45784</v>
      </c>
      <c r="E1867" s="1" t="n">
        <v>46313</v>
      </c>
      <c r="F1867" t="inlineStr">
        <is>
          <t>GÄVLEBORGS LÄN</t>
        </is>
      </c>
      <c r="G1867" t="inlineStr">
        <is>
          <t>BOLLNÄS</t>
        </is>
      </c>
      <c r="I1867" t="n">
        <v>2.8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s="2" t="inlineStr"/>
    </row>
    <row r="1868" ht="15" customHeight="1">
      <c r="A1868" t="inlineStr">
        <is>
          <t>A 36256-2024</t>
        </is>
      </c>
      <c r="B1868" t="inlineStr">
        <is>
          <t>avverkningsanmälan</t>
        </is>
      </c>
      <c r="C1868" t="inlineStr">
        <is>
          <t>Föryngringsavverkning</t>
        </is>
      </c>
      <c r="D1868" s="1" t="n">
        <v>45534</v>
      </c>
      <c r="E1868" s="1" t="n">
        <v>46313</v>
      </c>
      <c r="F1868" t="inlineStr">
        <is>
          <t>GÄVLEBORGS LÄN</t>
        </is>
      </c>
      <c r="G1868" t="inlineStr">
        <is>
          <t>BOLLNÄS</t>
        </is>
      </c>
      <c r="I1868" t="n">
        <v>3.1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s="2" t="inlineStr"/>
    </row>
    <row r="1869" ht="15" customHeight="1">
      <c r="A1869" t="inlineStr">
        <is>
          <t>A 42579-2024</t>
        </is>
      </c>
      <c r="B1869" t="inlineStr">
        <is>
          <t>avverkningsanmälan</t>
        </is>
      </c>
      <c r="C1869" t="inlineStr">
        <is>
          <t>Föryngringsavverkning</t>
        </is>
      </c>
      <c r="D1869" s="1" t="n">
        <v>45565</v>
      </c>
      <c r="E1869" s="1" t="n">
        <v>46313</v>
      </c>
      <c r="F1869" t="inlineStr">
        <is>
          <t>GÄVLEBORGS LÄN</t>
        </is>
      </c>
      <c r="G1869" t="inlineStr">
        <is>
          <t>BOLLNÄS</t>
        </is>
      </c>
      <c r="I1869" t="n">
        <v>7.9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s="2" t="inlineStr"/>
    </row>
    <row r="1870" ht="15" customHeight="1">
      <c r="A1870" t="inlineStr">
        <is>
          <t>A 41396-2026</t>
        </is>
      </c>
      <c r="B1870" t="inlineStr">
        <is>
          <t>avverkningsanmälan</t>
        </is>
      </c>
      <c r="C1870" t="inlineStr">
        <is>
          <t>Föryngringsavverkning</t>
        </is>
      </c>
      <c r="D1870" s="1" t="n">
        <v>46301</v>
      </c>
      <c r="E1870" s="1" t="n">
        <v>46313</v>
      </c>
      <c r="F1870" t="inlineStr">
        <is>
          <t>GÄVLEBORGS LÄN</t>
        </is>
      </c>
      <c r="G1870" t="inlineStr">
        <is>
          <t>BOLLNÄS</t>
        </is>
      </c>
      <c r="I1870" t="n">
        <v>3.2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s="2" t="inlineStr"/>
    </row>
    <row r="1871" ht="15" customHeight="1">
      <c r="A1871" t="inlineStr">
        <is>
          <t>A 20086-2026</t>
        </is>
      </c>
      <c r="B1871" t="inlineStr">
        <is>
          <t>avverkningsanmälan</t>
        </is>
      </c>
      <c r="C1871" t="inlineStr">
        <is>
          <t>Föryngringsavverkning</t>
        </is>
      </c>
      <c r="D1871" s="1" t="n">
        <v>46136</v>
      </c>
      <c r="E1871" s="1" t="n">
        <v>46313</v>
      </c>
      <c r="F1871" t="inlineStr">
        <is>
          <t>GÄVLEBORGS LÄN</t>
        </is>
      </c>
      <c r="G1871" t="inlineStr">
        <is>
          <t>BOLLNÄS</t>
        </is>
      </c>
      <c r="I1871" t="n">
        <v>1.8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s="2" t="inlineStr"/>
    </row>
    <row r="1872" ht="15" customHeight="1">
      <c r="A1872" t="inlineStr">
        <is>
          <t>A 19486-2026</t>
        </is>
      </c>
      <c r="B1872" t="inlineStr">
        <is>
          <t>avverkningsanmälan</t>
        </is>
      </c>
      <c r="C1872" t="inlineStr">
        <is>
          <t>Föryngringsavverkning</t>
        </is>
      </c>
      <c r="D1872" s="1" t="n">
        <v>46134</v>
      </c>
      <c r="E1872" s="1" t="n">
        <v>46313</v>
      </c>
      <c r="F1872" t="inlineStr">
        <is>
          <t>GÄVLEBORGS LÄN</t>
        </is>
      </c>
      <c r="G1872" t="inlineStr">
        <is>
          <t>BOLLNÄS</t>
        </is>
      </c>
      <c r="I1872" t="n">
        <v>0.8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s="2" t="inlineStr"/>
    </row>
    <row r="1873" ht="15" customHeight="1">
      <c r="A1873" t="inlineStr">
        <is>
          <t>A 48270-2024</t>
        </is>
      </c>
      <c r="B1873" t="inlineStr">
        <is>
          <t>avverkningsanmälan</t>
        </is>
      </c>
      <c r="C1873" t="inlineStr">
        <is>
          <t>Föryngringsavverkning</t>
        </is>
      </c>
      <c r="D1873" s="1" t="n">
        <v>45590</v>
      </c>
      <c r="E1873" s="1" t="n">
        <v>46313</v>
      </c>
      <c r="F1873" t="inlineStr">
        <is>
          <t>GÄVLEBORGS LÄN</t>
        </is>
      </c>
      <c r="G1873" t="inlineStr">
        <is>
          <t>BOLLNÄS</t>
        </is>
      </c>
      <c r="I1873" t="n">
        <v>1.1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s="2" t="inlineStr"/>
    </row>
    <row r="1874" ht="15" customHeight="1">
      <c r="A1874" t="inlineStr">
        <is>
          <t>A 23335-2024</t>
        </is>
      </c>
      <c r="B1874" t="inlineStr">
        <is>
          <t>avverkningsanmälan</t>
        </is>
      </c>
      <c r="C1874" t="inlineStr">
        <is>
          <t>Föryngringsavverkning</t>
        </is>
      </c>
      <c r="D1874" s="1" t="n">
        <v>45453</v>
      </c>
      <c r="E1874" s="1" t="n">
        <v>46313</v>
      </c>
      <c r="F1874" t="inlineStr">
        <is>
          <t>GÄVLEBORGS LÄN</t>
        </is>
      </c>
      <c r="G1874" t="inlineStr">
        <is>
          <t>BOLLNÄS</t>
        </is>
      </c>
      <c r="I1874" t="n">
        <v>2.7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s="2" t="inlineStr"/>
    </row>
    <row r="1875" ht="15" customHeight="1">
      <c r="A1875" t="inlineStr">
        <is>
          <t>A 19144-2024</t>
        </is>
      </c>
      <c r="B1875" t="inlineStr">
        <is>
          <t>avverkningsanmälan</t>
        </is>
      </c>
      <c r="C1875" t="inlineStr">
        <is>
          <t>Föryngringsavverkning</t>
        </is>
      </c>
      <c r="D1875" s="1" t="n">
        <v>45428</v>
      </c>
      <c r="E1875" s="1" t="n">
        <v>46313</v>
      </c>
      <c r="F1875" t="inlineStr">
        <is>
          <t>GÄVLEBORGS LÄN</t>
        </is>
      </c>
      <c r="G1875" t="inlineStr">
        <is>
          <t>BOLLNÄS</t>
        </is>
      </c>
      <c r="I1875" t="n">
        <v>3.2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s="2" t="inlineStr"/>
    </row>
    <row r="1876" ht="15" customHeight="1">
      <c r="A1876" t="inlineStr">
        <is>
          <t>A 31649-2024</t>
        </is>
      </c>
      <c r="B1876" t="inlineStr">
        <is>
          <t>avverkningsanmälan</t>
        </is>
      </c>
      <c r="C1876" t="inlineStr">
        <is>
          <t>Föryngringsavverkning</t>
        </is>
      </c>
      <c r="D1876" s="1" t="n">
        <v>45506</v>
      </c>
      <c r="E1876" s="1" t="n">
        <v>46313</v>
      </c>
      <c r="F1876" t="inlineStr">
        <is>
          <t>GÄVLEBORGS LÄN</t>
        </is>
      </c>
      <c r="G1876" t="inlineStr">
        <is>
          <t>BOLLNÄS</t>
        </is>
      </c>
      <c r="I1876" t="n">
        <v>2.3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s="2" t="inlineStr"/>
    </row>
    <row r="1877" ht="15" customHeight="1">
      <c r="A1877" t="inlineStr">
        <is>
          <t>A 42580-2024</t>
        </is>
      </c>
      <c r="B1877" t="inlineStr">
        <is>
          <t>avverkningsanmälan</t>
        </is>
      </c>
      <c r="C1877" t="inlineStr">
        <is>
          <t>Föryngringsavverkning</t>
        </is>
      </c>
      <c r="D1877" s="1" t="n">
        <v>45565</v>
      </c>
      <c r="E1877" s="1" t="n">
        <v>46313</v>
      </c>
      <c r="F1877" t="inlineStr">
        <is>
          <t>GÄVLEBORGS LÄN</t>
        </is>
      </c>
      <c r="G1877" t="inlineStr">
        <is>
          <t>BOLLNÄS</t>
        </is>
      </c>
      <c r="I1877" t="n">
        <v>7.9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s="2" t="inlineStr"/>
    </row>
    <row r="1878" ht="15" customHeight="1">
      <c r="A1878" t="inlineStr">
        <is>
          <t>A 14761-2026</t>
        </is>
      </c>
      <c r="B1878" t="inlineStr">
        <is>
          <t>avverkningsanmälan</t>
        </is>
      </c>
      <c r="C1878" t="inlineStr">
        <is>
          <t>Föryngringsavverkning</t>
        </is>
      </c>
      <c r="D1878" s="1" t="n">
        <v>46101</v>
      </c>
      <c r="E1878" s="1" t="n">
        <v>46313</v>
      </c>
      <c r="F1878" t="inlineStr">
        <is>
          <t>GÄVLEBORGS LÄN</t>
        </is>
      </c>
      <c r="G1878" t="inlineStr">
        <is>
          <t>BOLLNÄS</t>
        </is>
      </c>
      <c r="I1878" t="n">
        <v>5.2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s="2" t="inlineStr"/>
    </row>
    <row r="1879" ht="15" customHeight="1">
      <c r="A1879" t="inlineStr">
        <is>
          <t>A 52748-2024</t>
        </is>
      </c>
      <c r="B1879" t="inlineStr">
        <is>
          <t>avverkningsanmälan</t>
        </is>
      </c>
      <c r="C1879" t="inlineStr">
        <is>
          <t>Föryngringsavverkning</t>
        </is>
      </c>
      <c r="D1879" s="1" t="n">
        <v>45610</v>
      </c>
      <c r="E1879" s="1" t="n">
        <v>46313</v>
      </c>
      <c r="F1879" t="inlineStr">
        <is>
          <t>GÄVLEBORGS LÄN</t>
        </is>
      </c>
      <c r="G1879" t="inlineStr">
        <is>
          <t>BOLLNÄS</t>
        </is>
      </c>
      <c r="I1879" t="n">
        <v>1.5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s="2" t="inlineStr"/>
    </row>
    <row r="1880" ht="15" customHeight="1">
      <c r="A1880" t="inlineStr">
        <is>
          <t>A 56229-2024</t>
        </is>
      </c>
      <c r="B1880" t="inlineStr">
        <is>
          <t>avverkningsanmälan</t>
        </is>
      </c>
      <c r="C1880" t="inlineStr">
        <is>
          <t>Föryngringsavverkning</t>
        </is>
      </c>
      <c r="D1880" s="1" t="n">
        <v>45624</v>
      </c>
      <c r="E1880" s="1" t="n">
        <v>46313</v>
      </c>
      <c r="F1880" t="inlineStr">
        <is>
          <t>GÄVLEBORGS LÄN</t>
        </is>
      </c>
      <c r="G1880" t="inlineStr">
        <is>
          <t>BOLLNÄS</t>
        </is>
      </c>
      <c r="I1880" t="n">
        <v>2.3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s="2" t="inlineStr"/>
    </row>
    <row r="1881" ht="15" customHeight="1">
      <c r="A1881" t="inlineStr">
        <is>
          <t>A 21691-2026</t>
        </is>
      </c>
      <c r="B1881" t="inlineStr">
        <is>
          <t>avverkningsanmälan</t>
        </is>
      </c>
      <c r="C1881" t="inlineStr">
        <is>
          <t>Föryngringsavverkning</t>
        </is>
      </c>
      <c r="D1881" s="1" t="n">
        <v>46149</v>
      </c>
      <c r="E1881" s="1" t="n">
        <v>46313</v>
      </c>
      <c r="F1881" t="inlineStr">
        <is>
          <t>GÄVLEBORGS LÄN</t>
        </is>
      </c>
      <c r="G1881" t="inlineStr">
        <is>
          <t>BOLLNÄS</t>
        </is>
      </c>
      <c r="I1881" t="n">
        <v>10.2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s="2" t="inlineStr"/>
    </row>
    <row r="1882" ht="15" customHeight="1">
      <c r="A1882" t="inlineStr">
        <is>
          <t>A 28083-2024</t>
        </is>
      </c>
      <c r="B1882" t="inlineStr">
        <is>
          <t>avverkningsanmälan</t>
        </is>
      </c>
      <c r="C1882" t="inlineStr">
        <is>
          <t>Föryngringsavverkning</t>
        </is>
      </c>
      <c r="D1882" s="1" t="n">
        <v>45476</v>
      </c>
      <c r="E1882" s="1" t="n">
        <v>46313</v>
      </c>
      <c r="F1882" t="inlineStr">
        <is>
          <t>GÄVLEBORGS LÄN</t>
        </is>
      </c>
      <c r="G1882" t="inlineStr">
        <is>
          <t>BOLLNÄS</t>
        </is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s="2" t="inlineStr"/>
    </row>
    <row r="1883" ht="15" customHeight="1">
      <c r="A1883" t="inlineStr">
        <is>
          <t>A 44344-2024</t>
        </is>
      </c>
      <c r="B1883" t="inlineStr">
        <is>
          <t>avverkningsanmälan</t>
        </is>
      </c>
      <c r="C1883" t="inlineStr">
        <is>
          <t>Föryngringsavverkning</t>
        </is>
      </c>
      <c r="D1883" s="1" t="n">
        <v>45573</v>
      </c>
      <c r="E1883" s="1" t="n">
        <v>46313</v>
      </c>
      <c r="F1883" t="inlineStr">
        <is>
          <t>GÄVLEBORGS LÄN</t>
        </is>
      </c>
      <c r="G1883" t="inlineStr">
        <is>
          <t>BOLLNÄS</t>
        </is>
      </c>
      <c r="I1883" t="n">
        <v>3.1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s="2" t="inlineStr"/>
    </row>
    <row r="1884" ht="15" customHeight="1">
      <c r="A1884" t="inlineStr">
        <is>
          <t>A 44120-2022</t>
        </is>
      </c>
      <c r="B1884" t="inlineStr">
        <is>
          <t>avverkningsanmälan</t>
        </is>
      </c>
      <c r="C1884" t="inlineStr">
        <is>
          <t>Föryngringsavverkning</t>
        </is>
      </c>
      <c r="D1884" s="1" t="n">
        <v>44839</v>
      </c>
      <c r="E1884" s="1" t="n">
        <v>46313</v>
      </c>
      <c r="F1884" t="inlineStr">
        <is>
          <t>GÄVLEBORGS LÄN</t>
        </is>
      </c>
      <c r="G1884" t="inlineStr">
        <is>
          <t>BOLLNÄS</t>
        </is>
      </c>
      <c r="I1884" t="n">
        <v>10.3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s="2" t="inlineStr"/>
    </row>
    <row r="1885" ht="15" customHeight="1">
      <c r="A1885" t="inlineStr">
        <is>
          <t>A 43750-2023</t>
        </is>
      </c>
      <c r="B1885" t="inlineStr">
        <is>
          <t>avverkningsanmälan</t>
        </is>
      </c>
      <c r="C1885" t="inlineStr">
        <is>
          <t>Föryngringsavverkning</t>
        </is>
      </c>
      <c r="D1885" s="1" t="n">
        <v>45187</v>
      </c>
      <c r="E1885" s="1" t="n">
        <v>46313</v>
      </c>
      <c r="F1885" t="inlineStr">
        <is>
          <t>GÄVLEBORGS LÄN</t>
        </is>
      </c>
      <c r="G1885" t="inlineStr">
        <is>
          <t>BOLLNÄS</t>
        </is>
      </c>
      <c r="I1885" t="n">
        <v>2.8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s="2" t="inlineStr"/>
    </row>
    <row r="1886" ht="15" customHeight="1">
      <c r="A1886" t="inlineStr">
        <is>
          <t>A 19750-2026</t>
        </is>
      </c>
      <c r="B1886" t="inlineStr">
        <is>
          <t>avverkningsanmälan</t>
        </is>
      </c>
      <c r="C1886" t="inlineStr">
        <is>
          <t>Föryngringsavverkning</t>
        </is>
      </c>
      <c r="D1886" s="1" t="n">
        <v>46135</v>
      </c>
      <c r="E1886" s="1" t="n">
        <v>46313</v>
      </c>
      <c r="F1886" t="inlineStr">
        <is>
          <t>GÄVLEBORGS LÄN</t>
        </is>
      </c>
      <c r="G1886" t="inlineStr">
        <is>
          <t>BOLLNÄS</t>
        </is>
      </c>
      <c r="I1886" t="n">
        <v>4.9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s="2" t="inlineStr"/>
    </row>
    <row r="1887" ht="15" customHeight="1">
      <c r="A1887" t="inlineStr">
        <is>
          <t>A 19861-2026</t>
        </is>
      </c>
      <c r="B1887" t="inlineStr">
        <is>
          <t>avverkningsanmälan</t>
        </is>
      </c>
      <c r="C1887" t="inlineStr">
        <is>
          <t>Föryngringsavverkning</t>
        </is>
      </c>
      <c r="D1887" s="1" t="n">
        <v>46135</v>
      </c>
      <c r="E1887" s="1" t="n">
        <v>46313</v>
      </c>
      <c r="F1887" t="inlineStr">
        <is>
          <t>GÄVLEBORGS LÄN</t>
        </is>
      </c>
      <c r="G1887" t="inlineStr">
        <is>
          <t>BOLLNÄS</t>
        </is>
      </c>
      <c r="I1887" t="n">
        <v>2.5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s="2" t="inlineStr"/>
    </row>
    <row r="1888" ht="15" customHeight="1">
      <c r="A1888" t="inlineStr">
        <is>
          <t>A 21565-2026</t>
        </is>
      </c>
      <c r="B1888" t="inlineStr">
        <is>
          <t>avverkningsanmälan</t>
        </is>
      </c>
      <c r="C1888" t="inlineStr">
        <is>
          <t>Föryngringsavverkning</t>
        </is>
      </c>
      <c r="D1888" s="1" t="n">
        <v>46148</v>
      </c>
      <c r="E1888" s="1" t="n">
        <v>46313</v>
      </c>
      <c r="F1888" t="inlineStr">
        <is>
          <t>GÄVLEBORGS LÄN</t>
        </is>
      </c>
      <c r="G1888" t="inlineStr">
        <is>
          <t>BOLLNÄS</t>
        </is>
      </c>
      <c r="H1888" t="inlineStr">
        <is>
          <t>Bergvik skog väst AB</t>
        </is>
      </c>
      <c r="I1888" t="n">
        <v>0.6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s="2" t="inlineStr"/>
    </row>
    <row r="1889" ht="15" customHeight="1">
      <c r="A1889" t="inlineStr">
        <is>
          <t>A 41201-2026</t>
        </is>
      </c>
      <c r="B1889" t="inlineStr">
        <is>
          <t>avverkningsanmälan</t>
        </is>
      </c>
      <c r="C1889" t="inlineStr">
        <is>
          <t>Föryngringsavverkning</t>
        </is>
      </c>
      <c r="D1889" s="1" t="n">
        <v>46300</v>
      </c>
      <c r="E1889" s="1" t="n">
        <v>46313</v>
      </c>
      <c r="F1889" t="inlineStr">
        <is>
          <t>GÄVLEBORGS LÄN</t>
        </is>
      </c>
      <c r="G1889" t="inlineStr">
        <is>
          <t>BOLLNÄS</t>
        </is>
      </c>
      <c r="H1889" t="inlineStr">
        <is>
          <t>Bergvik skog väst AB</t>
        </is>
      </c>
      <c r="I1889" t="n">
        <v>0.8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s="2" t="inlineStr"/>
    </row>
    <row r="1890" ht="15" customHeight="1">
      <c r="A1890" t="inlineStr">
        <is>
          <t>A 22134-2025</t>
        </is>
      </c>
      <c r="B1890" t="inlineStr">
        <is>
          <t>avverkningsanmälan</t>
        </is>
      </c>
      <c r="C1890" t="inlineStr">
        <is>
          <t>Föryngringsavverkning</t>
        </is>
      </c>
      <c r="D1890" s="1" t="n">
        <v>45785</v>
      </c>
      <c r="E1890" s="1" t="n">
        <v>46313</v>
      </c>
      <c r="F1890" t="inlineStr">
        <is>
          <t>GÄVLEBORGS LÄN</t>
        </is>
      </c>
      <c r="G1890" t="inlineStr">
        <is>
          <t>BOLLNÄS</t>
        </is>
      </c>
      <c r="I1890" t="n">
        <v>3.3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s="2" t="inlineStr"/>
    </row>
    <row r="1891" ht="15" customHeight="1">
      <c r="A1891" t="inlineStr">
        <is>
          <t>A 21671-2026</t>
        </is>
      </c>
      <c r="B1891" t="inlineStr">
        <is>
          <t>avverkningsanmälan</t>
        </is>
      </c>
      <c r="C1891" t="inlineStr">
        <is>
          <t>Föryngringsavverkning</t>
        </is>
      </c>
      <c r="D1891" s="1" t="n">
        <v>46149</v>
      </c>
      <c r="E1891" s="1" t="n">
        <v>46313</v>
      </c>
      <c r="F1891" t="inlineStr">
        <is>
          <t>GÄVLEBORGS LÄN</t>
        </is>
      </c>
      <c r="G1891" t="inlineStr">
        <is>
          <t>BOLLNÄS</t>
        </is>
      </c>
      <c r="I1891" t="n">
        <v>8.300000000000001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s="2" t="inlineStr"/>
    </row>
    <row r="1892" ht="15" customHeight="1">
      <c r="A1892" t="inlineStr">
        <is>
          <t>A 41670-2024</t>
        </is>
      </c>
      <c r="B1892" t="inlineStr">
        <is>
          <t>avverkningsanmälan</t>
        </is>
      </c>
      <c r="C1892" t="inlineStr">
        <is>
          <t>Föryngringsavverkning</t>
        </is>
      </c>
      <c r="D1892" s="1" t="n">
        <v>45560</v>
      </c>
      <c r="E1892" s="1" t="n">
        <v>46313</v>
      </c>
      <c r="F1892" t="inlineStr">
        <is>
          <t>GÄVLEBORGS LÄN</t>
        </is>
      </c>
      <c r="G1892" t="inlineStr">
        <is>
          <t>BOLLNÄS</t>
        </is>
      </c>
      <c r="I1892" t="n">
        <v>11.5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s="2" t="inlineStr"/>
    </row>
    <row r="1893" ht="15" customHeight="1">
      <c r="A1893" t="inlineStr">
        <is>
          <t>A 21695-2026</t>
        </is>
      </c>
      <c r="B1893" t="inlineStr">
        <is>
          <t>avverkningsanmälan</t>
        </is>
      </c>
      <c r="C1893" t="inlineStr">
        <is>
          <t>Föryngringsavverkning</t>
        </is>
      </c>
      <c r="D1893" s="1" t="n">
        <v>46149</v>
      </c>
      <c r="E1893" s="1" t="n">
        <v>46313</v>
      </c>
      <c r="F1893" t="inlineStr">
        <is>
          <t>GÄVLEBORGS LÄN</t>
        </is>
      </c>
      <c r="G1893" t="inlineStr">
        <is>
          <t>BOLLNÄS</t>
        </is>
      </c>
      <c r="I1893" t="n">
        <v>1.9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s="2" t="inlineStr"/>
    </row>
    <row r="1894" ht="15" customHeight="1">
      <c r="A1894" t="inlineStr">
        <is>
          <t>A 22622-2025</t>
        </is>
      </c>
      <c r="B1894" t="inlineStr">
        <is>
          <t>avverkningsanmälan</t>
        </is>
      </c>
      <c r="C1894" t="inlineStr">
        <is>
          <t>Föryngringsavverkning</t>
        </is>
      </c>
      <c r="D1894" s="1" t="n">
        <v>45789</v>
      </c>
      <c r="E1894" s="1" t="n">
        <v>46313</v>
      </c>
      <c r="F1894" t="inlineStr">
        <is>
          <t>GÄVLEBORGS LÄN</t>
        </is>
      </c>
      <c r="G1894" t="inlineStr">
        <is>
          <t>BOLLNÄS</t>
        </is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s="2" t="inlineStr"/>
    </row>
    <row r="1895" ht="15" customHeight="1">
      <c r="A1895" t="inlineStr">
        <is>
          <t>A 38146-2023</t>
        </is>
      </c>
      <c r="B1895" t="inlineStr">
        <is>
          <t>avverkningsanmälan</t>
        </is>
      </c>
      <c r="C1895" t="inlineStr">
        <is>
          <t>Föryngringsavverkning</t>
        </is>
      </c>
      <c r="D1895" s="1" t="n">
        <v>45161</v>
      </c>
      <c r="E1895" s="1" t="n">
        <v>46313</v>
      </c>
      <c r="F1895" t="inlineStr">
        <is>
          <t>GÄVLEBORGS LÄN</t>
        </is>
      </c>
      <c r="G1895" t="inlineStr">
        <is>
          <t>BOLLNÄS</t>
        </is>
      </c>
      <c r="H1895" t="inlineStr">
        <is>
          <t>Bergvik skog väst AB</t>
        </is>
      </c>
      <c r="I1895" t="n">
        <v>2.6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s="2" t="inlineStr"/>
    </row>
    <row r="1896" ht="15" customHeight="1">
      <c r="A1896" t="inlineStr">
        <is>
          <t>A 41895-2026</t>
        </is>
      </c>
      <c r="B1896" t="inlineStr">
        <is>
          <t>avverkningsanmälan</t>
        </is>
      </c>
      <c r="C1896" t="inlineStr">
        <is>
          <t>Föryngringsavverkning</t>
        </is>
      </c>
      <c r="D1896" s="1" t="n">
        <v>46303</v>
      </c>
      <c r="E1896" s="1" t="n">
        <v>46313</v>
      </c>
      <c r="F1896" t="inlineStr">
        <is>
          <t>GÄVLEBORGS LÄN</t>
        </is>
      </c>
      <c r="G1896" t="inlineStr">
        <is>
          <t>BOLLNÄS</t>
        </is>
      </c>
      <c r="I1896" t="n">
        <v>1.2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s="2" t="inlineStr"/>
    </row>
    <row r="1897" ht="15" customHeight="1">
      <c r="A1897" t="inlineStr">
        <is>
          <t>A 31722-2026</t>
        </is>
      </c>
      <c r="B1897" t="inlineStr">
        <is>
          <t>avverkningsanmälan</t>
        </is>
      </c>
      <c r="C1897" t="inlineStr">
        <is>
          <t>Föryngringsavverkning</t>
        </is>
      </c>
      <c r="D1897" s="1" t="n">
        <v>46226</v>
      </c>
      <c r="E1897" s="1" t="n">
        <v>46313</v>
      </c>
      <c r="F1897" t="inlineStr">
        <is>
          <t>GÄVLEBORGS LÄN</t>
        </is>
      </c>
      <c r="G1897" t="inlineStr">
        <is>
          <t>BOLLNÄS</t>
        </is>
      </c>
      <c r="H1897" t="inlineStr">
        <is>
          <t>Bergvik skog väst AB</t>
        </is>
      </c>
      <c r="I1897" t="n">
        <v>2.4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s="2" t="inlineStr"/>
    </row>
    <row r="1898" ht="15" customHeight="1">
      <c r="A1898" t="inlineStr">
        <is>
          <t>A 21555-2026</t>
        </is>
      </c>
      <c r="B1898" t="inlineStr">
        <is>
          <t>avverkningsanmälan</t>
        </is>
      </c>
      <c r="C1898" t="inlineStr">
        <is>
          <t>Föryngringsavverkning</t>
        </is>
      </c>
      <c r="D1898" s="1" t="n">
        <v>46148</v>
      </c>
      <c r="E1898" s="1" t="n">
        <v>46313</v>
      </c>
      <c r="F1898" t="inlineStr">
        <is>
          <t>GÄVLEBORGS LÄN</t>
        </is>
      </c>
      <c r="G1898" t="inlineStr">
        <is>
          <t>BOLLNÄS</t>
        </is>
      </c>
      <c r="I1898" t="n">
        <v>8.9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s="2" t="inlineStr"/>
    </row>
    <row r="1899" ht="15" customHeight="1">
      <c r="A1899" t="inlineStr">
        <is>
          <t>A 518-2026</t>
        </is>
      </c>
      <c r="B1899" t="inlineStr">
        <is>
          <t>avverkningsanmälan</t>
        </is>
      </c>
      <c r="C1899" t="inlineStr">
        <is>
          <t>Föryngringsavverkning</t>
        </is>
      </c>
      <c r="D1899" s="1" t="n">
        <v>46029</v>
      </c>
      <c r="E1899" s="1" t="n">
        <v>46313</v>
      </c>
      <c r="F1899" t="inlineStr">
        <is>
          <t>GÄVLEBORGS LÄN</t>
        </is>
      </c>
      <c r="G1899" t="inlineStr">
        <is>
          <t>BOLLNÄS</t>
        </is>
      </c>
      <c r="I1899" t="n">
        <v>1.1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s="2" t="inlineStr"/>
    </row>
    <row r="1900" ht="15" customHeight="1">
      <c r="A1900" t="inlineStr">
        <is>
          <t>A 63936-2025</t>
        </is>
      </c>
      <c r="B1900" t="inlineStr">
        <is>
          <t>avverkningsanmälan</t>
        </is>
      </c>
      <c r="C1900" t="inlineStr">
        <is>
          <t>Föryngringsavverkning</t>
        </is>
      </c>
      <c r="D1900" s="1" t="n">
        <v>46020</v>
      </c>
      <c r="E1900" s="1" t="n">
        <v>46313</v>
      </c>
      <c r="F1900" t="inlineStr">
        <is>
          <t>GÄVLEBORGS LÄN</t>
        </is>
      </c>
      <c r="G1900" t="inlineStr">
        <is>
          <t>BOLLNÄS</t>
        </is>
      </c>
      <c r="I1900" t="n">
        <v>48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s="2" t="inlineStr"/>
    </row>
    <row r="1901" ht="15" customHeight="1">
      <c r="A1901" t="inlineStr">
        <is>
          <t>A 14262-2026</t>
        </is>
      </c>
      <c r="B1901" t="inlineStr">
        <is>
          <t>avverkningsanmälan</t>
        </is>
      </c>
      <c r="C1901" t="inlineStr">
        <is>
          <t>Föryngringsavverkning</t>
        </is>
      </c>
      <c r="D1901" s="1" t="n">
        <v>46099</v>
      </c>
      <c r="E1901" s="1" t="n">
        <v>46313</v>
      </c>
      <c r="F1901" t="inlineStr">
        <is>
          <t>GÄVLEBORGS LÄN</t>
        </is>
      </c>
      <c r="G1901" t="inlineStr">
        <is>
          <t>BOLLNÄS</t>
        </is>
      </c>
      <c r="I1901" t="n">
        <v>2.7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s="2" t="inlineStr"/>
    </row>
    <row r="1902" ht="15" customHeight="1">
      <c r="A1902" t="inlineStr">
        <is>
          <t>A 21550-2026</t>
        </is>
      </c>
      <c r="B1902" t="inlineStr">
        <is>
          <t>avverkningsanmälan</t>
        </is>
      </c>
      <c r="C1902" t="inlineStr">
        <is>
          <t>Föryngringsavverkning</t>
        </is>
      </c>
      <c r="D1902" s="1" t="n">
        <v>46148</v>
      </c>
      <c r="E1902" s="1" t="n">
        <v>46313</v>
      </c>
      <c r="F1902" t="inlineStr">
        <is>
          <t>GÄVLEBORGS LÄN</t>
        </is>
      </c>
      <c r="G1902" t="inlineStr">
        <is>
          <t>BOLLNÄS</t>
        </is>
      </c>
      <c r="I1902" t="n">
        <v>3.6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s="2" t="inlineStr"/>
    </row>
    <row r="1903" ht="15" customHeight="1">
      <c r="A1903" t="inlineStr">
        <is>
          <t>A 21680-2026</t>
        </is>
      </c>
      <c r="B1903" t="inlineStr">
        <is>
          <t>avverkningsanmälan</t>
        </is>
      </c>
      <c r="C1903" t="inlineStr">
        <is>
          <t>Föryngringsavverkning</t>
        </is>
      </c>
      <c r="D1903" s="1" t="n">
        <v>46149</v>
      </c>
      <c r="E1903" s="1" t="n">
        <v>46313</v>
      </c>
      <c r="F1903" t="inlineStr">
        <is>
          <t>GÄVLEBORGS LÄN</t>
        </is>
      </c>
      <c r="G1903" t="inlineStr">
        <is>
          <t>BOLLNÄS</t>
        </is>
      </c>
      <c r="I1903" t="n">
        <v>0.6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s="2" t="inlineStr"/>
    </row>
    <row r="1904" ht="15" customHeight="1">
      <c r="A1904" t="inlineStr">
        <is>
          <t>A 18982-2026</t>
        </is>
      </c>
      <c r="B1904" t="inlineStr">
        <is>
          <t>avverkningsanmälan</t>
        </is>
      </c>
      <c r="C1904" t="inlineStr">
        <is>
          <t>Föryngringsavverkning</t>
        </is>
      </c>
      <c r="D1904" s="1" t="n">
        <v>46129</v>
      </c>
      <c r="E1904" s="1" t="n">
        <v>46313</v>
      </c>
      <c r="F1904" t="inlineStr">
        <is>
          <t>GÄVLEBORGS LÄN</t>
        </is>
      </c>
      <c r="G1904" t="inlineStr">
        <is>
          <t>BOLLNÄS</t>
        </is>
      </c>
      <c r="I1904" t="n">
        <v>0.6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s="2" t="inlineStr"/>
    </row>
    <row r="1905" ht="15" customHeight="1">
      <c r="A1905" t="inlineStr">
        <is>
          <t>A 22605-2026</t>
        </is>
      </c>
      <c r="B1905" t="inlineStr">
        <is>
          <t>avverkningsanmälan</t>
        </is>
      </c>
      <c r="C1905" t="inlineStr">
        <is>
          <t>Föryngringsavverkning</t>
        </is>
      </c>
      <c r="D1905" s="1" t="n">
        <v>46155</v>
      </c>
      <c r="E1905" s="1" t="n">
        <v>46313</v>
      </c>
      <c r="F1905" t="inlineStr">
        <is>
          <t>GÄVLEBORGS LÄN</t>
        </is>
      </c>
      <c r="G1905" t="inlineStr">
        <is>
          <t>BOLLNÄS</t>
        </is>
      </c>
      <c r="I1905" t="n">
        <v>0.4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s="2" t="inlineStr"/>
    </row>
    <row r="1906" ht="15" customHeight="1">
      <c r="A1906" t="inlineStr">
        <is>
          <t>A 34988-2026</t>
        </is>
      </c>
      <c r="B1906" t="inlineStr">
        <is>
          <t>avverkningsanmälan</t>
        </is>
      </c>
      <c r="C1906" t="inlineStr">
        <is>
          <t>Föryngringsavverkning</t>
        </is>
      </c>
      <c r="D1906" s="1" t="n">
        <v>46259</v>
      </c>
      <c r="E1906" s="1" t="n">
        <v>46313</v>
      </c>
      <c r="F1906" t="inlineStr">
        <is>
          <t>GÄVLEBORGS LÄN</t>
        </is>
      </c>
      <c r="G1906" t="inlineStr">
        <is>
          <t>BOLLNÄS</t>
        </is>
      </c>
      <c r="H1906" t="inlineStr">
        <is>
          <t>Bergvik skog väst AB</t>
        </is>
      </c>
      <c r="I1906" t="n">
        <v>7.7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s="2" t="inlineStr"/>
    </row>
    <row r="1907" ht="15" customHeight="1">
      <c r="A1907" t="inlineStr">
        <is>
          <t>A 35007-2026</t>
        </is>
      </c>
      <c r="B1907" t="inlineStr">
        <is>
          <t>avverkningsanmälan</t>
        </is>
      </c>
      <c r="C1907" t="inlineStr">
        <is>
          <t>Föryngringsavverkning</t>
        </is>
      </c>
      <c r="D1907" s="1" t="n">
        <v>46259</v>
      </c>
      <c r="E1907" s="1" t="n">
        <v>46313</v>
      </c>
      <c r="F1907" t="inlineStr">
        <is>
          <t>GÄVLEBORGS LÄN</t>
        </is>
      </c>
      <c r="G1907" t="inlineStr">
        <is>
          <t>BOLLNÄS</t>
        </is>
      </c>
      <c r="H1907" t="inlineStr">
        <is>
          <t>Bergvik skog väst AB</t>
        </is>
      </c>
      <c r="I1907" t="n">
        <v>0.4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s="2" t="inlineStr"/>
    </row>
    <row r="1908" ht="15" customHeight="1">
      <c r="A1908" t="inlineStr">
        <is>
          <t>A 41878-2026</t>
        </is>
      </c>
      <c r="B1908" t="inlineStr">
        <is>
          <t>avverkningsanmälan</t>
        </is>
      </c>
      <c r="C1908" t="inlineStr">
        <is>
          <t>Föryngringsavverkning</t>
        </is>
      </c>
      <c r="D1908" s="1" t="n">
        <v>46303</v>
      </c>
      <c r="E1908" s="1" t="n">
        <v>46313</v>
      </c>
      <c r="F1908" t="inlineStr">
        <is>
          <t>GÄVLEBORGS LÄN</t>
        </is>
      </c>
      <c r="G1908" t="inlineStr">
        <is>
          <t>BOLLNÄS</t>
        </is>
      </c>
      <c r="I1908" t="n">
        <v>0.8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s="2" t="inlineStr"/>
    </row>
    <row r="1909" ht="15" customHeight="1">
      <c r="A1909" t="inlineStr">
        <is>
          <t>A 21643-2026</t>
        </is>
      </c>
      <c r="B1909" t="inlineStr">
        <is>
          <t>avverkningsanmälan</t>
        </is>
      </c>
      <c r="C1909" t="inlineStr">
        <is>
          <t>Föryngringsavverkning</t>
        </is>
      </c>
      <c r="D1909" s="1" t="n">
        <v>46149</v>
      </c>
      <c r="E1909" s="1" t="n">
        <v>46313</v>
      </c>
      <c r="F1909" t="inlineStr">
        <is>
          <t>GÄVLEBORGS LÄN</t>
        </is>
      </c>
      <c r="G1909" t="inlineStr">
        <is>
          <t>BOLLNÄS</t>
        </is>
      </c>
      <c r="I1909" t="n">
        <v>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s="2" t="inlineStr"/>
    </row>
    <row r="1910" ht="15" customHeight="1">
      <c r="A1910" t="inlineStr">
        <is>
          <t>A 22606-2026</t>
        </is>
      </c>
      <c r="B1910" t="inlineStr">
        <is>
          <t>avverkningsanmälan</t>
        </is>
      </c>
      <c r="C1910" t="inlineStr">
        <is>
          <t>Föryngringsavverkning</t>
        </is>
      </c>
      <c r="D1910" s="1" t="n">
        <v>46155</v>
      </c>
      <c r="E1910" s="1" t="n">
        <v>46313</v>
      </c>
      <c r="F1910" t="inlineStr">
        <is>
          <t>GÄVLEBORGS LÄN</t>
        </is>
      </c>
      <c r="G1910" t="inlineStr">
        <is>
          <t>BOLLNÄS</t>
        </is>
      </c>
      <c r="I1910" t="n">
        <v>1.1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s="2" t="inlineStr"/>
    </row>
    <row r="1911" ht="15" customHeight="1">
      <c r="A1911" t="inlineStr">
        <is>
          <t>A 31748-2026</t>
        </is>
      </c>
      <c r="B1911" t="inlineStr">
        <is>
          <t>avverkningsanmälan</t>
        </is>
      </c>
      <c r="C1911" t="inlineStr">
        <is>
          <t>Föryngringsavverkning</t>
        </is>
      </c>
      <c r="D1911" s="1" t="n">
        <v>46227</v>
      </c>
      <c r="E1911" s="1" t="n">
        <v>46313</v>
      </c>
      <c r="F1911" t="inlineStr">
        <is>
          <t>GÄVLEBORGS LÄN</t>
        </is>
      </c>
      <c r="G1911" t="inlineStr">
        <is>
          <t>BOLLNÄS</t>
        </is>
      </c>
      <c r="I1911" t="n">
        <v>3.1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s="2" t="inlineStr"/>
    </row>
    <row r="1912" ht="15" customHeight="1">
      <c r="A1912" t="inlineStr">
        <is>
          <t>A 6405-2026</t>
        </is>
      </c>
      <c r="B1912" t="inlineStr">
        <is>
          <t>avverkningsanmälan</t>
        </is>
      </c>
      <c r="C1912" t="inlineStr">
        <is>
          <t>Föryngringsavverkning</t>
        </is>
      </c>
      <c r="D1912" s="1" t="n">
        <v>46055</v>
      </c>
      <c r="E1912" s="1" t="n">
        <v>46313</v>
      </c>
      <c r="F1912" t="inlineStr">
        <is>
          <t>GÄVLEBORGS LÄN</t>
        </is>
      </c>
      <c r="G1912" t="inlineStr">
        <is>
          <t>BOLLNÄS</t>
        </is>
      </c>
      <c r="H1912" t="inlineStr">
        <is>
          <t>Bergvik skog väst AB</t>
        </is>
      </c>
      <c r="I1912" t="n">
        <v>9.699999999999999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s="2" t="inlineStr"/>
    </row>
    <row r="1913" ht="15" customHeight="1">
      <c r="A1913" t="inlineStr">
        <is>
          <t>A 3324-2026</t>
        </is>
      </c>
      <c r="B1913" t="inlineStr">
        <is>
          <t>avverkningsanmälan</t>
        </is>
      </c>
      <c r="C1913" t="inlineStr">
        <is>
          <t>Föryngringsavverkning</t>
        </is>
      </c>
      <c r="D1913" s="1" t="n">
        <v>46041</v>
      </c>
      <c r="E1913" s="1" t="n">
        <v>46313</v>
      </c>
      <c r="F1913" t="inlineStr">
        <is>
          <t>GÄVLEBORGS LÄN</t>
        </is>
      </c>
      <c r="G1913" t="inlineStr">
        <is>
          <t>BOLLNÄS</t>
        </is>
      </c>
      <c r="I1913" t="n">
        <v>1.2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s="2" t="inlineStr"/>
    </row>
    <row r="1914" ht="15" customHeight="1">
      <c r="A1914" t="inlineStr">
        <is>
          <t>A 9216-2026</t>
        </is>
      </c>
      <c r="B1914" t="inlineStr">
        <is>
          <t>avverkningsanmälan</t>
        </is>
      </c>
      <c r="C1914" t="inlineStr">
        <is>
          <t>Föryngringsavverkning</t>
        </is>
      </c>
      <c r="D1914" s="1" t="n">
        <v>46070</v>
      </c>
      <c r="E1914" s="1" t="n">
        <v>46313</v>
      </c>
      <c r="F1914" t="inlineStr">
        <is>
          <t>GÄVLEBORGS LÄN</t>
        </is>
      </c>
      <c r="G1914" t="inlineStr">
        <is>
          <t>BOLLNÄS</t>
        </is>
      </c>
      <c r="I1914" t="n">
        <v>6.8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s="2" t="inlineStr"/>
    </row>
    <row r="1915" ht="15" customHeight="1">
      <c r="A1915" t="inlineStr">
        <is>
          <t>A 35129-2026</t>
        </is>
      </c>
      <c r="B1915" t="inlineStr">
        <is>
          <t>avverkningsanmälan</t>
        </is>
      </c>
      <c r="C1915" t="inlineStr">
        <is>
          <t>Föryngringsavverkning</t>
        </is>
      </c>
      <c r="D1915" s="1" t="n">
        <v>46260</v>
      </c>
      <c r="E1915" s="1" t="n">
        <v>46313</v>
      </c>
      <c r="F1915" t="inlineStr">
        <is>
          <t>GÄVLEBORGS LÄN</t>
        </is>
      </c>
      <c r="G1915" t="inlineStr">
        <is>
          <t>BOLLNÄS</t>
        </is>
      </c>
      <c r="H1915" t="inlineStr">
        <is>
          <t>Bergvik skog väst AB</t>
        </is>
      </c>
      <c r="I1915" t="n">
        <v>6.6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s="2" t="inlineStr"/>
    </row>
    <row r="1916" ht="15" customHeight="1">
      <c r="A1916" t="inlineStr">
        <is>
          <t>A 35132-2026</t>
        </is>
      </c>
      <c r="B1916" t="inlineStr">
        <is>
          <t>avverkningsanmälan</t>
        </is>
      </c>
      <c r="C1916" t="inlineStr">
        <is>
          <t>Föryngringsavverkning</t>
        </is>
      </c>
      <c r="D1916" s="1" t="n">
        <v>46260</v>
      </c>
      <c r="E1916" s="1" t="n">
        <v>46313</v>
      </c>
      <c r="F1916" t="inlineStr">
        <is>
          <t>GÄVLEBORGS LÄN</t>
        </is>
      </c>
      <c r="G1916" t="inlineStr">
        <is>
          <t>BOLLNÄS</t>
        </is>
      </c>
      <c r="H1916" t="inlineStr">
        <is>
          <t>Bergvik skog väst AB</t>
        </is>
      </c>
      <c r="I1916" t="n">
        <v>3.1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s="2" t="inlineStr"/>
    </row>
    <row r="1917" ht="15" customHeight="1">
      <c r="A1917" t="inlineStr">
        <is>
          <t>A 31643-2026</t>
        </is>
      </c>
      <c r="B1917" t="inlineStr">
        <is>
          <t>avverkningsanmälan</t>
        </is>
      </c>
      <c r="C1917" t="inlineStr">
        <is>
          <t>Föryngringsavverkning</t>
        </is>
      </c>
      <c r="D1917" s="1" t="n">
        <v>46225</v>
      </c>
      <c r="E1917" s="1" t="n">
        <v>46313</v>
      </c>
      <c r="F1917" t="inlineStr">
        <is>
          <t>GÄVLEBORGS LÄN</t>
        </is>
      </c>
      <c r="G1917" t="inlineStr">
        <is>
          <t>BOLLNÄS</t>
        </is>
      </c>
      <c r="H1917" t="inlineStr">
        <is>
          <t>Bergvik skog väst AB</t>
        </is>
      </c>
      <c r="I1917" t="n">
        <v>3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s="2" t="inlineStr"/>
    </row>
    <row r="1918" ht="15" customHeight="1">
      <c r="A1918" t="inlineStr">
        <is>
          <t>A 19197-2026</t>
        </is>
      </c>
      <c r="B1918" t="inlineStr">
        <is>
          <t>avverkningsanmälan</t>
        </is>
      </c>
      <c r="C1918" t="inlineStr">
        <is>
          <t>Föryngringsavverkning</t>
        </is>
      </c>
      <c r="D1918" s="1" t="n">
        <v>46132</v>
      </c>
      <c r="E1918" s="1" t="n">
        <v>46313</v>
      </c>
      <c r="F1918" t="inlineStr">
        <is>
          <t>GÄVLEBORGS LÄN</t>
        </is>
      </c>
      <c r="G1918" t="inlineStr">
        <is>
          <t>BOLLNÄS</t>
        </is>
      </c>
      <c r="I1918" t="n">
        <v>2.2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s="2" t="inlineStr"/>
    </row>
    <row r="1919" ht="15" customHeight="1">
      <c r="A1919" t="inlineStr">
        <is>
          <t>A 32019-2026</t>
        </is>
      </c>
      <c r="B1919" t="inlineStr">
        <is>
          <t>avverkningsanmälan</t>
        </is>
      </c>
      <c r="C1919" t="inlineStr">
        <is>
          <t>Föryngringsavverkning</t>
        </is>
      </c>
      <c r="D1919" s="1" t="n">
        <v>46233</v>
      </c>
      <c r="E1919" s="1" t="n">
        <v>46313</v>
      </c>
      <c r="F1919" t="inlineStr">
        <is>
          <t>GÄVLEBORGS LÄN</t>
        </is>
      </c>
      <c r="G1919" t="inlineStr">
        <is>
          <t>BOLLNÄS</t>
        </is>
      </c>
      <c r="I1919" t="n">
        <v>8.300000000000001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s="2" t="inlineStr"/>
    </row>
    <row r="1920" ht="15" customHeight="1">
      <c r="A1920" t="inlineStr">
        <is>
          <t>A 34723-2026</t>
        </is>
      </c>
      <c r="B1920" t="inlineStr">
        <is>
          <t>avverkningsanmälan</t>
        </is>
      </c>
      <c r="C1920" t="inlineStr">
        <is>
          <t>Föryngringsavverkning</t>
        </is>
      </c>
      <c r="D1920" s="1" t="n">
        <v>46258</v>
      </c>
      <c r="E1920" s="1" t="n">
        <v>46313</v>
      </c>
      <c r="F1920" t="inlineStr">
        <is>
          <t>GÄVLEBORGS LÄN</t>
        </is>
      </c>
      <c r="G1920" t="inlineStr">
        <is>
          <t>BOLLNÄS</t>
        </is>
      </c>
      <c r="I1920" t="n">
        <v>3.7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s="2" t="inlineStr"/>
    </row>
    <row r="1921" ht="15" customHeight="1">
      <c r="A1921" t="inlineStr">
        <is>
          <t>A 35097-2026</t>
        </is>
      </c>
      <c r="B1921" t="inlineStr">
        <is>
          <t>avverkningsanmälan</t>
        </is>
      </c>
      <c r="C1921" t="inlineStr">
        <is>
          <t>Föryngringsavverkning</t>
        </is>
      </c>
      <c r="D1921" s="1" t="n">
        <v>46260</v>
      </c>
      <c r="E1921" s="1" t="n">
        <v>46313</v>
      </c>
      <c r="F1921" t="inlineStr">
        <is>
          <t>GÄVLEBORGS LÄN</t>
        </is>
      </c>
      <c r="G1921" t="inlineStr">
        <is>
          <t>BOLLNÄS</t>
        </is>
      </c>
      <c r="H1921" t="inlineStr">
        <is>
          <t>Bergvik skog väst AB</t>
        </is>
      </c>
      <c r="I1921" t="n">
        <v>2.4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s="2" t="inlineStr"/>
    </row>
    <row r="1922" ht="15" customHeight="1">
      <c r="A1922" t="inlineStr">
        <is>
          <t>A 35084-2026</t>
        </is>
      </c>
      <c r="B1922" t="inlineStr">
        <is>
          <t>avverkningsanmälan</t>
        </is>
      </c>
      <c r="C1922" t="inlineStr">
        <is>
          <t>Föryngringsavverkning</t>
        </is>
      </c>
      <c r="D1922" s="1" t="n">
        <v>46260</v>
      </c>
      <c r="E1922" s="1" t="n">
        <v>46313</v>
      </c>
      <c r="F1922" t="inlineStr">
        <is>
          <t>GÄVLEBORGS LÄN</t>
        </is>
      </c>
      <c r="G1922" t="inlineStr">
        <is>
          <t>BOLLNÄS</t>
        </is>
      </c>
      <c r="H1922" t="inlineStr">
        <is>
          <t>Bergvik skog väst AB</t>
        </is>
      </c>
      <c r="I1922" t="n">
        <v>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s="2" t="inlineStr"/>
    </row>
    <row r="1923" ht="15" customHeight="1">
      <c r="A1923" t="inlineStr">
        <is>
          <t>A 35149-2026</t>
        </is>
      </c>
      <c r="B1923" t="inlineStr">
        <is>
          <t>avverkningsanmälan</t>
        </is>
      </c>
      <c r="C1923" t="inlineStr">
        <is>
          <t>Föryngringsavverkning</t>
        </is>
      </c>
      <c r="D1923" s="1" t="n">
        <v>46260</v>
      </c>
      <c r="E1923" s="1" t="n">
        <v>46313</v>
      </c>
      <c r="F1923" t="inlineStr">
        <is>
          <t>GÄVLEBORGS LÄN</t>
        </is>
      </c>
      <c r="G1923" t="inlineStr">
        <is>
          <t>BOLLNÄS</t>
        </is>
      </c>
      <c r="H1923" t="inlineStr">
        <is>
          <t>Bergvik skog väst AB</t>
        </is>
      </c>
      <c r="I1923" t="n">
        <v>3.4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s="2" t="inlineStr"/>
    </row>
    <row r="1924" ht="15" customHeight="1">
      <c r="A1924" t="inlineStr">
        <is>
          <t>A 21666-2026</t>
        </is>
      </c>
      <c r="B1924" t="inlineStr">
        <is>
          <t>avverkningsanmälan</t>
        </is>
      </c>
      <c r="C1924" t="inlineStr">
        <is>
          <t>Föryngringsavverkning</t>
        </is>
      </c>
      <c r="D1924" s="1" t="n">
        <v>46149</v>
      </c>
      <c r="E1924" s="1" t="n">
        <v>46313</v>
      </c>
      <c r="F1924" t="inlineStr">
        <is>
          <t>GÄVLEBORGS LÄN</t>
        </is>
      </c>
      <c r="G1924" t="inlineStr">
        <is>
          <t>BOLLNÄS</t>
        </is>
      </c>
      <c r="I1924" t="n">
        <v>0.5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s="2" t="inlineStr"/>
    </row>
    <row r="1925" ht="15" customHeight="1">
      <c r="A1925" t="inlineStr">
        <is>
          <t>A 21677-2026</t>
        </is>
      </c>
      <c r="B1925" t="inlineStr">
        <is>
          <t>avverkningsanmälan</t>
        </is>
      </c>
      <c r="C1925" t="inlineStr">
        <is>
          <t>Föryngringsavverkning</t>
        </is>
      </c>
      <c r="D1925" s="1" t="n">
        <v>46149</v>
      </c>
      <c r="E1925" s="1" t="n">
        <v>46313</v>
      </c>
      <c r="F1925" t="inlineStr">
        <is>
          <t>GÄVLEBORGS LÄN</t>
        </is>
      </c>
      <c r="G1925" t="inlineStr">
        <is>
          <t>BOLLNÄS</t>
        </is>
      </c>
      <c r="I1925" t="n">
        <v>2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s="2" t="inlineStr"/>
    </row>
    <row r="1926" ht="15" customHeight="1">
      <c r="A1926" t="inlineStr">
        <is>
          <t>A 30828-2026</t>
        </is>
      </c>
      <c r="B1926" t="inlineStr">
        <is>
          <t>avverkningsanmälan</t>
        </is>
      </c>
      <c r="C1926" t="inlineStr">
        <is>
          <t>Föryngringsavverkning</t>
        </is>
      </c>
      <c r="D1926" s="1" t="n">
        <v>46212</v>
      </c>
      <c r="E1926" s="1" t="n">
        <v>46313</v>
      </c>
      <c r="F1926" t="inlineStr">
        <is>
          <t>GÄVLEBORGS LÄN</t>
        </is>
      </c>
      <c r="G1926" t="inlineStr">
        <is>
          <t>BOLLNÄS</t>
        </is>
      </c>
      <c r="I1926" t="n">
        <v>0.8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s="2" t="inlineStr"/>
    </row>
    <row r="1927" ht="15" customHeight="1">
      <c r="A1927" t="inlineStr">
        <is>
          <t>A 8497-2026</t>
        </is>
      </c>
      <c r="B1927" t="inlineStr">
        <is>
          <t>avverkningsanmälan</t>
        </is>
      </c>
      <c r="C1927" t="inlineStr">
        <is>
          <t>Föryngringsavverkning</t>
        </is>
      </c>
      <c r="D1927" s="1" t="n">
        <v>46065</v>
      </c>
      <c r="E1927" s="1" t="n">
        <v>46313</v>
      </c>
      <c r="F1927" t="inlineStr">
        <is>
          <t>GÄVLEBORGS LÄN</t>
        </is>
      </c>
      <c r="G1927" t="inlineStr">
        <is>
          <t>BOLLNÄS</t>
        </is>
      </c>
      <c r="I1927" t="n">
        <v>2.1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s="2" t="inlineStr"/>
    </row>
    <row r="1928" ht="15" customHeight="1">
      <c r="A1928" t="inlineStr">
        <is>
          <t>A 9304-2026</t>
        </is>
      </c>
      <c r="B1928" t="inlineStr">
        <is>
          <t>avverkningsanmälan</t>
        </is>
      </c>
      <c r="C1928" t="inlineStr">
        <is>
          <t>Föryngringsavverkning</t>
        </is>
      </c>
      <c r="D1928" s="1" t="n">
        <v>46070</v>
      </c>
      <c r="E1928" s="1" t="n">
        <v>46313</v>
      </c>
      <c r="F1928" t="inlineStr">
        <is>
          <t>GÄVLEBORGS LÄN</t>
        </is>
      </c>
      <c r="G1928" t="inlineStr">
        <is>
          <t>BOLLNÄS</t>
        </is>
      </c>
      <c r="I1928" t="n">
        <v>0.5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s="2" t="inlineStr"/>
    </row>
    <row r="1929" ht="15" customHeight="1">
      <c r="A1929" t="inlineStr">
        <is>
          <t>A 4039-2026</t>
        </is>
      </c>
      <c r="B1929" t="inlineStr">
        <is>
          <t>avverkningsanmälan</t>
        </is>
      </c>
      <c r="C1929" t="inlineStr">
        <is>
          <t>Föryngringsavverkning</t>
        </is>
      </c>
      <c r="D1929" s="1" t="n">
        <v>46044</v>
      </c>
      <c r="E1929" s="1" t="n">
        <v>46313</v>
      </c>
      <c r="F1929" t="inlineStr">
        <is>
          <t>GÄVLEBORGS LÄN</t>
        </is>
      </c>
      <c r="G1929" t="inlineStr">
        <is>
          <t>BOLLNÄS</t>
        </is>
      </c>
      <c r="I1929" t="n">
        <v>8.9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s="2" t="inlineStr"/>
    </row>
    <row r="1930" ht="15" customHeight="1">
      <c r="A1930" t="inlineStr">
        <is>
          <t>A 8840-2026</t>
        </is>
      </c>
      <c r="B1930" t="inlineStr">
        <is>
          <t>avverkningsanmälan</t>
        </is>
      </c>
      <c r="C1930" t="inlineStr">
        <is>
          <t>Föryngringsavverkning</t>
        </is>
      </c>
      <c r="D1930" s="1" t="n">
        <v>46066</v>
      </c>
      <c r="E1930" s="1" t="n">
        <v>46313</v>
      </c>
      <c r="F1930" t="inlineStr">
        <is>
          <t>GÄVLEBORGS LÄN</t>
        </is>
      </c>
      <c r="G1930" t="inlineStr">
        <is>
          <t>BOLLNÄS</t>
        </is>
      </c>
      <c r="I1930" t="n">
        <v>16.7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s="2" t="inlineStr"/>
    </row>
    <row r="1931" ht="15" customHeight="1">
      <c r="A1931" t="inlineStr">
        <is>
          <t>A 9501-2026</t>
        </is>
      </c>
      <c r="B1931" t="inlineStr">
        <is>
          <t>avverkningsanmälan</t>
        </is>
      </c>
      <c r="C1931" t="inlineStr">
        <is>
          <t>Föryngringsavverkning</t>
        </is>
      </c>
      <c r="D1931" s="1" t="n">
        <v>46071</v>
      </c>
      <c r="E1931" s="1" t="n">
        <v>46313</v>
      </c>
      <c r="F1931" t="inlineStr">
        <is>
          <t>GÄVLEBORGS LÄN</t>
        </is>
      </c>
      <c r="G1931" t="inlineStr">
        <is>
          <t>BOLLNÄS</t>
        </is>
      </c>
      <c r="I1931" t="n">
        <v>7.2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s="2" t="inlineStr"/>
    </row>
    <row r="1932" ht="15" customHeight="1">
      <c r="A1932" t="inlineStr">
        <is>
          <t>A 41829-2026</t>
        </is>
      </c>
      <c r="B1932" t="inlineStr">
        <is>
          <t>avverkningsanmälan</t>
        </is>
      </c>
      <c r="C1932" t="inlineStr">
        <is>
          <t>Föryngringsavverkning</t>
        </is>
      </c>
      <c r="D1932" s="1" t="n">
        <v>46303</v>
      </c>
      <c r="E1932" s="1" t="n">
        <v>46313</v>
      </c>
      <c r="F1932" t="inlineStr">
        <is>
          <t>GÄVLEBORGS LÄN</t>
        </is>
      </c>
      <c r="G1932" t="inlineStr">
        <is>
          <t>BOLLNÄS</t>
        </is>
      </c>
      <c r="H1932" t="inlineStr">
        <is>
          <t>Sveaskog</t>
        </is>
      </c>
      <c r="I1932" t="n">
        <v>11.1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s="2" t="inlineStr"/>
    </row>
    <row r="1933" ht="15" customHeight="1">
      <c r="A1933" t="inlineStr">
        <is>
          <t>A 35083-2026</t>
        </is>
      </c>
      <c r="B1933" t="inlineStr">
        <is>
          <t>avverkningsanmälan</t>
        </is>
      </c>
      <c r="C1933" t="inlineStr">
        <is>
          <t>Föryngringsavverkning</t>
        </is>
      </c>
      <c r="D1933" s="1" t="n">
        <v>46260</v>
      </c>
      <c r="E1933" s="1" t="n">
        <v>46313</v>
      </c>
      <c r="F1933" t="inlineStr">
        <is>
          <t>GÄVLEBORGS LÄN</t>
        </is>
      </c>
      <c r="G1933" t="inlineStr">
        <is>
          <t>BOLLNÄS</t>
        </is>
      </c>
      <c r="H1933" t="inlineStr">
        <is>
          <t>Bergvik skog väst AB</t>
        </is>
      </c>
      <c r="I1933" t="n">
        <v>3.1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s="2" t="inlineStr"/>
    </row>
    <row r="1934" ht="15" customHeight="1">
      <c r="A1934" t="inlineStr">
        <is>
          <t>A 22927-2025</t>
        </is>
      </c>
      <c r="B1934" t="inlineStr">
        <is>
          <t>avverkningsanmälan</t>
        </is>
      </c>
      <c r="C1934" t="inlineStr">
        <is>
          <t>Föryngringsavverkning</t>
        </is>
      </c>
      <c r="D1934" s="1" t="n">
        <v>45790</v>
      </c>
      <c r="E1934" s="1" t="n">
        <v>46313</v>
      </c>
      <c r="F1934" t="inlineStr">
        <is>
          <t>GÄVLEBORGS LÄN</t>
        </is>
      </c>
      <c r="G1934" t="inlineStr">
        <is>
          <t>BOLLNÄS</t>
        </is>
      </c>
      <c r="H1934" t="inlineStr">
        <is>
          <t>Bergvik skog väst AB</t>
        </is>
      </c>
      <c r="I1934" t="n">
        <v>0.8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s="2" t="inlineStr"/>
    </row>
    <row r="1935" ht="15" customHeight="1">
      <c r="A1935" t="inlineStr">
        <is>
          <t>A 35086-2026</t>
        </is>
      </c>
      <c r="B1935" t="inlineStr">
        <is>
          <t>avverkningsanmälan</t>
        </is>
      </c>
      <c r="C1935" t="inlineStr">
        <is>
          <t>Föryngringsavverkning</t>
        </is>
      </c>
      <c r="D1935" s="1" t="n">
        <v>46260</v>
      </c>
      <c r="E1935" s="1" t="n">
        <v>46313</v>
      </c>
      <c r="F1935" t="inlineStr">
        <is>
          <t>GÄVLEBORGS LÄN</t>
        </is>
      </c>
      <c r="G1935" t="inlineStr">
        <is>
          <t>BOLLNÄS</t>
        </is>
      </c>
      <c r="H1935" t="inlineStr">
        <is>
          <t>Bergvik skog väst AB</t>
        </is>
      </c>
      <c r="I1935" t="n">
        <v>2.3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s="2" t="inlineStr"/>
    </row>
    <row r="1936" ht="15" customHeight="1">
      <c r="A1936" t="inlineStr">
        <is>
          <t>A 35098-2026</t>
        </is>
      </c>
      <c r="B1936" t="inlineStr">
        <is>
          <t>avverkningsanmälan</t>
        </is>
      </c>
      <c r="C1936" t="inlineStr">
        <is>
          <t>Föryngringsavverkning</t>
        </is>
      </c>
      <c r="D1936" s="1" t="n">
        <v>46260</v>
      </c>
      <c r="E1936" s="1" t="n">
        <v>46313</v>
      </c>
      <c r="F1936" t="inlineStr">
        <is>
          <t>GÄVLEBORGS LÄN</t>
        </is>
      </c>
      <c r="G1936" t="inlineStr">
        <is>
          <t>BOLLNÄS</t>
        </is>
      </c>
      <c r="H1936" t="inlineStr">
        <is>
          <t>Bergvik skog väst AB</t>
        </is>
      </c>
      <c r="I1936" t="n">
        <v>5.6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s="2" t="inlineStr"/>
    </row>
    <row r="1937" ht="15" customHeight="1">
      <c r="A1937" t="inlineStr">
        <is>
          <t>A 34933-2026</t>
        </is>
      </c>
      <c r="B1937" t="inlineStr">
        <is>
          <t>avverkningsanmälan</t>
        </is>
      </c>
      <c r="C1937" t="inlineStr">
        <is>
          <t>Föryngringsavverkning</t>
        </is>
      </c>
      <c r="D1937" s="1" t="n">
        <v>46259</v>
      </c>
      <c r="E1937" s="1" t="n">
        <v>46313</v>
      </c>
      <c r="F1937" t="inlineStr">
        <is>
          <t>GÄVLEBORGS LÄN</t>
        </is>
      </c>
      <c r="G1937" t="inlineStr">
        <is>
          <t>BOLLNÄS</t>
        </is>
      </c>
      <c r="H1937" t="inlineStr">
        <is>
          <t>Bergvik skog väst AB</t>
        </is>
      </c>
      <c r="I1937" t="n">
        <v>6.1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s="2" t="inlineStr"/>
    </row>
    <row r="1938" ht="15" customHeight="1">
      <c r="A1938" t="inlineStr">
        <is>
          <t>A 34935-2026</t>
        </is>
      </c>
      <c r="B1938" t="inlineStr">
        <is>
          <t>avverkningsanmälan</t>
        </is>
      </c>
      <c r="C1938" t="inlineStr">
        <is>
          <t>Föryngringsavverkning</t>
        </is>
      </c>
      <c r="D1938" s="1" t="n">
        <v>46259</v>
      </c>
      <c r="E1938" s="1" t="n">
        <v>46313</v>
      </c>
      <c r="F1938" t="inlineStr">
        <is>
          <t>GÄVLEBORGS LÄN</t>
        </is>
      </c>
      <c r="G1938" t="inlineStr">
        <is>
          <t>BOLLNÄS</t>
        </is>
      </c>
      <c r="H1938" t="inlineStr">
        <is>
          <t>Bergvik skog väst AB</t>
        </is>
      </c>
      <c r="I1938" t="n">
        <v>0.5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s="2" t="inlineStr"/>
    </row>
    <row r="1939" ht="15" customHeight="1">
      <c r="A1939" t="inlineStr">
        <is>
          <t>A 35128-2026</t>
        </is>
      </c>
      <c r="B1939" t="inlineStr">
        <is>
          <t>avverkningsanmälan</t>
        </is>
      </c>
      <c r="C1939" t="inlineStr">
        <is>
          <t>Föryngringsavverkning</t>
        </is>
      </c>
      <c r="D1939" s="1" t="n">
        <v>46260</v>
      </c>
      <c r="E1939" s="1" t="n">
        <v>46313</v>
      </c>
      <c r="F1939" t="inlineStr">
        <is>
          <t>GÄVLEBORGS LÄN</t>
        </is>
      </c>
      <c r="G1939" t="inlineStr">
        <is>
          <t>BOLLNÄS</t>
        </is>
      </c>
      <c r="H1939" t="inlineStr">
        <is>
          <t>Bergvik skog väst AB</t>
        </is>
      </c>
      <c r="I1939" t="n">
        <v>10.3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s="2" t="inlineStr"/>
    </row>
    <row r="1940" ht="15" customHeight="1">
      <c r="A1940" t="inlineStr">
        <is>
          <t>A 34908-2026</t>
        </is>
      </c>
      <c r="B1940" t="inlineStr">
        <is>
          <t>avverkningsanmälan</t>
        </is>
      </c>
      <c r="C1940" t="inlineStr">
        <is>
          <t>Föryngringsavverkning</t>
        </is>
      </c>
      <c r="D1940" s="1" t="n">
        <v>46259</v>
      </c>
      <c r="E1940" s="1" t="n">
        <v>46313</v>
      </c>
      <c r="F1940" t="inlineStr">
        <is>
          <t>GÄVLEBORGS LÄN</t>
        </is>
      </c>
      <c r="G1940" t="inlineStr">
        <is>
          <t>BOLLNÄS</t>
        </is>
      </c>
      <c r="H1940" t="inlineStr">
        <is>
          <t>Bergvik skog väst AB</t>
        </is>
      </c>
      <c r="I1940" t="n">
        <v>1.1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s="2" t="inlineStr"/>
    </row>
    <row r="1941" ht="15" customHeight="1">
      <c r="A1941" t="inlineStr">
        <is>
          <t>A 35150-2026</t>
        </is>
      </c>
      <c r="B1941" t="inlineStr">
        <is>
          <t>avverkningsanmälan</t>
        </is>
      </c>
      <c r="C1941" t="inlineStr">
        <is>
          <t>Föryngringsavverkning</t>
        </is>
      </c>
      <c r="D1941" s="1" t="n">
        <v>46260</v>
      </c>
      <c r="E1941" s="1" t="n">
        <v>46313</v>
      </c>
      <c r="F1941" t="inlineStr">
        <is>
          <t>GÄVLEBORGS LÄN</t>
        </is>
      </c>
      <c r="G1941" t="inlineStr">
        <is>
          <t>BOLLNÄS</t>
        </is>
      </c>
      <c r="I1941" t="n">
        <v>0.9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s="2" t="inlineStr"/>
    </row>
    <row r="1942" ht="15" customHeight="1">
      <c r="A1942" t="inlineStr">
        <is>
          <t>A 6330-2026</t>
        </is>
      </c>
      <c r="B1942" t="inlineStr">
        <is>
          <t>avverkningsanmälan</t>
        </is>
      </c>
      <c r="C1942" t="inlineStr">
        <is>
          <t>Föryngringsavverkning</t>
        </is>
      </c>
      <c r="D1942" s="1" t="n">
        <v>46055</v>
      </c>
      <c r="E1942" s="1" t="n">
        <v>46313</v>
      </c>
      <c r="F1942" t="inlineStr">
        <is>
          <t>GÄVLEBORGS LÄN</t>
        </is>
      </c>
      <c r="G1942" t="inlineStr">
        <is>
          <t>BOLLNÄS</t>
        </is>
      </c>
      <c r="I1942" t="n">
        <v>3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s="2" t="inlineStr"/>
    </row>
    <row r="1943" ht="15" customHeight="1">
      <c r="A1943" t="inlineStr">
        <is>
          <t>A 34949-2026</t>
        </is>
      </c>
      <c r="B1943" t="inlineStr">
        <is>
          <t>avverkningsanmälan</t>
        </is>
      </c>
      <c r="C1943" t="inlineStr">
        <is>
          <t>Föryngringsavverkning</t>
        </is>
      </c>
      <c r="D1943" s="1" t="n">
        <v>46259</v>
      </c>
      <c r="E1943" s="1" t="n">
        <v>46313</v>
      </c>
      <c r="F1943" t="inlineStr">
        <is>
          <t>GÄVLEBORGS LÄN</t>
        </is>
      </c>
      <c r="G1943" t="inlineStr">
        <is>
          <t>BOLLNÄS</t>
        </is>
      </c>
      <c r="H1943" t="inlineStr">
        <is>
          <t>Bergvik skog väst AB</t>
        </is>
      </c>
      <c r="I1943" t="n">
        <v>4.8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s="2" t="inlineStr"/>
    </row>
    <row r="1944" ht="15" customHeight="1">
      <c r="A1944" t="inlineStr">
        <is>
          <t>A 23880-2025</t>
        </is>
      </c>
      <c r="B1944" t="inlineStr">
        <is>
          <t>avverkningsanmälan</t>
        </is>
      </c>
      <c r="C1944" t="inlineStr">
        <is>
          <t>Föryngringsavverkning</t>
        </is>
      </c>
      <c r="D1944" s="1" t="n">
        <v>45793</v>
      </c>
      <c r="E1944" s="1" t="n">
        <v>46313</v>
      </c>
      <c r="F1944" t="inlineStr">
        <is>
          <t>GÄVLEBORGS LÄN</t>
        </is>
      </c>
      <c r="G1944" t="inlineStr">
        <is>
          <t>BOLLNÄS</t>
        </is>
      </c>
      <c r="I1944" t="n">
        <v>0.9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s="2" t="inlineStr"/>
    </row>
    <row r="1945" ht="15" customHeight="1">
      <c r="A1945" t="inlineStr">
        <is>
          <t>A 47820-2024</t>
        </is>
      </c>
      <c r="B1945" t="inlineStr">
        <is>
          <t>avverkningsanmälan</t>
        </is>
      </c>
      <c r="C1945" t="inlineStr">
        <is>
          <t>Föryngringsavverkning</t>
        </is>
      </c>
      <c r="D1945" s="1" t="n">
        <v>45588</v>
      </c>
      <c r="E1945" s="1" t="n">
        <v>46313</v>
      </c>
      <c r="F1945" t="inlineStr">
        <is>
          <t>GÄVLEBORGS LÄN</t>
        </is>
      </c>
      <c r="G1945" t="inlineStr">
        <is>
          <t>BOLLNÄS</t>
        </is>
      </c>
      <c r="I1945" t="n">
        <v>1.7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s="2" t="inlineStr"/>
    </row>
    <row r="1946" ht="15" customHeight="1">
      <c r="A1946" t="inlineStr">
        <is>
          <t>A 47894-2024</t>
        </is>
      </c>
      <c r="B1946" t="inlineStr">
        <is>
          <t>avverkningsanmälan</t>
        </is>
      </c>
      <c r="C1946" t="inlineStr">
        <is>
          <t>Föryngringsavverkning</t>
        </is>
      </c>
      <c r="D1946" s="1" t="n">
        <v>45588</v>
      </c>
      <c r="E1946" s="1" t="n">
        <v>46313</v>
      </c>
      <c r="F1946" t="inlineStr">
        <is>
          <t>GÄVLEBORGS LÄN</t>
        </is>
      </c>
      <c r="G1946" t="inlineStr">
        <is>
          <t>BOLLNÄS</t>
        </is>
      </c>
      <c r="I1946" t="n">
        <v>0.7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s="2" t="inlineStr"/>
    </row>
    <row r="1947" ht="15" customHeight="1">
      <c r="A1947" t="inlineStr">
        <is>
          <t>A 8519-2025</t>
        </is>
      </c>
      <c r="B1947" t="inlineStr">
        <is>
          <t>avverkningsanmälan</t>
        </is>
      </c>
      <c r="C1947" t="inlineStr">
        <is>
          <t>Föryngringsavverkning</t>
        </is>
      </c>
      <c r="D1947" s="1" t="n">
        <v>45709</v>
      </c>
      <c r="E1947" s="1" t="n">
        <v>46313</v>
      </c>
      <c r="F1947" t="inlineStr">
        <is>
          <t>GÄVLEBORGS LÄN</t>
        </is>
      </c>
      <c r="G1947" t="inlineStr">
        <is>
          <t>BOLLNÄS</t>
        </is>
      </c>
      <c r="I1947" t="n">
        <v>1.7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s="2" t="inlineStr"/>
    </row>
    <row r="1948" ht="15" customHeight="1">
      <c r="A1948" t="inlineStr">
        <is>
          <t>A 23883-2025</t>
        </is>
      </c>
      <c r="B1948" t="inlineStr">
        <is>
          <t>avverkningsanmälan</t>
        </is>
      </c>
      <c r="C1948" t="inlineStr">
        <is>
          <t>Föryngringsavverkning</t>
        </is>
      </c>
      <c r="D1948" s="1" t="n">
        <v>45793</v>
      </c>
      <c r="E1948" s="1" t="n">
        <v>46313</v>
      </c>
      <c r="F1948" t="inlineStr">
        <is>
          <t>GÄVLEBORGS LÄN</t>
        </is>
      </c>
      <c r="G1948" t="inlineStr">
        <is>
          <t>BOLLNÄS</t>
        </is>
      </c>
      <c r="I1948" t="n">
        <v>1.7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s="2" t="inlineStr"/>
    </row>
    <row r="1949" ht="15" customHeight="1">
      <c r="A1949" t="inlineStr">
        <is>
          <t>A 10485-2024</t>
        </is>
      </c>
      <c r="B1949" t="inlineStr">
        <is>
          <t>avverkningsanmälan</t>
        </is>
      </c>
      <c r="C1949" t="inlineStr">
        <is>
          <t>Föryngringsavverkning</t>
        </is>
      </c>
      <c r="D1949" s="1" t="n">
        <v>45366</v>
      </c>
      <c r="E1949" s="1" t="n">
        <v>46313</v>
      </c>
      <c r="F1949" t="inlineStr">
        <is>
          <t>GÄVLEBORGS LÄN</t>
        </is>
      </c>
      <c r="G1949" t="inlineStr">
        <is>
          <t>BOLLNÄS</t>
        </is>
      </c>
      <c r="I1949" t="n">
        <v>1.8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s="2" t="inlineStr"/>
    </row>
    <row r="1950" ht="15" customHeight="1">
      <c r="A1950" t="inlineStr">
        <is>
          <t>A 35398-2026</t>
        </is>
      </c>
      <c r="B1950" t="inlineStr">
        <is>
          <t>avverkningsanmälan</t>
        </is>
      </c>
      <c r="C1950" t="inlineStr">
        <is>
          <t>Föryngringsavverkning</t>
        </is>
      </c>
      <c r="D1950" s="1" t="n">
        <v>46261</v>
      </c>
      <c r="E1950" s="1" t="n">
        <v>46313</v>
      </c>
      <c r="F1950" t="inlineStr">
        <is>
          <t>GÄVLEBORGS LÄN</t>
        </is>
      </c>
      <c r="G1950" t="inlineStr">
        <is>
          <t>BOLLNÄS</t>
        </is>
      </c>
      <c r="I1950" t="n">
        <v>5.8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s="2" t="inlineStr"/>
    </row>
    <row r="1951" ht="15" customHeight="1">
      <c r="A1951" t="inlineStr">
        <is>
          <t>A 56755-2022</t>
        </is>
      </c>
      <c r="B1951" t="inlineStr">
        <is>
          <t>avverkningsanmälan</t>
        </is>
      </c>
      <c r="C1951" t="inlineStr">
        <is>
          <t>Föryngringsavverkning</t>
        </is>
      </c>
      <c r="D1951" s="1" t="n">
        <v>44894</v>
      </c>
      <c r="E1951" s="1" t="n">
        <v>46313</v>
      </c>
      <c r="F1951" t="inlineStr">
        <is>
          <t>GÄVLEBORGS LÄN</t>
        </is>
      </c>
      <c r="G1951" t="inlineStr">
        <is>
          <t>BOLLNÄS</t>
        </is>
      </c>
      <c r="I1951" t="n">
        <v>0.7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s="2" t="inlineStr"/>
    </row>
    <row r="1952" ht="15" customHeight="1">
      <c r="A1952" t="inlineStr">
        <is>
          <t>A 48666-2022</t>
        </is>
      </c>
      <c r="B1952" t="inlineStr">
        <is>
          <t>avverkningsanmälan</t>
        </is>
      </c>
      <c r="C1952" t="inlineStr">
        <is>
          <t>Föryngringsavverkning</t>
        </is>
      </c>
      <c r="D1952" s="1" t="n">
        <v>44859</v>
      </c>
      <c r="E1952" s="1" t="n">
        <v>46313</v>
      </c>
      <c r="F1952" t="inlineStr">
        <is>
          <t>GÄVLEBORGS LÄN</t>
        </is>
      </c>
      <c r="G1952" t="inlineStr">
        <is>
          <t>BOLLNÄS</t>
        </is>
      </c>
      <c r="I1952" t="n">
        <v>0.7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s="2" t="inlineStr"/>
    </row>
    <row r="1953" ht="15" customHeight="1">
      <c r="A1953" t="inlineStr">
        <is>
          <t>A 46795-2024</t>
        </is>
      </c>
      <c r="B1953" t="inlineStr">
        <is>
          <t>avverkningsanmälan</t>
        </is>
      </c>
      <c r="C1953" t="inlineStr">
        <is>
          <t>Föryngringsavverkning</t>
        </is>
      </c>
      <c r="D1953" s="1" t="n">
        <v>45583</v>
      </c>
      <c r="E1953" s="1" t="n">
        <v>46313</v>
      </c>
      <c r="F1953" t="inlineStr">
        <is>
          <t>GÄVLEBORGS LÄN</t>
        </is>
      </c>
      <c r="G1953" t="inlineStr">
        <is>
          <t>BOLLNÄS</t>
        </is>
      </c>
      <c r="I1953" t="n">
        <v>1.7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s="2" t="inlineStr"/>
    </row>
    <row r="1954" ht="15" customHeight="1">
      <c r="A1954" t="inlineStr">
        <is>
          <t>A 49883-2023</t>
        </is>
      </c>
      <c r="B1954" t="inlineStr">
        <is>
          <t>avverkningsanmälan</t>
        </is>
      </c>
      <c r="C1954" t="inlineStr">
        <is>
          <t>Föryngringsavverkning</t>
        </is>
      </c>
      <c r="D1954" s="1" t="n">
        <v>45213</v>
      </c>
      <c r="E1954" s="1" t="n">
        <v>46313</v>
      </c>
      <c r="F1954" t="inlineStr">
        <is>
          <t>GÄVLEBORGS LÄN</t>
        </is>
      </c>
      <c r="G1954" t="inlineStr">
        <is>
          <t>BOLLNÄS</t>
        </is>
      </c>
      <c r="I1954" t="n">
        <v>1.8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s="2" t="inlineStr"/>
    </row>
    <row r="1955" ht="15" customHeight="1">
      <c r="A1955" t="inlineStr">
        <is>
          <t>A 35511-2026</t>
        </is>
      </c>
      <c r="B1955" t="inlineStr">
        <is>
          <t>avverkningsanmälan</t>
        </is>
      </c>
      <c r="C1955" t="inlineStr">
        <is>
          <t>Föryngringsavverkning</t>
        </is>
      </c>
      <c r="D1955" s="1" t="n">
        <v>46262</v>
      </c>
      <c r="E1955" s="1" t="n">
        <v>46313</v>
      </c>
      <c r="F1955" t="inlineStr">
        <is>
          <t>GÄVLEBORGS LÄN</t>
        </is>
      </c>
      <c r="G1955" t="inlineStr">
        <is>
          <t>BOLLNÄS</t>
        </is>
      </c>
      <c r="H1955" t="inlineStr">
        <is>
          <t>Sveaskog</t>
        </is>
      </c>
      <c r="I1955" t="n">
        <v>1.4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s="2" t="inlineStr"/>
    </row>
    <row r="1956" ht="15" customHeight="1">
      <c r="A1956" t="inlineStr">
        <is>
          <t>A 23882-2025</t>
        </is>
      </c>
      <c r="B1956" t="inlineStr">
        <is>
          <t>avverkningsanmälan</t>
        </is>
      </c>
      <c r="C1956" t="inlineStr">
        <is>
          <t>Föryngringsavverkning</t>
        </is>
      </c>
      <c r="D1956" s="1" t="n">
        <v>45793</v>
      </c>
      <c r="E1956" s="1" t="n">
        <v>46313</v>
      </c>
      <c r="F1956" t="inlineStr">
        <is>
          <t>GÄVLEBORGS LÄN</t>
        </is>
      </c>
      <c r="G1956" t="inlineStr">
        <is>
          <t>BOLLNÄS</t>
        </is>
      </c>
      <c r="I1956" t="n">
        <v>3.7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s="2" t="inlineStr"/>
    </row>
    <row r="1957" ht="15" customHeight="1">
      <c r="A1957" t="inlineStr">
        <is>
          <t>A 42121-2026</t>
        </is>
      </c>
      <c r="B1957" t="inlineStr">
        <is>
          <t>avverkningsanmälan</t>
        </is>
      </c>
      <c r="C1957" t="inlineStr">
        <is>
          <t>Föryngringsavverkning</t>
        </is>
      </c>
      <c r="D1957" s="1" t="n">
        <v>46304</v>
      </c>
      <c r="E1957" s="1" t="n">
        <v>46313</v>
      </c>
      <c r="F1957" t="inlineStr">
        <is>
          <t>GÄVLEBORGS LÄN</t>
        </is>
      </c>
      <c r="G1957" t="inlineStr">
        <is>
          <t>BOLLNÄS</t>
        </is>
      </c>
      <c r="I1957" t="n">
        <v>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s="2" t="inlineStr"/>
    </row>
    <row r="1958" ht="15" customHeight="1">
      <c r="A1958" t="inlineStr">
        <is>
          <t>A 55941-2024</t>
        </is>
      </c>
      <c r="B1958" t="inlineStr">
        <is>
          <t>avverkningsanmälan</t>
        </is>
      </c>
      <c r="C1958" t="inlineStr">
        <is>
          <t>Föryngringsavverkning</t>
        </is>
      </c>
      <c r="D1958" s="1" t="n">
        <v>45623</v>
      </c>
      <c r="E1958" s="1" t="n">
        <v>46313</v>
      </c>
      <c r="F1958" t="inlineStr">
        <is>
          <t>GÄVLEBORGS LÄN</t>
        </is>
      </c>
      <c r="G1958" t="inlineStr">
        <is>
          <t>BOLLNÄS</t>
        </is>
      </c>
      <c r="I1958" t="n">
        <v>2.2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s="2" t="inlineStr"/>
    </row>
    <row r="1959" ht="15" customHeight="1">
      <c r="A1959" t="inlineStr">
        <is>
          <t>A 38594-2024</t>
        </is>
      </c>
      <c r="B1959" t="inlineStr">
        <is>
          <t>avverkningsanmälan</t>
        </is>
      </c>
      <c r="C1959" t="inlineStr">
        <is>
          <t>Föryngringsavverkning</t>
        </is>
      </c>
      <c r="D1959" s="1" t="n">
        <v>45546</v>
      </c>
      <c r="E1959" s="1" t="n">
        <v>46313</v>
      </c>
      <c r="F1959" t="inlineStr">
        <is>
          <t>GÄVLEBORGS LÄN</t>
        </is>
      </c>
      <c r="G1959" t="inlineStr">
        <is>
          <t>BOLLNÄS</t>
        </is>
      </c>
      <c r="I1959" t="n">
        <v>1.4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s="2" t="inlineStr"/>
    </row>
    <row r="1960" ht="15" customHeight="1">
      <c r="A1960" t="inlineStr">
        <is>
          <t>A 17376-2024</t>
        </is>
      </c>
      <c r="B1960" t="inlineStr">
        <is>
          <t>avverkningsanmälan</t>
        </is>
      </c>
      <c r="C1960" t="inlineStr">
        <is>
          <t>Föryngringsavverkning</t>
        </is>
      </c>
      <c r="D1960" s="1" t="n">
        <v>45414</v>
      </c>
      <c r="E1960" s="1" t="n">
        <v>46313</v>
      </c>
      <c r="F1960" t="inlineStr">
        <is>
          <t>GÄVLEBORGS LÄN</t>
        </is>
      </c>
      <c r="G1960" t="inlineStr">
        <is>
          <t>BOLLNÄS</t>
        </is>
      </c>
      <c r="I1960" t="n">
        <v>1.1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s="2" t="inlineStr"/>
    </row>
    <row r="1961" ht="15" customHeight="1">
      <c r="A1961" t="inlineStr">
        <is>
          <t>A 24314-2025</t>
        </is>
      </c>
      <c r="B1961" t="inlineStr">
        <is>
          <t>avverkningsanmälan</t>
        </is>
      </c>
      <c r="C1961" t="inlineStr">
        <is>
          <t>Föryngringsavverkning</t>
        </is>
      </c>
      <c r="D1961" s="1" t="n">
        <v>45797</v>
      </c>
      <c r="E1961" s="1" t="n">
        <v>46313</v>
      </c>
      <c r="F1961" t="inlineStr">
        <is>
          <t>GÄVLEBORGS LÄN</t>
        </is>
      </c>
      <c r="G1961" t="inlineStr">
        <is>
          <t>BOLLNÄS</t>
        </is>
      </c>
      <c r="I1961" t="n">
        <v>3.9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s="2" t="inlineStr"/>
    </row>
    <row r="1962" ht="15" customHeight="1">
      <c r="A1962" t="inlineStr">
        <is>
          <t>A 3913-2026</t>
        </is>
      </c>
      <c r="B1962" t="inlineStr">
        <is>
          <t>avverkningsanmälan</t>
        </is>
      </c>
      <c r="C1962" t="inlineStr">
        <is>
          <t>Föryngringsavverkning</t>
        </is>
      </c>
      <c r="D1962" s="1" t="n">
        <v>46043</v>
      </c>
      <c r="E1962" s="1" t="n">
        <v>46313</v>
      </c>
      <c r="F1962" t="inlineStr">
        <is>
          <t>GÄVLEBORGS LÄN</t>
        </is>
      </c>
      <c r="G1962" t="inlineStr">
        <is>
          <t>BOLLNÄS</t>
        </is>
      </c>
      <c r="I1962" t="n">
        <v>1.4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s="2" t="inlineStr"/>
    </row>
    <row r="1963" ht="15" customHeight="1">
      <c r="A1963" t="inlineStr">
        <is>
          <t>A 42059-2026</t>
        </is>
      </c>
      <c r="B1963" t="inlineStr">
        <is>
          <t>avverkningsanmälan</t>
        </is>
      </c>
      <c r="C1963" t="inlineStr">
        <is>
          <t>Föryngringsavverkning</t>
        </is>
      </c>
      <c r="D1963" s="1" t="n">
        <v>46304</v>
      </c>
      <c r="E1963" s="1" t="n">
        <v>46313</v>
      </c>
      <c r="F1963" t="inlineStr">
        <is>
          <t>GÄVLEBORGS LÄN</t>
        </is>
      </c>
      <c r="G1963" t="inlineStr">
        <is>
          <t>BOLLNÄS</t>
        </is>
      </c>
      <c r="H1963" t="inlineStr">
        <is>
          <t>Bergvik skog väst AB</t>
        </is>
      </c>
      <c r="I1963" t="n">
        <v>3.9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s="2" t="inlineStr"/>
    </row>
    <row r="1964" ht="15" customHeight="1">
      <c r="A1964" t="inlineStr">
        <is>
          <t>A 24319-2025</t>
        </is>
      </c>
      <c r="B1964" t="inlineStr">
        <is>
          <t>avverkningsanmälan</t>
        </is>
      </c>
      <c r="C1964" t="inlineStr">
        <is>
          <t>Föryngringsavverkning</t>
        </is>
      </c>
      <c r="D1964" s="1" t="n">
        <v>45797</v>
      </c>
      <c r="E1964" s="1" t="n">
        <v>46313</v>
      </c>
      <c r="F1964" t="inlineStr">
        <is>
          <t>GÄVLEBORGS LÄN</t>
        </is>
      </c>
      <c r="G1964" t="inlineStr">
        <is>
          <t>BOLLNÄS</t>
        </is>
      </c>
      <c r="I1964" t="n">
        <v>7.6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s="2" t="inlineStr"/>
    </row>
    <row r="1965" ht="15" customHeight="1">
      <c r="A1965" t="inlineStr">
        <is>
          <t>A 35396-2026</t>
        </is>
      </c>
      <c r="B1965" t="inlineStr">
        <is>
          <t>avverkningsanmälan</t>
        </is>
      </c>
      <c r="C1965" t="inlineStr">
        <is>
          <t>Föryngringsavverkning</t>
        </is>
      </c>
      <c r="D1965" s="1" t="n">
        <v>46261</v>
      </c>
      <c r="E1965" s="1" t="n">
        <v>46313</v>
      </c>
      <c r="F1965" t="inlineStr">
        <is>
          <t>GÄVLEBORGS LÄN</t>
        </is>
      </c>
      <c r="G1965" t="inlineStr">
        <is>
          <t>BOLLNÄS</t>
        </is>
      </c>
      <c r="I1965" t="n">
        <v>2.6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s="2" t="inlineStr"/>
    </row>
    <row r="1966" ht="15" customHeight="1">
      <c r="A1966" t="inlineStr">
        <is>
          <t>A 29742-2024</t>
        </is>
      </c>
      <c r="B1966" t="inlineStr">
        <is>
          <t>avverkningsanmälan</t>
        </is>
      </c>
      <c r="C1966" t="inlineStr">
        <is>
          <t>Föryngringsavverkning</t>
        </is>
      </c>
      <c r="D1966" s="1" t="n">
        <v>45485</v>
      </c>
      <c r="E1966" s="1" t="n">
        <v>46313</v>
      </c>
      <c r="F1966" t="inlineStr">
        <is>
          <t>GÄVLEBORGS LÄN</t>
        </is>
      </c>
      <c r="G1966" t="inlineStr">
        <is>
          <t>BOLLNÄS</t>
        </is>
      </c>
      <c r="I1966" t="n">
        <v>1.2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s="2" t="inlineStr"/>
    </row>
    <row r="1967" ht="15" customHeight="1">
      <c r="A1967" t="inlineStr">
        <is>
          <t>A 42344-2026</t>
        </is>
      </c>
      <c r="B1967" t="inlineStr">
        <is>
          <t>avverkningsanmälan</t>
        </is>
      </c>
      <c r="C1967" t="inlineStr">
        <is>
          <t>Föryngringsavverkning</t>
        </is>
      </c>
      <c r="D1967" s="1" t="n">
        <v>46307</v>
      </c>
      <c r="E1967" s="1" t="n">
        <v>46313</v>
      </c>
      <c r="F1967" t="inlineStr">
        <is>
          <t>GÄVLEBORGS LÄN</t>
        </is>
      </c>
      <c r="G1967" t="inlineStr">
        <is>
          <t>BOLLNÄS</t>
        </is>
      </c>
      <c r="H1967" t="inlineStr">
        <is>
          <t>Bergvik skog väst AB</t>
        </is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s="2" t="inlineStr"/>
    </row>
    <row r="1968" ht="15" customHeight="1">
      <c r="A1968" t="inlineStr">
        <is>
          <t>A 24937-2025</t>
        </is>
      </c>
      <c r="B1968" t="inlineStr">
        <is>
          <t>avverkningsanmälan</t>
        </is>
      </c>
      <c r="C1968" t="inlineStr">
        <is>
          <t>Föryngringsavverkning</t>
        </is>
      </c>
      <c r="D1968" s="1" t="n">
        <v>45799</v>
      </c>
      <c r="E1968" s="1" t="n">
        <v>46313</v>
      </c>
      <c r="F1968" t="inlineStr">
        <is>
          <t>GÄVLEBORGS LÄN</t>
        </is>
      </c>
      <c r="G1968" t="inlineStr">
        <is>
          <t>BOLLNÄS</t>
        </is>
      </c>
      <c r="I1968" t="n">
        <v>1.3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s="2" t="inlineStr"/>
    </row>
    <row r="1969" ht="15" customHeight="1">
      <c r="A1969" t="inlineStr">
        <is>
          <t>A 24918-2025</t>
        </is>
      </c>
      <c r="B1969" t="inlineStr">
        <is>
          <t>avverkningsanmälan</t>
        </is>
      </c>
      <c r="C1969" t="inlineStr">
        <is>
          <t>Föryngringsavverkning</t>
        </is>
      </c>
      <c r="D1969" s="1" t="n">
        <v>45799</v>
      </c>
      <c r="E1969" s="1" t="n">
        <v>46313</v>
      </c>
      <c r="F1969" t="inlineStr">
        <is>
          <t>GÄVLEBORGS LÄN</t>
        </is>
      </c>
      <c r="G1969" t="inlineStr">
        <is>
          <t>BOLLNÄS</t>
        </is>
      </c>
      <c r="I1969" t="n">
        <v>2.6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s="2" t="inlineStr"/>
    </row>
    <row r="1970" ht="15" customHeight="1">
      <c r="A1970" t="inlineStr">
        <is>
          <t>A 24920-2025</t>
        </is>
      </c>
      <c r="B1970" t="inlineStr">
        <is>
          <t>avverkningsanmälan</t>
        </is>
      </c>
      <c r="C1970" t="inlineStr">
        <is>
          <t>Föryngringsavverkning</t>
        </is>
      </c>
      <c r="D1970" s="1" t="n">
        <v>45799</v>
      </c>
      <c r="E1970" s="1" t="n">
        <v>46313</v>
      </c>
      <c r="F1970" t="inlineStr">
        <is>
          <t>GÄVLEBORGS LÄN</t>
        </is>
      </c>
      <c r="G1970" t="inlineStr">
        <is>
          <t>BOLLNÄS</t>
        </is>
      </c>
      <c r="I1970" t="n">
        <v>1.5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s="2" t="inlineStr"/>
    </row>
    <row r="1971" ht="15" customHeight="1">
      <c r="A1971" t="inlineStr">
        <is>
          <t>A 35433-2026</t>
        </is>
      </c>
      <c r="B1971" t="inlineStr">
        <is>
          <t>avverkningsanmälan</t>
        </is>
      </c>
      <c r="C1971" t="inlineStr">
        <is>
          <t>Föryngringsavverkning</t>
        </is>
      </c>
      <c r="D1971" s="1" t="n">
        <v>46262</v>
      </c>
      <c r="E1971" s="1" t="n">
        <v>46313</v>
      </c>
      <c r="F1971" t="inlineStr">
        <is>
          <t>GÄVLEBORGS LÄN</t>
        </is>
      </c>
      <c r="G1971" t="inlineStr">
        <is>
          <t>BOLLNÄS</t>
        </is>
      </c>
      <c r="H1971" t="inlineStr">
        <is>
          <t>Bergvik skog väst AB</t>
        </is>
      </c>
      <c r="I1971" t="n">
        <v>0.8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s="2" t="inlineStr"/>
    </row>
    <row r="1972" ht="15" customHeight="1">
      <c r="A1972" t="inlineStr">
        <is>
          <t>A 35397-2026</t>
        </is>
      </c>
      <c r="B1972" t="inlineStr">
        <is>
          <t>avverkningsanmälan</t>
        </is>
      </c>
      <c r="C1972" t="inlineStr">
        <is>
          <t>Föryngringsavverkning</t>
        </is>
      </c>
      <c r="D1972" s="1" t="n">
        <v>46261</v>
      </c>
      <c r="E1972" s="1" t="n">
        <v>46313</v>
      </c>
      <c r="F1972" t="inlineStr">
        <is>
          <t>GÄVLEBORGS LÄN</t>
        </is>
      </c>
      <c r="G1972" t="inlineStr">
        <is>
          <t>BOLLNÄS</t>
        </is>
      </c>
      <c r="I1972" t="n">
        <v>1.7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s="2" t="inlineStr"/>
    </row>
    <row r="1973" ht="15" customHeight="1">
      <c r="A1973" t="inlineStr">
        <is>
          <t>A 35346-2026</t>
        </is>
      </c>
      <c r="B1973" t="inlineStr">
        <is>
          <t>avverkningsanmälan</t>
        </is>
      </c>
      <c r="C1973" t="inlineStr">
        <is>
          <t>Föryngringsavverkning</t>
        </is>
      </c>
      <c r="D1973" s="1" t="n">
        <v>46261</v>
      </c>
      <c r="E1973" s="1" t="n">
        <v>46313</v>
      </c>
      <c r="F1973" t="inlineStr">
        <is>
          <t>GÄVLEBORGS LÄN</t>
        </is>
      </c>
      <c r="G1973" t="inlineStr">
        <is>
          <t>BOLLNÄS</t>
        </is>
      </c>
      <c r="I1973" t="n">
        <v>1.2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s="2" t="inlineStr"/>
    </row>
    <row r="1974" ht="15" customHeight="1">
      <c r="A1974" t="inlineStr">
        <is>
          <t>A 25226-2025</t>
        </is>
      </c>
      <c r="B1974" t="inlineStr">
        <is>
          <t>avverkningsanmälan</t>
        </is>
      </c>
      <c r="C1974" t="inlineStr">
        <is>
          <t>Föryngringsavverkning</t>
        </is>
      </c>
      <c r="D1974" s="1" t="n">
        <v>45800</v>
      </c>
      <c r="E1974" s="1" t="n">
        <v>46313</v>
      </c>
      <c r="F1974" t="inlineStr">
        <is>
          <t>GÄVLEBORGS LÄN</t>
        </is>
      </c>
      <c r="G1974" t="inlineStr">
        <is>
          <t>BOLLNÄS</t>
        </is>
      </c>
      <c r="H1974" t="inlineStr">
        <is>
          <t>Holmen skog AB</t>
        </is>
      </c>
      <c r="I1974" t="n">
        <v>17.7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s="2" t="inlineStr"/>
    </row>
    <row r="1975" ht="15" customHeight="1">
      <c r="A1975" t="inlineStr">
        <is>
          <t>A 25596-2025</t>
        </is>
      </c>
      <c r="B1975" t="inlineStr">
        <is>
          <t>avverkningsanmälan</t>
        </is>
      </c>
      <c r="C1975" t="inlineStr">
        <is>
          <t>Föryngringsavverkning</t>
        </is>
      </c>
      <c r="D1975" s="1" t="n">
        <v>45803</v>
      </c>
      <c r="E1975" s="1" t="n">
        <v>46313</v>
      </c>
      <c r="F1975" t="inlineStr">
        <is>
          <t>GÄVLEBORGS LÄN</t>
        </is>
      </c>
      <c r="G1975" t="inlineStr">
        <is>
          <t>BOLLNÄS</t>
        </is>
      </c>
      <c r="I1975" t="n">
        <v>1.3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s="2" t="inlineStr"/>
    </row>
    <row r="1976" ht="15" customHeight="1">
      <c r="A1976" t="inlineStr">
        <is>
          <t>A 26303-2025</t>
        </is>
      </c>
      <c r="B1976" t="inlineStr">
        <is>
          <t>avverkningsanmälan</t>
        </is>
      </c>
      <c r="C1976" t="inlineStr">
        <is>
          <t>Föryngringsavverkning</t>
        </is>
      </c>
      <c r="D1976" s="1" t="n">
        <v>45805</v>
      </c>
      <c r="E1976" s="1" t="n">
        <v>46313</v>
      </c>
      <c r="F1976" t="inlineStr">
        <is>
          <t>GÄVLEBORGS LÄN</t>
        </is>
      </c>
      <c r="G1976" t="inlineStr">
        <is>
          <t>BOLLNÄS</t>
        </is>
      </c>
      <c r="I1976" t="n">
        <v>1.4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s="2" t="inlineStr"/>
    </row>
    <row r="1977" ht="15" customHeight="1">
      <c r="A1977" t="inlineStr">
        <is>
          <t>A 26323-2025</t>
        </is>
      </c>
      <c r="B1977" t="inlineStr">
        <is>
          <t>avverkningsanmälan</t>
        </is>
      </c>
      <c r="C1977" t="inlineStr">
        <is>
          <t>Föryngringsavverkning</t>
        </is>
      </c>
      <c r="D1977" s="1" t="n">
        <v>45805</v>
      </c>
      <c r="E1977" s="1" t="n">
        <v>46313</v>
      </c>
      <c r="F1977" t="inlineStr">
        <is>
          <t>GÄVLEBORGS LÄN</t>
        </is>
      </c>
      <c r="G1977" t="inlineStr">
        <is>
          <t>BOLLNÄS</t>
        </is>
      </c>
      <c r="I1977" t="n">
        <v>2.2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s="2" t="inlineStr"/>
    </row>
    <row r="1978" ht="15" customHeight="1">
      <c r="A1978" t="inlineStr">
        <is>
          <t>A 26308-2025</t>
        </is>
      </c>
      <c r="B1978" t="inlineStr">
        <is>
          <t>avverkningsanmälan</t>
        </is>
      </c>
      <c r="C1978" t="inlineStr">
        <is>
          <t>Föryngringsavverkning</t>
        </is>
      </c>
      <c r="D1978" s="1" t="n">
        <v>45805</v>
      </c>
      <c r="E1978" s="1" t="n">
        <v>46313</v>
      </c>
      <c r="F1978" t="inlineStr">
        <is>
          <t>GÄVLEBORGS LÄN</t>
        </is>
      </c>
      <c r="G1978" t="inlineStr">
        <is>
          <t>BOLLNÄS</t>
        </is>
      </c>
      <c r="I1978" t="n">
        <v>1.3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s="2" t="inlineStr"/>
    </row>
    <row r="1979" ht="15" customHeight="1">
      <c r="A1979" t="inlineStr">
        <is>
          <t>A 26289-2025</t>
        </is>
      </c>
      <c r="B1979" t="inlineStr">
        <is>
          <t>avverkningsanmälan</t>
        </is>
      </c>
      <c r="C1979" t="inlineStr">
        <is>
          <t>Föryngringsavverkning</t>
        </is>
      </c>
      <c r="D1979" s="1" t="n">
        <v>45805</v>
      </c>
      <c r="E1979" s="1" t="n">
        <v>46313</v>
      </c>
      <c r="F1979" t="inlineStr">
        <is>
          <t>GÄVLEBORGS LÄN</t>
        </is>
      </c>
      <c r="G1979" t="inlineStr">
        <is>
          <t>BOLLNÄS</t>
        </is>
      </c>
      <c r="I1979" t="n">
        <v>0.8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s="2" t="inlineStr"/>
    </row>
    <row r="1980" ht="15" customHeight="1">
      <c r="A1980" t="inlineStr">
        <is>
          <t>A 25987-2025</t>
        </is>
      </c>
      <c r="B1980" t="inlineStr">
        <is>
          <t>avverkningsanmälan</t>
        </is>
      </c>
      <c r="C1980" t="inlineStr">
        <is>
          <t>Föryngringsavverkning</t>
        </is>
      </c>
      <c r="D1980" s="1" t="n">
        <v>45804</v>
      </c>
      <c r="E1980" s="1" t="n">
        <v>46313</v>
      </c>
      <c r="F1980" t="inlineStr">
        <is>
          <t>GÄVLEBORGS LÄN</t>
        </is>
      </c>
      <c r="G1980" t="inlineStr">
        <is>
          <t>BOLLNÄS</t>
        </is>
      </c>
      <c r="H1980" t="inlineStr">
        <is>
          <t>Bergvik skog väst AB</t>
        </is>
      </c>
      <c r="I1980" t="n">
        <v>1.2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s="2" t="inlineStr"/>
    </row>
    <row r="1981" ht="15" customHeight="1">
      <c r="A1981" t="inlineStr">
        <is>
          <t>A 35916-2026</t>
        </is>
      </c>
      <c r="B1981" t="inlineStr">
        <is>
          <t>avverkningsanmälan</t>
        </is>
      </c>
      <c r="C1981" t="inlineStr">
        <is>
          <t>Föryngringsavverkning</t>
        </is>
      </c>
      <c r="D1981" s="1" t="n">
        <v>46266</v>
      </c>
      <c r="E1981" s="1" t="n">
        <v>46313</v>
      </c>
      <c r="F1981" t="inlineStr">
        <is>
          <t>GÄVLEBORGS LÄN</t>
        </is>
      </c>
      <c r="G1981" t="inlineStr">
        <is>
          <t>BOLLNÄS</t>
        </is>
      </c>
      <c r="I1981" t="n">
        <v>2.9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s="2" t="inlineStr"/>
    </row>
    <row r="1982" ht="15" customHeight="1">
      <c r="A1982" t="inlineStr">
        <is>
          <t>A 42459-2026</t>
        </is>
      </c>
      <c r="B1982" t="inlineStr">
        <is>
          <t>avverkningsanmälan</t>
        </is>
      </c>
      <c r="C1982" t="inlineStr">
        <is>
          <t>Föryngringsavverkning</t>
        </is>
      </c>
      <c r="D1982" s="1" t="n">
        <v>46308</v>
      </c>
      <c r="E1982" s="1" t="n">
        <v>46313</v>
      </c>
      <c r="F1982" t="inlineStr">
        <is>
          <t>GÄVLEBORGS LÄN</t>
        </is>
      </c>
      <c r="G1982" t="inlineStr">
        <is>
          <t>BOLLNÄS</t>
        </is>
      </c>
      <c r="H1982" t="inlineStr">
        <is>
          <t>Bergvik skog öst AB</t>
        </is>
      </c>
      <c r="I1982" t="n">
        <v>5.1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s="2" t="inlineStr"/>
    </row>
    <row r="1983" ht="15" customHeight="1">
      <c r="A1983" t="inlineStr">
        <is>
          <t>A 26723-2025</t>
        </is>
      </c>
      <c r="B1983" t="inlineStr">
        <is>
          <t>avverkningsanmälan</t>
        </is>
      </c>
      <c r="C1983" t="inlineStr">
        <is>
          <t>Föryngringsavverkning</t>
        </is>
      </c>
      <c r="D1983" s="1" t="n">
        <v>45810</v>
      </c>
      <c r="E1983" s="1" t="n">
        <v>46313</v>
      </c>
      <c r="F1983" t="inlineStr">
        <is>
          <t>GÄVLEBORGS LÄN</t>
        </is>
      </c>
      <c r="G1983" t="inlineStr">
        <is>
          <t>BOLLNÄS</t>
        </is>
      </c>
      <c r="I1983" t="n">
        <v>0.9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s="2" t="inlineStr"/>
    </row>
    <row r="1984" ht="15" customHeight="1">
      <c r="A1984" t="inlineStr">
        <is>
          <t>A 57510-2023</t>
        </is>
      </c>
      <c r="B1984" t="inlineStr">
        <is>
          <t>avverkningsanmälan</t>
        </is>
      </c>
      <c r="C1984" t="inlineStr">
        <is>
          <t>Avverkning för annat ändamål</t>
        </is>
      </c>
      <c r="D1984" s="1" t="n">
        <v>45246</v>
      </c>
      <c r="E1984" s="1" t="n">
        <v>46313</v>
      </c>
      <c r="F1984" t="inlineStr">
        <is>
          <t>GÄVLEBORGS LÄN</t>
        </is>
      </c>
      <c r="G1984" t="inlineStr">
        <is>
          <t>BOLLNÄS</t>
        </is>
      </c>
      <c r="I1984" t="n">
        <v>2.5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s="2" t="inlineStr"/>
    </row>
    <row r="1985" ht="15" customHeight="1">
      <c r="A1985" t="inlineStr">
        <is>
          <t>A 27345-2025</t>
        </is>
      </c>
      <c r="B1985" t="inlineStr">
        <is>
          <t>avverkningsanmälan</t>
        </is>
      </c>
      <c r="C1985" t="inlineStr">
        <is>
          <t>Föryngringsavverkning</t>
        </is>
      </c>
      <c r="D1985" s="1" t="n">
        <v>45812</v>
      </c>
      <c r="E1985" s="1" t="n">
        <v>46313</v>
      </c>
      <c r="F1985" t="inlineStr">
        <is>
          <t>GÄVLEBORGS LÄN</t>
        </is>
      </c>
      <c r="G1985" t="inlineStr">
        <is>
          <t>BOLLNÄS</t>
        </is>
      </c>
      <c r="I1985" t="n">
        <v>9.199999999999999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s="2" t="inlineStr"/>
    </row>
    <row r="1986" ht="15" customHeight="1">
      <c r="A1986" t="inlineStr">
        <is>
          <t>A 27361-2025</t>
        </is>
      </c>
      <c r="B1986" t="inlineStr">
        <is>
          <t>avverkningsanmälan</t>
        </is>
      </c>
      <c r="C1986" t="inlineStr">
        <is>
          <t>Föryngringsavverkning</t>
        </is>
      </c>
      <c r="D1986" s="1" t="n">
        <v>45812</v>
      </c>
      <c r="E1986" s="1" t="n">
        <v>46313</v>
      </c>
      <c r="F1986" t="inlineStr">
        <is>
          <t>GÄVLEBORGS LÄN</t>
        </is>
      </c>
      <c r="G1986" t="inlineStr">
        <is>
          <t>BOLLNÄS</t>
        </is>
      </c>
      <c r="I1986" t="n">
        <v>2.1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s="2" t="inlineStr"/>
    </row>
    <row r="1987" ht="15" customHeight="1">
      <c r="A1987" t="inlineStr">
        <is>
          <t>A 24110-2026</t>
        </is>
      </c>
      <c r="B1987" t="inlineStr">
        <is>
          <t>avverkningsanmälan</t>
        </is>
      </c>
      <c r="C1987" t="inlineStr">
        <is>
          <t>Föryngringsavverkning</t>
        </is>
      </c>
      <c r="D1987" s="1" t="n">
        <v>46168</v>
      </c>
      <c r="E1987" s="1" t="n">
        <v>46313</v>
      </c>
      <c r="F1987" t="inlineStr">
        <is>
          <t>GÄVLEBORGS LÄN</t>
        </is>
      </c>
      <c r="G1987" t="inlineStr">
        <is>
          <t>BOLLNÄS</t>
        </is>
      </c>
      <c r="I1987" t="n">
        <v>2.8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s="2" t="inlineStr"/>
    </row>
    <row r="1988" ht="15" customHeight="1">
      <c r="A1988" t="inlineStr">
        <is>
          <t>A 27143-2025</t>
        </is>
      </c>
      <c r="B1988" t="inlineStr">
        <is>
          <t>avverkningsanmälan</t>
        </is>
      </c>
      <c r="C1988" t="inlineStr">
        <is>
          <t>Föryngringsavverkning</t>
        </is>
      </c>
      <c r="D1988" s="1" t="n">
        <v>45812</v>
      </c>
      <c r="E1988" s="1" t="n">
        <v>46313</v>
      </c>
      <c r="F1988" t="inlineStr">
        <is>
          <t>GÄVLEBORGS LÄN</t>
        </is>
      </c>
      <c r="G1988" t="inlineStr">
        <is>
          <t>BOLLNÄS</t>
        </is>
      </c>
      <c r="I1988" t="n">
        <v>0.5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s="2" t="inlineStr"/>
    </row>
    <row r="1989" ht="15" customHeight="1">
      <c r="A1989" t="inlineStr">
        <is>
          <t>A 37345-2024</t>
        </is>
      </c>
      <c r="B1989" t="inlineStr">
        <is>
          <t>avverkningsanmälan</t>
        </is>
      </c>
      <c r="C1989" t="inlineStr">
        <is>
          <t>Föryngringsavverkning</t>
        </is>
      </c>
      <c r="D1989" s="1" t="n">
        <v>45540</v>
      </c>
      <c r="E1989" s="1" t="n">
        <v>46313</v>
      </c>
      <c r="F1989" t="inlineStr">
        <is>
          <t>GÄVLEBORGS LÄN</t>
        </is>
      </c>
      <c r="G1989" t="inlineStr">
        <is>
          <t>BOLLNÄS</t>
        </is>
      </c>
      <c r="H1989" t="inlineStr">
        <is>
          <t>Bergvik skog väst AB</t>
        </is>
      </c>
      <c r="I1989" t="n">
        <v>3.3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s="2" t="inlineStr"/>
    </row>
    <row r="1990" ht="15" customHeight="1">
      <c r="A1990" t="inlineStr">
        <is>
          <t>A 36572-2026</t>
        </is>
      </c>
      <c r="B1990" t="inlineStr">
        <is>
          <t>avverkningsanmälan</t>
        </is>
      </c>
      <c r="C1990" t="inlineStr">
        <is>
          <t>Föryngringsavverkning</t>
        </is>
      </c>
      <c r="D1990" s="1" t="n">
        <v>46269</v>
      </c>
      <c r="E1990" s="1" t="n">
        <v>46313</v>
      </c>
      <c r="F1990" t="inlineStr">
        <is>
          <t>GÄVLEBORGS LÄN</t>
        </is>
      </c>
      <c r="G1990" t="inlineStr">
        <is>
          <t>BOLLNÄS</t>
        </is>
      </c>
      <c r="H1990" t="inlineStr">
        <is>
          <t>Kommuner</t>
        </is>
      </c>
      <c r="I1990" t="n">
        <v>1.2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s="2" t="inlineStr"/>
    </row>
    <row r="1991" ht="15" customHeight="1">
      <c r="A1991" t="inlineStr">
        <is>
          <t>A 21682-2024</t>
        </is>
      </c>
      <c r="B1991" t="inlineStr">
        <is>
          <t>avverkningsanmälan</t>
        </is>
      </c>
      <c r="C1991" t="inlineStr">
        <is>
          <t>Föryngringsavverkning</t>
        </is>
      </c>
      <c r="D1991" s="1" t="n">
        <v>45442</v>
      </c>
      <c r="E1991" s="1" t="n">
        <v>46313</v>
      </c>
      <c r="F1991" t="inlineStr">
        <is>
          <t>GÄVLEBORGS LÄN</t>
        </is>
      </c>
      <c r="G1991" t="inlineStr">
        <is>
          <t>BOLLNÄS</t>
        </is>
      </c>
      <c r="H1991" t="inlineStr">
        <is>
          <t>Bergvik skog väst AB</t>
        </is>
      </c>
      <c r="I1991" t="n">
        <v>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s="2" t="inlineStr"/>
    </row>
    <row r="1992" ht="15" customHeight="1">
      <c r="A1992" t="inlineStr">
        <is>
          <t>A 36575-2026</t>
        </is>
      </c>
      <c r="B1992" t="inlineStr">
        <is>
          <t>avverkningsanmälan</t>
        </is>
      </c>
      <c r="C1992" t="inlineStr">
        <is>
          <t>Föryngringsavverkning</t>
        </is>
      </c>
      <c r="D1992" s="1" t="n">
        <v>46269</v>
      </c>
      <c r="E1992" s="1" t="n">
        <v>46313</v>
      </c>
      <c r="F1992" t="inlineStr">
        <is>
          <t>GÄVLEBORGS LÄN</t>
        </is>
      </c>
      <c r="G1992" t="inlineStr">
        <is>
          <t>BOLLNÄS</t>
        </is>
      </c>
      <c r="H1992" t="inlineStr">
        <is>
          <t>Kommuner</t>
        </is>
      </c>
      <c r="I1992" t="n">
        <v>1.3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s="2" t="inlineStr"/>
    </row>
    <row r="1993" ht="15" customHeight="1">
      <c r="A1993" t="inlineStr">
        <is>
          <t>A 6898-2026</t>
        </is>
      </c>
      <c r="B1993" t="inlineStr">
        <is>
          <t>avverkningsanmälan</t>
        </is>
      </c>
      <c r="C1993" t="inlineStr">
        <is>
          <t>Föryngringsavverkning</t>
        </is>
      </c>
      <c r="D1993" s="1" t="n">
        <v>46057</v>
      </c>
      <c r="E1993" s="1" t="n">
        <v>46313</v>
      </c>
      <c r="F1993" t="inlineStr">
        <is>
          <t>GÄVLEBORGS LÄN</t>
        </is>
      </c>
      <c r="G1993" t="inlineStr">
        <is>
          <t>BOLLNÄS</t>
        </is>
      </c>
      <c r="I1993" t="n">
        <v>2.2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s="2" t="inlineStr"/>
    </row>
    <row r="1994" ht="15" customHeight="1">
      <c r="A1994" t="inlineStr">
        <is>
          <t>A 21211-2025</t>
        </is>
      </c>
      <c r="B1994" t="inlineStr">
        <is>
          <t>avverkningsanmälan</t>
        </is>
      </c>
      <c r="C1994" t="inlineStr">
        <is>
          <t>Föryngringsavverkning</t>
        </is>
      </c>
      <c r="D1994" s="1" t="n">
        <v>45779</v>
      </c>
      <c r="E1994" s="1" t="n">
        <v>46313</v>
      </c>
      <c r="F1994" t="inlineStr">
        <is>
          <t>GÄVLEBORGS LÄN</t>
        </is>
      </c>
      <c r="G1994" t="inlineStr">
        <is>
          <t>BOLLNÄS</t>
        </is>
      </c>
      <c r="I1994" t="n">
        <v>2.6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s="2" t="inlineStr"/>
    </row>
    <row r="1995" ht="15" customHeight="1">
      <c r="A1995" t="inlineStr">
        <is>
          <t>A 36109-2026</t>
        </is>
      </c>
      <c r="B1995" t="inlineStr">
        <is>
          <t>avverkningsanmälan</t>
        </is>
      </c>
      <c r="C1995" t="inlineStr">
        <is>
          <t>Föryngringsavverkning</t>
        </is>
      </c>
      <c r="D1995" s="1" t="n">
        <v>46267</v>
      </c>
      <c r="E1995" s="1" t="n">
        <v>46313</v>
      </c>
      <c r="F1995" t="inlineStr">
        <is>
          <t>GÄVLEBORGS LÄN</t>
        </is>
      </c>
      <c r="G1995" t="inlineStr">
        <is>
          <t>BOLLNÄS</t>
        </is>
      </c>
      <c r="I1995" t="n">
        <v>1.5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s="2" t="inlineStr"/>
    </row>
    <row r="1996" ht="15" customHeight="1">
      <c r="A1996" t="inlineStr">
        <is>
          <t>A 28338-2025</t>
        </is>
      </c>
      <c r="B1996" t="inlineStr">
        <is>
          <t>avverkningsanmälan</t>
        </is>
      </c>
      <c r="C1996" t="inlineStr">
        <is>
          <t>Föryngringsavverkning</t>
        </is>
      </c>
      <c r="D1996" s="1" t="n">
        <v>45818</v>
      </c>
      <c r="E1996" s="1" t="n">
        <v>46313</v>
      </c>
      <c r="F1996" t="inlineStr">
        <is>
          <t>GÄVLEBORGS LÄN</t>
        </is>
      </c>
      <c r="G1996" t="inlineStr">
        <is>
          <t>BOLLNÄS</t>
        </is>
      </c>
      <c r="I1996" t="n">
        <v>4.7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s="2" t="inlineStr"/>
    </row>
    <row r="1997" ht="15" customHeight="1">
      <c r="A1997" t="inlineStr">
        <is>
          <t>A 36487-2026</t>
        </is>
      </c>
      <c r="B1997" t="inlineStr">
        <is>
          <t>avverkningsanmälan</t>
        </is>
      </c>
      <c r="C1997" t="inlineStr">
        <is>
          <t>Föryngringsavverkning</t>
        </is>
      </c>
      <c r="D1997" s="1" t="n">
        <v>46269</v>
      </c>
      <c r="E1997" s="1" t="n">
        <v>46313</v>
      </c>
      <c r="F1997" t="inlineStr">
        <is>
          <t>GÄVLEBORGS LÄN</t>
        </is>
      </c>
      <c r="G1997" t="inlineStr">
        <is>
          <t>BOLLNÄS</t>
        </is>
      </c>
      <c r="H1997" t="inlineStr">
        <is>
          <t>Bergvik skog väst AB</t>
        </is>
      </c>
      <c r="I1997" t="n">
        <v>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s="2" t="inlineStr"/>
    </row>
    <row r="1998" ht="15" customHeight="1">
      <c r="A1998" t="inlineStr">
        <is>
          <t>A 28339-2025</t>
        </is>
      </c>
      <c r="B1998" t="inlineStr">
        <is>
          <t>avverkningsanmälan</t>
        </is>
      </c>
      <c r="C1998" t="inlineStr">
        <is>
          <t>Föryngringsavverkning</t>
        </is>
      </c>
      <c r="D1998" s="1" t="n">
        <v>45818</v>
      </c>
      <c r="E1998" s="1" t="n">
        <v>46313</v>
      </c>
      <c r="F1998" t="inlineStr">
        <is>
          <t>GÄVLEBORGS LÄN</t>
        </is>
      </c>
      <c r="G1998" t="inlineStr">
        <is>
          <t>BOLLNÄS</t>
        </is>
      </c>
      <c r="I1998" t="n">
        <v>0.6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s="2" t="inlineStr"/>
    </row>
    <row r="1999" ht="15" customHeight="1">
      <c r="A1999" t="inlineStr">
        <is>
          <t>A 28462-2025</t>
        </is>
      </c>
      <c r="B1999" t="inlineStr">
        <is>
          <t>avverkningsanmälan</t>
        </is>
      </c>
      <c r="C1999" t="inlineStr">
        <is>
          <t>Föryngringsavverkning</t>
        </is>
      </c>
      <c r="D1999" s="1" t="n">
        <v>45819</v>
      </c>
      <c r="E1999" s="1" t="n">
        <v>46313</v>
      </c>
      <c r="F1999" t="inlineStr">
        <is>
          <t>GÄVLEBORGS LÄN</t>
        </is>
      </c>
      <c r="G1999" t="inlineStr">
        <is>
          <t>BOLLNÄS</t>
        </is>
      </c>
      <c r="I1999" t="n">
        <v>0.8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s="2" t="inlineStr"/>
    </row>
    <row r="2000" ht="15" customHeight="1">
      <c r="A2000" t="inlineStr">
        <is>
          <t>A 28618-2025</t>
        </is>
      </c>
      <c r="B2000" t="inlineStr">
        <is>
          <t>avverkningsanmälan</t>
        </is>
      </c>
      <c r="C2000" t="inlineStr">
        <is>
          <t>Föryngringsavverkning</t>
        </is>
      </c>
      <c r="D2000" s="1" t="n">
        <v>45819</v>
      </c>
      <c r="E2000" s="1" t="n">
        <v>46313</v>
      </c>
      <c r="F2000" t="inlineStr">
        <is>
          <t>GÄVLEBORGS LÄN</t>
        </is>
      </c>
      <c r="G2000" t="inlineStr">
        <is>
          <t>BOLLNÄS</t>
        </is>
      </c>
      <c r="H2000" t="inlineStr">
        <is>
          <t>Bergvik skog väst AB</t>
        </is>
      </c>
      <c r="I2000" t="n">
        <v>11.7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s="2" t="inlineStr"/>
    </row>
    <row r="2001" ht="15" customHeight="1">
      <c r="A2001" t="inlineStr">
        <is>
          <t>A 28446-2025</t>
        </is>
      </c>
      <c r="B2001" t="inlineStr">
        <is>
          <t>avverkningsanmälan</t>
        </is>
      </c>
      <c r="C2001" t="inlineStr">
        <is>
          <t>Föryngringsavverkning</t>
        </is>
      </c>
      <c r="D2001" s="1" t="n">
        <v>45819</v>
      </c>
      <c r="E2001" s="1" t="n">
        <v>46313</v>
      </c>
      <c r="F2001" t="inlineStr">
        <is>
          <t>GÄVLEBORGS LÄN</t>
        </is>
      </c>
      <c r="G2001" t="inlineStr">
        <is>
          <t>BOLLNÄS</t>
        </is>
      </c>
      <c r="I2001" t="n">
        <v>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s="2" t="inlineStr"/>
    </row>
    <row r="2002" ht="15" customHeight="1">
      <c r="A2002" t="inlineStr">
        <is>
          <t>A 36061-2026</t>
        </is>
      </c>
      <c r="B2002" t="inlineStr">
        <is>
          <t>avverkningsanmälan</t>
        </is>
      </c>
      <c r="C2002" t="inlineStr">
        <is>
          <t>Föryngringsavverkning</t>
        </is>
      </c>
      <c r="D2002" s="1" t="n">
        <v>46267</v>
      </c>
      <c r="E2002" s="1" t="n">
        <v>46313</v>
      </c>
      <c r="F2002" t="inlineStr">
        <is>
          <t>GÄVLEBORGS LÄN</t>
        </is>
      </c>
      <c r="G2002" t="inlineStr">
        <is>
          <t>BOLLNÄS</t>
        </is>
      </c>
      <c r="H2002" t="inlineStr">
        <is>
          <t>Bergvik skog väst AB</t>
        </is>
      </c>
      <c r="I2002" t="n">
        <v>0.8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s="2" t="inlineStr"/>
    </row>
    <row r="2003" ht="15" customHeight="1">
      <c r="A2003" t="inlineStr">
        <is>
          <t>A 14030-2025</t>
        </is>
      </c>
      <c r="B2003" t="inlineStr">
        <is>
          <t>avverkningsanmälan</t>
        </is>
      </c>
      <c r="C2003" t="inlineStr">
        <is>
          <t>Avverkning för annat ändamål</t>
        </is>
      </c>
      <c r="D2003" s="1" t="n">
        <v>45740</v>
      </c>
      <c r="E2003" s="1" t="n">
        <v>46313</v>
      </c>
      <c r="F2003" t="inlineStr">
        <is>
          <t>GÄVLEBORGS LÄN</t>
        </is>
      </c>
      <c r="G2003" t="inlineStr">
        <is>
          <t>BOLLNÄS</t>
        </is>
      </c>
      <c r="I2003" t="n">
        <v>1.2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s="2" t="inlineStr"/>
    </row>
    <row r="2004" ht="15" customHeight="1">
      <c r="A2004" t="inlineStr">
        <is>
          <t>A 29575-2025</t>
        </is>
      </c>
      <c r="B2004" t="inlineStr">
        <is>
          <t>avverkningsanmälan</t>
        </is>
      </c>
      <c r="C2004" t="inlineStr">
        <is>
          <t>Föryngringsavverkning</t>
        </is>
      </c>
      <c r="D2004" s="1" t="n">
        <v>45825</v>
      </c>
      <c r="E2004" s="1" t="n">
        <v>46313</v>
      </c>
      <c r="F2004" t="inlineStr">
        <is>
          <t>GÄVLEBORGS LÄN</t>
        </is>
      </c>
      <c r="G2004" t="inlineStr">
        <is>
          <t>BOLLNÄS</t>
        </is>
      </c>
      <c r="I2004" t="n">
        <v>1.9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s="2" t="inlineStr"/>
    </row>
    <row r="2005" ht="15" customHeight="1">
      <c r="A2005" t="inlineStr">
        <is>
          <t>A 36529-2026</t>
        </is>
      </c>
      <c r="B2005" t="inlineStr">
        <is>
          <t>avverkningsanmälan</t>
        </is>
      </c>
      <c r="C2005" t="inlineStr">
        <is>
          <t>Föryngringsavverkning</t>
        </is>
      </c>
      <c r="D2005" s="1" t="n">
        <v>46269</v>
      </c>
      <c r="E2005" s="1" t="n">
        <v>46313</v>
      </c>
      <c r="F2005" t="inlineStr">
        <is>
          <t>GÄVLEBORGS LÄN</t>
        </is>
      </c>
      <c r="G2005" t="inlineStr">
        <is>
          <t>BOLLNÄS</t>
        </is>
      </c>
      <c r="H2005" t="inlineStr">
        <is>
          <t>Sveaskog</t>
        </is>
      </c>
      <c r="I2005" t="n">
        <v>3.9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s="2" t="inlineStr"/>
    </row>
    <row r="2006" ht="15" customHeight="1">
      <c r="A2006" t="inlineStr">
        <is>
          <t>A 36528-2026</t>
        </is>
      </c>
      <c r="B2006" t="inlineStr">
        <is>
          <t>avverkningsanmälan</t>
        </is>
      </c>
      <c r="C2006" t="inlineStr">
        <is>
          <t>Föryngringsavverkning</t>
        </is>
      </c>
      <c r="D2006" s="1" t="n">
        <v>46269</v>
      </c>
      <c r="E2006" s="1" t="n">
        <v>46313</v>
      </c>
      <c r="F2006" t="inlineStr">
        <is>
          <t>GÄVLEBORGS LÄN</t>
        </is>
      </c>
      <c r="G2006" t="inlineStr">
        <is>
          <t>BOLLNÄS</t>
        </is>
      </c>
      <c r="H2006" t="inlineStr">
        <is>
          <t>Sveaskog</t>
        </is>
      </c>
      <c r="I2006" t="n">
        <v>8.699999999999999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s="2" t="inlineStr"/>
    </row>
    <row r="2007" ht="15" customHeight="1">
      <c r="A2007" t="inlineStr">
        <is>
          <t>A 30292-2025</t>
        </is>
      </c>
      <c r="B2007" t="inlineStr">
        <is>
          <t>avverkningsanmälan</t>
        </is>
      </c>
      <c r="C2007" t="inlineStr">
        <is>
          <t>Föryngringsavverkning</t>
        </is>
      </c>
      <c r="D2007" s="1" t="n">
        <v>45827</v>
      </c>
      <c r="E2007" s="1" t="n">
        <v>46313</v>
      </c>
      <c r="F2007" t="inlineStr">
        <is>
          <t>GÄVLEBORGS LÄN</t>
        </is>
      </c>
      <c r="G2007" t="inlineStr">
        <is>
          <t>BOLLNÄS</t>
        </is>
      </c>
      <c r="I2007" t="n">
        <v>3.6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s="2" t="inlineStr"/>
    </row>
    <row r="2008" ht="15" customHeight="1">
      <c r="A2008" t="inlineStr">
        <is>
          <t>A 36574-2026</t>
        </is>
      </c>
      <c r="B2008" t="inlineStr">
        <is>
          <t>avverkningsanmälan</t>
        </is>
      </c>
      <c r="C2008" t="inlineStr">
        <is>
          <t>Föryngringsavverkning</t>
        </is>
      </c>
      <c r="D2008" s="1" t="n">
        <v>46269</v>
      </c>
      <c r="E2008" s="1" t="n">
        <v>46313</v>
      </c>
      <c r="F2008" t="inlineStr">
        <is>
          <t>GÄVLEBORGS LÄN</t>
        </is>
      </c>
      <c r="G2008" t="inlineStr">
        <is>
          <t>BOLLNÄS</t>
        </is>
      </c>
      <c r="H2008" t="inlineStr">
        <is>
          <t>Kommuner</t>
        </is>
      </c>
      <c r="I2008" t="n">
        <v>0.6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s="2" t="inlineStr"/>
    </row>
    <row r="2009" ht="15" customHeight="1">
      <c r="A2009" t="inlineStr">
        <is>
          <t>A 36579-2026</t>
        </is>
      </c>
      <c r="B2009" t="inlineStr">
        <is>
          <t>avverkningsanmälan</t>
        </is>
      </c>
      <c r="C2009" t="inlineStr">
        <is>
          <t>Föryngringsavverkning</t>
        </is>
      </c>
      <c r="D2009" s="1" t="n">
        <v>46269</v>
      </c>
      <c r="E2009" s="1" t="n">
        <v>46313</v>
      </c>
      <c r="F2009" t="inlineStr">
        <is>
          <t>GÄVLEBORGS LÄN</t>
        </is>
      </c>
      <c r="G2009" t="inlineStr">
        <is>
          <t>BOLLNÄS</t>
        </is>
      </c>
      <c r="I2009" t="n">
        <v>1.8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s="2" t="inlineStr"/>
    </row>
    <row r="2010" ht="15" customHeight="1">
      <c r="A2010" t="inlineStr">
        <is>
          <t>A 30458-2025</t>
        </is>
      </c>
      <c r="B2010" t="inlineStr">
        <is>
          <t>avverkningsanmälan</t>
        </is>
      </c>
      <c r="C2010" t="inlineStr">
        <is>
          <t>Föryngringsavverkning</t>
        </is>
      </c>
      <c r="D2010" s="1" t="n">
        <v>45827</v>
      </c>
      <c r="E2010" s="1" t="n">
        <v>46313</v>
      </c>
      <c r="F2010" t="inlineStr">
        <is>
          <t>GÄVLEBORGS LÄN</t>
        </is>
      </c>
      <c r="G2010" t="inlineStr">
        <is>
          <t>BOLLNÄS</t>
        </is>
      </c>
      <c r="I2010" t="n">
        <v>0.7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s="2" t="inlineStr"/>
    </row>
    <row r="2011" ht="15" customHeight="1">
      <c r="A2011" t="inlineStr">
        <is>
          <t>A 30456-2025</t>
        </is>
      </c>
      <c r="B2011" t="inlineStr">
        <is>
          <t>avverkningsanmälan</t>
        </is>
      </c>
      <c r="C2011" t="inlineStr">
        <is>
          <t>Föryngringsavverkning</t>
        </is>
      </c>
      <c r="D2011" s="1" t="n">
        <v>45827</v>
      </c>
      <c r="E2011" s="1" t="n">
        <v>46313</v>
      </c>
      <c r="F2011" t="inlineStr">
        <is>
          <t>GÄVLEBORGS LÄN</t>
        </is>
      </c>
      <c r="G2011" t="inlineStr">
        <is>
          <t>BOLLNÄS</t>
        </is>
      </c>
      <c r="I2011" t="n">
        <v>0.8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s="2" t="inlineStr"/>
    </row>
    <row r="2012" ht="15" customHeight="1">
      <c r="A2012" t="inlineStr">
        <is>
          <t>A 30455-2025</t>
        </is>
      </c>
      <c r="B2012" t="inlineStr">
        <is>
          <t>avverkningsanmälan</t>
        </is>
      </c>
      <c r="C2012" t="inlineStr">
        <is>
          <t>Föryngringsavverkning</t>
        </is>
      </c>
      <c r="D2012" s="1" t="n">
        <v>45827</v>
      </c>
      <c r="E2012" s="1" t="n">
        <v>46313</v>
      </c>
      <c r="F2012" t="inlineStr">
        <is>
          <t>GÄVLEBORGS LÄN</t>
        </is>
      </c>
      <c r="G2012" t="inlineStr">
        <is>
          <t>BOLLNÄS</t>
        </is>
      </c>
      <c r="I2012" t="n">
        <v>2.4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s="2" t="inlineStr"/>
    </row>
    <row r="2013" ht="15" customHeight="1">
      <c r="A2013" t="inlineStr">
        <is>
          <t>A 30650-2025</t>
        </is>
      </c>
      <c r="B2013" t="inlineStr">
        <is>
          <t>avverkningsanmälan</t>
        </is>
      </c>
      <c r="C2013" t="inlineStr">
        <is>
          <t>Föryngringsavverkning</t>
        </is>
      </c>
      <c r="D2013" s="1" t="n">
        <v>45831</v>
      </c>
      <c r="E2013" s="1" t="n">
        <v>46313</v>
      </c>
      <c r="F2013" t="inlineStr">
        <is>
          <t>GÄVLEBORGS LÄN</t>
        </is>
      </c>
      <c r="G2013" t="inlineStr">
        <is>
          <t>BOLLNÄS</t>
        </is>
      </c>
      <c r="I2013" t="n">
        <v>0.6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s="2" t="inlineStr"/>
    </row>
    <row r="2014" ht="15" customHeight="1">
      <c r="A2014" t="inlineStr">
        <is>
          <t>A 30749-2025</t>
        </is>
      </c>
      <c r="B2014" t="inlineStr">
        <is>
          <t>avverkningsanmälan</t>
        </is>
      </c>
      <c r="C2014" t="inlineStr">
        <is>
          <t>Föryngringsavverkning</t>
        </is>
      </c>
      <c r="D2014" s="1" t="n">
        <v>45831</v>
      </c>
      <c r="E2014" s="1" t="n">
        <v>46313</v>
      </c>
      <c r="F2014" t="inlineStr">
        <is>
          <t>GÄVLEBORGS LÄN</t>
        </is>
      </c>
      <c r="G2014" t="inlineStr">
        <is>
          <t>BOLLNÄS</t>
        </is>
      </c>
      <c r="H2014" t="inlineStr">
        <is>
          <t>Bergvik skog väst AB</t>
        </is>
      </c>
      <c r="I2014" t="n">
        <v>10.1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s="2" t="inlineStr"/>
    </row>
    <row r="2015" ht="15" customHeight="1">
      <c r="A2015" t="inlineStr">
        <is>
          <t>A 21061-2023</t>
        </is>
      </c>
      <c r="B2015" t="inlineStr">
        <is>
          <t>avverkningsanmälan</t>
        </is>
      </c>
      <c r="C2015" t="inlineStr">
        <is>
          <t>Föryngringsavverkning</t>
        </is>
      </c>
      <c r="D2015" s="1" t="n">
        <v>45061</v>
      </c>
      <c r="E2015" s="1" t="n">
        <v>46313</v>
      </c>
      <c r="F2015" t="inlineStr">
        <is>
          <t>GÄVLEBORGS LÄN</t>
        </is>
      </c>
      <c r="G2015" t="inlineStr">
        <is>
          <t>BOLLNÄS</t>
        </is>
      </c>
      <c r="I2015" t="n">
        <v>2.6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s="2" t="inlineStr"/>
    </row>
    <row r="2016" ht="15" customHeight="1">
      <c r="A2016" t="inlineStr">
        <is>
          <t>A 31374-2025</t>
        </is>
      </c>
      <c r="B2016" t="inlineStr">
        <is>
          <t>avverkningsanmälan</t>
        </is>
      </c>
      <c r="C2016" t="inlineStr">
        <is>
          <t>Föryngringsavverkning</t>
        </is>
      </c>
      <c r="D2016" s="1" t="n">
        <v>45833</v>
      </c>
      <c r="E2016" s="1" t="n">
        <v>46313</v>
      </c>
      <c r="F2016" t="inlineStr">
        <is>
          <t>GÄVLEBORGS LÄN</t>
        </is>
      </c>
      <c r="G2016" t="inlineStr">
        <is>
          <t>BOLLNÄS</t>
        </is>
      </c>
      <c r="I2016" t="n">
        <v>1.7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s="2" t="inlineStr"/>
    </row>
    <row r="2017" ht="15" customHeight="1">
      <c r="A2017" t="inlineStr">
        <is>
          <t>A 31954-2025</t>
        </is>
      </c>
      <c r="B2017" t="inlineStr">
        <is>
          <t>avverkningsanmälan</t>
        </is>
      </c>
      <c r="C2017" t="inlineStr">
        <is>
          <t>Föryngringsavverkning</t>
        </is>
      </c>
      <c r="D2017" s="1" t="n">
        <v>45835</v>
      </c>
      <c r="E2017" s="1" t="n">
        <v>46313</v>
      </c>
      <c r="F2017" t="inlineStr">
        <is>
          <t>GÄVLEBORGS LÄN</t>
        </is>
      </c>
      <c r="G2017" t="inlineStr">
        <is>
          <t>BOLLNÄS</t>
        </is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s="2" t="inlineStr"/>
    </row>
    <row r="2018" ht="15" customHeight="1">
      <c r="A2018" t="inlineStr">
        <is>
          <t>A 31719-2025</t>
        </is>
      </c>
      <c r="B2018" t="inlineStr">
        <is>
          <t>avverkningsanmälan</t>
        </is>
      </c>
      <c r="C2018" t="inlineStr">
        <is>
          <t>Föryngringsavverkning</t>
        </is>
      </c>
      <c r="D2018" s="1" t="n">
        <v>45834</v>
      </c>
      <c r="E2018" s="1" t="n">
        <v>46313</v>
      </c>
      <c r="F2018" t="inlineStr">
        <is>
          <t>GÄVLEBORGS LÄN</t>
        </is>
      </c>
      <c r="G2018" t="inlineStr">
        <is>
          <t>BOLLNÄS</t>
        </is>
      </c>
      <c r="I2018" t="n">
        <v>2.7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s="2" t="inlineStr"/>
    </row>
    <row r="2019" ht="15" customHeight="1">
      <c r="A2019" t="inlineStr">
        <is>
          <t>A 34941-2024</t>
        </is>
      </c>
      <c r="B2019" t="inlineStr">
        <is>
          <t>avverkningsanmälan</t>
        </is>
      </c>
      <c r="C2019" t="inlineStr">
        <is>
          <t>Föryngringsavverkning</t>
        </is>
      </c>
      <c r="D2019" s="1" t="n">
        <v>45527</v>
      </c>
      <c r="E2019" s="1" t="n">
        <v>46313</v>
      </c>
      <c r="F2019" t="inlineStr">
        <is>
          <t>GÄVLEBORGS LÄN</t>
        </is>
      </c>
      <c r="G2019" t="inlineStr">
        <is>
          <t>BOLLNÄS</t>
        </is>
      </c>
      <c r="H2019" t="inlineStr">
        <is>
          <t>Bergvik skog väst AB</t>
        </is>
      </c>
      <c r="I2019" t="n">
        <v>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s="2" t="inlineStr"/>
    </row>
    <row r="2020" ht="15" customHeight="1">
      <c r="A2020" t="inlineStr">
        <is>
          <t>A 31948-2025</t>
        </is>
      </c>
      <c r="B2020" t="inlineStr">
        <is>
          <t>avverkningsanmälan</t>
        </is>
      </c>
      <c r="C2020" t="inlineStr">
        <is>
          <t>Föryngringsavverkning</t>
        </is>
      </c>
      <c r="D2020" s="1" t="n">
        <v>45835</v>
      </c>
      <c r="E2020" s="1" t="n">
        <v>46313</v>
      </c>
      <c r="F2020" t="inlineStr">
        <is>
          <t>GÄVLEBORGS LÄN</t>
        </is>
      </c>
      <c r="G2020" t="inlineStr">
        <is>
          <t>BOLLNÄS</t>
        </is>
      </c>
      <c r="H2020" t="inlineStr">
        <is>
          <t>Bergvik skog väst AB</t>
        </is>
      </c>
      <c r="I2020" t="n">
        <v>0.9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s="2" t="inlineStr"/>
    </row>
    <row r="2021" ht="15" customHeight="1">
      <c r="A2021" t="inlineStr">
        <is>
          <t>A 31971-2025</t>
        </is>
      </c>
      <c r="B2021" t="inlineStr">
        <is>
          <t>avverkningsanmälan</t>
        </is>
      </c>
      <c r="C2021" t="inlineStr">
        <is>
          <t>Föryngringsavverkning</t>
        </is>
      </c>
      <c r="D2021" s="1" t="n">
        <v>45835</v>
      </c>
      <c r="E2021" s="1" t="n">
        <v>46313</v>
      </c>
      <c r="F2021" t="inlineStr">
        <is>
          <t>GÄVLEBORGS LÄN</t>
        </is>
      </c>
      <c r="G2021" t="inlineStr">
        <is>
          <t>BOLLNÄS</t>
        </is>
      </c>
      <c r="H2021" t="inlineStr">
        <is>
          <t>Bergvik skog väst AB</t>
        </is>
      </c>
      <c r="I2021" t="n">
        <v>3.2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s="2" t="inlineStr"/>
    </row>
    <row r="2022" ht="15" customHeight="1">
      <c r="A2022" t="inlineStr">
        <is>
          <t>A 32405-2025</t>
        </is>
      </c>
      <c r="B2022" t="inlineStr">
        <is>
          <t>avverkningsanmälan</t>
        </is>
      </c>
      <c r="C2022" t="inlineStr">
        <is>
          <t>Föryngringsavverkning</t>
        </is>
      </c>
      <c r="D2022" s="1" t="n">
        <v>45838</v>
      </c>
      <c r="E2022" s="1" t="n">
        <v>46313</v>
      </c>
      <c r="F2022" t="inlineStr">
        <is>
          <t>GÄVLEBORGS LÄN</t>
        </is>
      </c>
      <c r="G2022" t="inlineStr">
        <is>
          <t>BOLLNÄS</t>
        </is>
      </c>
      <c r="H2022" t="inlineStr">
        <is>
          <t>Bergvik skog väst AB</t>
        </is>
      </c>
      <c r="I2022" t="n">
        <v>3.6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s="2" t="inlineStr"/>
    </row>
    <row r="2023" ht="15" customHeight="1">
      <c r="A2023" t="inlineStr">
        <is>
          <t>A 32603-2025</t>
        </is>
      </c>
      <c r="B2023" t="inlineStr">
        <is>
          <t>avverkningsanmälan</t>
        </is>
      </c>
      <c r="C2023" t="inlineStr">
        <is>
          <t>Föryngringsavverkning</t>
        </is>
      </c>
      <c r="D2023" s="1" t="n">
        <v>45838</v>
      </c>
      <c r="E2023" s="1" t="n">
        <v>46313</v>
      </c>
      <c r="F2023" t="inlineStr">
        <is>
          <t>GÄVLEBORGS LÄN</t>
        </is>
      </c>
      <c r="G2023" t="inlineStr">
        <is>
          <t>BOLLNÄS</t>
        </is>
      </c>
      <c r="I2023" t="n">
        <v>2.3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s="2" t="inlineStr"/>
    </row>
    <row r="2024" ht="15" customHeight="1">
      <c r="A2024" t="inlineStr">
        <is>
          <t>A 33624-2025</t>
        </is>
      </c>
      <c r="B2024" t="inlineStr">
        <is>
          <t>avverkningsanmälan</t>
        </is>
      </c>
      <c r="C2024" t="inlineStr">
        <is>
          <t>Föryngringsavverkning</t>
        </is>
      </c>
      <c r="D2024" s="1" t="n">
        <v>45841</v>
      </c>
      <c r="E2024" s="1" t="n">
        <v>46313</v>
      </c>
      <c r="F2024" t="inlineStr">
        <is>
          <t>GÄVLEBORGS LÄN</t>
        </is>
      </c>
      <c r="G2024" t="inlineStr">
        <is>
          <t>BOLLNÄS</t>
        </is>
      </c>
      <c r="I2024" t="n">
        <v>1.2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s="2" t="inlineStr"/>
    </row>
    <row r="2025" ht="15" customHeight="1">
      <c r="A2025" t="inlineStr">
        <is>
          <t>A 33259-2025</t>
        </is>
      </c>
      <c r="B2025" t="inlineStr">
        <is>
          <t>avverkningsanmälan</t>
        </is>
      </c>
      <c r="C2025" t="inlineStr">
        <is>
          <t>Föryngringsavverkning</t>
        </is>
      </c>
      <c r="D2025" s="1" t="n">
        <v>45840</v>
      </c>
      <c r="E2025" s="1" t="n">
        <v>46313</v>
      </c>
      <c r="F2025" t="inlineStr">
        <is>
          <t>GÄVLEBORGS LÄN</t>
        </is>
      </c>
      <c r="G2025" t="inlineStr">
        <is>
          <t>BOLLNÄS</t>
        </is>
      </c>
      <c r="I2025" t="n">
        <v>0.6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s="2" t="inlineStr"/>
    </row>
    <row r="2026" ht="15" customHeight="1">
      <c r="A2026" t="inlineStr">
        <is>
          <t>A 33137-2025</t>
        </is>
      </c>
      <c r="B2026" t="inlineStr">
        <is>
          <t>avverkningsanmälan</t>
        </is>
      </c>
      <c r="C2026" t="inlineStr">
        <is>
          <t>Föryngringsavverkning</t>
        </is>
      </c>
      <c r="D2026" s="1" t="n">
        <v>45840</v>
      </c>
      <c r="E2026" s="1" t="n">
        <v>46313</v>
      </c>
      <c r="F2026" t="inlineStr">
        <is>
          <t>GÄVLEBORGS LÄN</t>
        </is>
      </c>
      <c r="G2026" t="inlineStr">
        <is>
          <t>BOLLNÄS</t>
        </is>
      </c>
      <c r="H2026" t="inlineStr">
        <is>
          <t>Bergvik skog väst AB</t>
        </is>
      </c>
      <c r="I2026" t="n">
        <v>3.8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s="2" t="inlineStr"/>
    </row>
    <row r="2027" ht="15" customHeight="1">
      <c r="A2027" t="inlineStr">
        <is>
          <t>A 34239-2025</t>
        </is>
      </c>
      <c r="B2027" t="inlineStr">
        <is>
          <t>avverkningsanmälan</t>
        </is>
      </c>
      <c r="C2027" t="inlineStr">
        <is>
          <t>Föryngringsavverkning</t>
        </is>
      </c>
      <c r="D2027" s="1" t="n">
        <v>45845</v>
      </c>
      <c r="E2027" s="1" t="n">
        <v>46313</v>
      </c>
      <c r="F2027" t="inlineStr">
        <is>
          <t>GÄVLEBORGS LÄN</t>
        </is>
      </c>
      <c r="G2027" t="inlineStr">
        <is>
          <t>BOLLNÄS</t>
        </is>
      </c>
      <c r="I2027" t="n">
        <v>4.7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s="2" t="inlineStr"/>
    </row>
    <row r="2028" ht="15" customHeight="1">
      <c r="A2028" t="inlineStr">
        <is>
          <t>A 34216-2025</t>
        </is>
      </c>
      <c r="B2028" t="inlineStr">
        <is>
          <t>avverkningsanmälan</t>
        </is>
      </c>
      <c r="C2028" t="inlineStr">
        <is>
          <t>Föryngringsavverkning</t>
        </is>
      </c>
      <c r="D2028" s="1" t="n">
        <v>45845</v>
      </c>
      <c r="E2028" s="1" t="n">
        <v>46313</v>
      </c>
      <c r="F2028" t="inlineStr">
        <is>
          <t>GÄVLEBORGS LÄN</t>
        </is>
      </c>
      <c r="G2028" t="inlineStr">
        <is>
          <t>BOLLNÄS</t>
        </is>
      </c>
      <c r="I2028" t="n">
        <v>0.6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s="2" t="inlineStr"/>
    </row>
    <row r="2029" ht="15" customHeight="1">
      <c r="A2029" t="inlineStr">
        <is>
          <t>A 34233-2025</t>
        </is>
      </c>
      <c r="B2029" t="inlineStr">
        <is>
          <t>avverkningsanmälan</t>
        </is>
      </c>
      <c r="C2029" t="inlineStr">
        <is>
          <t>Föryngringsavverkning</t>
        </is>
      </c>
      <c r="D2029" s="1" t="n">
        <v>45845</v>
      </c>
      <c r="E2029" s="1" t="n">
        <v>46313</v>
      </c>
      <c r="F2029" t="inlineStr">
        <is>
          <t>GÄVLEBORGS LÄN</t>
        </is>
      </c>
      <c r="G2029" t="inlineStr">
        <is>
          <t>BOLLNÄS</t>
        </is>
      </c>
      <c r="I2029" t="n">
        <v>3.9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s="2" t="inlineStr"/>
    </row>
    <row r="2030" ht="15" customHeight="1">
      <c r="A2030" t="inlineStr">
        <is>
          <t>A 33944-2025</t>
        </is>
      </c>
      <c r="B2030" t="inlineStr">
        <is>
          <t>avverkningsanmälan</t>
        </is>
      </c>
      <c r="C2030" t="inlineStr">
        <is>
          <t>Föryngringsavverkning</t>
        </is>
      </c>
      <c r="D2030" s="1" t="n">
        <v>45842</v>
      </c>
      <c r="E2030" s="1" t="n">
        <v>46313</v>
      </c>
      <c r="F2030" t="inlineStr">
        <is>
          <t>GÄVLEBORGS LÄN</t>
        </is>
      </c>
      <c r="G2030" t="inlineStr">
        <is>
          <t>BOLLNÄS</t>
        </is>
      </c>
      <c r="I2030" t="n">
        <v>0.5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s="2" t="inlineStr"/>
    </row>
    <row r="2031" ht="15" customHeight="1">
      <c r="A2031" t="inlineStr">
        <is>
          <t>A 34224-2025</t>
        </is>
      </c>
      <c r="B2031" t="inlineStr">
        <is>
          <t>avverkningsanmälan</t>
        </is>
      </c>
      <c r="C2031" t="inlineStr">
        <is>
          <t>Föryngringsavverkning</t>
        </is>
      </c>
      <c r="D2031" s="1" t="n">
        <v>45845</v>
      </c>
      <c r="E2031" s="1" t="n">
        <v>46313</v>
      </c>
      <c r="F2031" t="inlineStr">
        <is>
          <t>GÄVLEBORGS LÄN</t>
        </is>
      </c>
      <c r="G2031" t="inlineStr">
        <is>
          <t>BOLLNÄS</t>
        </is>
      </c>
      <c r="I2031" t="n">
        <v>2.6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s="2" t="inlineStr"/>
    </row>
    <row r="2032" ht="15" customHeight="1">
      <c r="A2032" t="inlineStr">
        <is>
          <t>A 34481-2025</t>
        </is>
      </c>
      <c r="B2032" t="inlineStr">
        <is>
          <t>avverkningsanmälan</t>
        </is>
      </c>
      <c r="C2032" t="inlineStr">
        <is>
          <t>Avverkning för annat ändamål</t>
        </is>
      </c>
      <c r="D2032" s="1" t="n">
        <v>45847</v>
      </c>
      <c r="E2032" s="1" t="n">
        <v>46313</v>
      </c>
      <c r="F2032" t="inlineStr">
        <is>
          <t>GÄVLEBORGS LÄN</t>
        </is>
      </c>
      <c r="G2032" t="inlineStr">
        <is>
          <t>BOLLNÄS</t>
        </is>
      </c>
      <c r="I2032" t="n">
        <v>0.3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s="2" t="inlineStr"/>
    </row>
    <row r="2033" ht="15" customHeight="1">
      <c r="A2033" t="inlineStr">
        <is>
          <t>A 34553-2025</t>
        </is>
      </c>
      <c r="B2033" t="inlineStr">
        <is>
          <t>avverkningsanmälan</t>
        </is>
      </c>
      <c r="C2033" t="inlineStr">
        <is>
          <t>Föryngringsavverkning</t>
        </is>
      </c>
      <c r="D2033" s="1" t="n">
        <v>45847</v>
      </c>
      <c r="E2033" s="1" t="n">
        <v>46313</v>
      </c>
      <c r="F2033" t="inlineStr">
        <is>
          <t>GÄVLEBORGS LÄN</t>
        </is>
      </c>
      <c r="G2033" t="inlineStr">
        <is>
          <t>BOLLNÄS</t>
        </is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s="2" t="inlineStr"/>
    </row>
    <row r="2034" ht="15" customHeight="1">
      <c r="A2034" t="inlineStr">
        <is>
          <t>A 34688-2025</t>
        </is>
      </c>
      <c r="B2034" t="inlineStr">
        <is>
          <t>avverkningsanmälan</t>
        </is>
      </c>
      <c r="C2034" t="inlineStr">
        <is>
          <t>Föryngringsavverkning</t>
        </is>
      </c>
      <c r="D2034" s="1" t="n">
        <v>45848</v>
      </c>
      <c r="E2034" s="1" t="n">
        <v>46313</v>
      </c>
      <c r="F2034" t="inlineStr">
        <is>
          <t>GÄVLEBORGS LÄN</t>
        </is>
      </c>
      <c r="G2034" t="inlineStr">
        <is>
          <t>BOLLNÄS</t>
        </is>
      </c>
      <c r="H2034" t="inlineStr">
        <is>
          <t>Holmen skog AB</t>
        </is>
      </c>
      <c r="I2034" t="n">
        <v>32.6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s="2" t="inlineStr"/>
    </row>
    <row r="2035" ht="15" customHeight="1">
      <c r="A2035" t="inlineStr">
        <is>
          <t>A 16627-2025</t>
        </is>
      </c>
      <c r="B2035" t="inlineStr">
        <is>
          <t>avverkningsanmälan</t>
        </is>
      </c>
      <c r="C2035" t="inlineStr">
        <is>
          <t>Föryngringsavverkning</t>
        </is>
      </c>
      <c r="D2035" s="1" t="n">
        <v>45754</v>
      </c>
      <c r="E2035" s="1" t="n">
        <v>46313</v>
      </c>
      <c r="F2035" t="inlineStr">
        <is>
          <t>GÄVLEBORGS LÄN</t>
        </is>
      </c>
      <c r="G2035" t="inlineStr">
        <is>
          <t>BOLLNÄS</t>
        </is>
      </c>
      <c r="I2035" t="n">
        <v>1.6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s="2" t="inlineStr"/>
    </row>
    <row r="2036" ht="15" customHeight="1">
      <c r="A2036" t="inlineStr">
        <is>
          <t>A 36228-2025</t>
        </is>
      </c>
      <c r="B2036" t="inlineStr">
        <is>
          <t>avverkningsanmälan</t>
        </is>
      </c>
      <c r="C2036" t="inlineStr">
        <is>
          <t>Föryngringsavverkning</t>
        </is>
      </c>
      <c r="D2036" s="1" t="n">
        <v>45867</v>
      </c>
      <c r="E2036" s="1" t="n">
        <v>46313</v>
      </c>
      <c r="F2036" t="inlineStr">
        <is>
          <t>GÄVLEBORGS LÄN</t>
        </is>
      </c>
      <c r="G2036" t="inlineStr">
        <is>
          <t>BOLLNÄS</t>
        </is>
      </c>
      <c r="I2036" t="n">
        <v>1.9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s="2" t="inlineStr"/>
    </row>
    <row r="2037" ht="15" customHeight="1">
      <c r="A2037" t="inlineStr">
        <is>
          <t>A 36234-2025</t>
        </is>
      </c>
      <c r="B2037" t="inlineStr">
        <is>
          <t>avverkningsanmälan</t>
        </is>
      </c>
      <c r="C2037" t="inlineStr">
        <is>
          <t>Föryngringsavverkning</t>
        </is>
      </c>
      <c r="D2037" s="1" t="n">
        <v>45867</v>
      </c>
      <c r="E2037" s="1" t="n">
        <v>46313</v>
      </c>
      <c r="F2037" t="inlineStr">
        <is>
          <t>GÄVLEBORGS LÄN</t>
        </is>
      </c>
      <c r="G2037" t="inlineStr">
        <is>
          <t>BOLLNÄS</t>
        </is>
      </c>
      <c r="I2037" t="n">
        <v>1.9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s="2" t="inlineStr"/>
    </row>
    <row r="2038" ht="15" customHeight="1">
      <c r="A2038" t="inlineStr">
        <is>
          <t>A 36265-2025</t>
        </is>
      </c>
      <c r="B2038" t="inlineStr">
        <is>
          <t>avverkningsanmälan</t>
        </is>
      </c>
      <c r="C2038" t="inlineStr">
        <is>
          <t>Föryngringsavverkning</t>
        </is>
      </c>
      <c r="D2038" s="1" t="n">
        <v>45867</v>
      </c>
      <c r="E2038" s="1" t="n">
        <v>46313</v>
      </c>
      <c r="F2038" t="inlineStr">
        <is>
          <t>GÄVLEBORGS LÄN</t>
        </is>
      </c>
      <c r="G2038" t="inlineStr">
        <is>
          <t>BOLLNÄS</t>
        </is>
      </c>
      <c r="I2038" t="n">
        <v>1.1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s="2" t="inlineStr"/>
    </row>
    <row r="2039" ht="15" customHeight="1">
      <c r="A2039" t="inlineStr">
        <is>
          <t>A 36482-2025</t>
        </is>
      </c>
      <c r="B2039" t="inlineStr">
        <is>
          <t>avverkningsanmälan</t>
        </is>
      </c>
      <c r="C2039" t="inlineStr">
        <is>
          <t>Föryngringsavverkning</t>
        </is>
      </c>
      <c r="D2039" s="1" t="n">
        <v>45869</v>
      </c>
      <c r="E2039" s="1" t="n">
        <v>46313</v>
      </c>
      <c r="F2039" t="inlineStr">
        <is>
          <t>GÄVLEBORGS LÄN</t>
        </is>
      </c>
      <c r="G2039" t="inlineStr">
        <is>
          <t>BOLLNÄS</t>
        </is>
      </c>
      <c r="I2039" t="n">
        <v>0.6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s="2" t="inlineStr"/>
    </row>
    <row r="2040" ht="15" customHeight="1">
      <c r="A2040" t="inlineStr">
        <is>
          <t>A 36957-2025</t>
        </is>
      </c>
      <c r="B2040" t="inlineStr">
        <is>
          <t>avverkningsanmälan</t>
        </is>
      </c>
      <c r="C2040" t="inlineStr">
        <is>
          <t>Föryngringsavverkning</t>
        </is>
      </c>
      <c r="D2040" s="1" t="n">
        <v>45874</v>
      </c>
      <c r="E2040" s="1" t="n">
        <v>46313</v>
      </c>
      <c r="F2040" t="inlineStr">
        <is>
          <t>GÄVLEBORGS LÄN</t>
        </is>
      </c>
      <c r="G2040" t="inlineStr">
        <is>
          <t>BOLLNÄS</t>
        </is>
      </c>
      <c r="H2040" t="inlineStr">
        <is>
          <t>Bergvik skog väst AB</t>
        </is>
      </c>
      <c r="I2040" t="n">
        <v>7.2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s="2" t="inlineStr"/>
    </row>
    <row r="2041" ht="15" customHeight="1">
      <c r="A2041" t="inlineStr">
        <is>
          <t>A 37987-2025</t>
        </is>
      </c>
      <c r="B2041" t="inlineStr">
        <is>
          <t>avverkningsanmälan</t>
        </is>
      </c>
      <c r="C2041" t="inlineStr">
        <is>
          <t>Föryngringsavverkning</t>
        </is>
      </c>
      <c r="D2041" s="1" t="n">
        <v>45881</v>
      </c>
      <c r="E2041" s="1" t="n">
        <v>46313</v>
      </c>
      <c r="F2041" t="inlineStr">
        <is>
          <t>GÄVLEBORGS LÄN</t>
        </is>
      </c>
      <c r="G2041" t="inlineStr">
        <is>
          <t>BOLLNÄS</t>
        </is>
      </c>
      <c r="I2041" t="n">
        <v>5.6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s="2" t="inlineStr"/>
    </row>
    <row r="2042" ht="15" customHeight="1">
      <c r="A2042" t="inlineStr">
        <is>
          <t>A 37631-2025</t>
        </is>
      </c>
      <c r="B2042" t="inlineStr">
        <is>
          <t>avverkningsanmälan</t>
        </is>
      </c>
      <c r="C2042" t="inlineStr">
        <is>
          <t>Föryngringsavverkning</t>
        </is>
      </c>
      <c r="D2042" s="1" t="n">
        <v>45880</v>
      </c>
      <c r="E2042" s="1" t="n">
        <v>46313</v>
      </c>
      <c r="F2042" t="inlineStr">
        <is>
          <t>GÄVLEBORGS LÄN</t>
        </is>
      </c>
      <c r="G2042" t="inlineStr">
        <is>
          <t>BOLLNÄS</t>
        </is>
      </c>
      <c r="I2042" t="n">
        <v>8.699999999999999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s="2" t="inlineStr"/>
    </row>
    <row r="2043" ht="15" customHeight="1">
      <c r="A2043" t="inlineStr">
        <is>
          <t>A 38074-2025</t>
        </is>
      </c>
      <c r="B2043" t="inlineStr">
        <is>
          <t>avverkningsanmälan</t>
        </is>
      </c>
      <c r="C2043" t="inlineStr">
        <is>
          <t>Föryngringsavverkning</t>
        </is>
      </c>
      <c r="D2043" s="1" t="n">
        <v>45882</v>
      </c>
      <c r="E2043" s="1" t="n">
        <v>46313</v>
      </c>
      <c r="F2043" t="inlineStr">
        <is>
          <t>GÄVLEBORGS LÄN</t>
        </is>
      </c>
      <c r="G2043" t="inlineStr">
        <is>
          <t>BOLLNÄS</t>
        </is>
      </c>
      <c r="I2043" t="n">
        <v>2.6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s="2" t="inlineStr"/>
    </row>
    <row r="2044" ht="15" customHeight="1">
      <c r="A2044" t="inlineStr">
        <is>
          <t>A 38248-2025</t>
        </is>
      </c>
      <c r="B2044" t="inlineStr">
        <is>
          <t>avverkningsanmälan</t>
        </is>
      </c>
      <c r="C2044" t="inlineStr">
        <is>
          <t>Föryngringsavverkning</t>
        </is>
      </c>
      <c r="D2044" s="1" t="n">
        <v>45883</v>
      </c>
      <c r="E2044" s="1" t="n">
        <v>46313</v>
      </c>
      <c r="F2044" t="inlineStr">
        <is>
          <t>GÄVLEBORGS LÄN</t>
        </is>
      </c>
      <c r="G2044" t="inlineStr">
        <is>
          <t>BOLLNÄS</t>
        </is>
      </c>
      <c r="I2044" t="n">
        <v>1.1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s="2" t="inlineStr"/>
    </row>
    <row r="2045" ht="15" customHeight="1">
      <c r="A2045" t="inlineStr">
        <is>
          <t>S 4000-2023</t>
        </is>
      </c>
      <c r="B2045" t="inlineStr">
        <is>
          <t>samrådsanmälan</t>
        </is>
      </c>
      <c r="C2045" t="inlineStr">
        <is>
          <t>Skogsgödsling</t>
        </is>
      </c>
      <c r="D2045" s="1" t="n">
        <v>45237</v>
      </c>
      <c r="E2045" s="1" t="n">
        <v>46313</v>
      </c>
      <c r="F2045" t="inlineStr">
        <is>
          <t>GÄVLEBORGS LÄN</t>
        </is>
      </c>
      <c r="G2045" t="inlineStr">
        <is>
          <t>BOLLNÄS</t>
        </is>
      </c>
      <c r="H2045" t="inlineStr">
        <is>
          <t>Holmen skog AB</t>
        </is>
      </c>
      <c r="I2045" t="n">
        <v>16.2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s="2" t="inlineStr"/>
    </row>
    <row r="2046" ht="15" customHeight="1">
      <c r="A2046" t="inlineStr">
        <is>
          <t>S 10329-2021</t>
        </is>
      </c>
      <c r="B2046" t="inlineStr">
        <is>
          <t>samrådsanmälan</t>
        </is>
      </c>
      <c r="C2046" t="inlineStr">
        <is>
          <t>Skogsgödsling</t>
        </is>
      </c>
      <c r="D2046" s="1" t="n">
        <v>44546</v>
      </c>
      <c r="E2046" s="1" t="n">
        <v>46313</v>
      </c>
      <c r="F2046" t="inlineStr">
        <is>
          <t>GÄVLEBORGS LÄN</t>
        </is>
      </c>
      <c r="G2046" t="inlineStr">
        <is>
          <t>BOLLNÄS</t>
        </is>
      </c>
      <c r="H2046" t="inlineStr">
        <is>
          <t>Sveaskog</t>
        </is>
      </c>
      <c r="I2046" t="n">
        <v>188.9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s="2" t="inlineStr"/>
    </row>
    <row r="2047" ht="15" customHeight="1">
      <c r="A2047" t="inlineStr">
        <is>
          <t>S 972-2023</t>
        </is>
      </c>
      <c r="B2047" t="inlineStr">
        <is>
          <t>samrådsanmälan</t>
        </is>
      </c>
      <c r="C2047" t="inlineStr">
        <is>
          <t>Annan skogsbruksåtgärd</t>
        </is>
      </c>
      <c r="D2047" s="1" t="n">
        <v>45005</v>
      </c>
      <c r="E2047" s="1" t="n">
        <v>46313</v>
      </c>
      <c r="F2047" t="inlineStr">
        <is>
          <t>GÄVLEBORGS LÄN</t>
        </is>
      </c>
      <c r="G2047" t="inlineStr">
        <is>
          <t>BOLLNÄS</t>
        </is>
      </c>
      <c r="I2047" t="n">
        <v>0.1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s="2" t="inlineStr"/>
    </row>
    <row r="2048" ht="15" customHeight="1">
      <c r="A2048" t="inlineStr">
        <is>
          <t>S 392-2025</t>
        </is>
      </c>
      <c r="B2048" t="inlineStr">
        <is>
          <t>samrådsanmälan</t>
        </is>
      </c>
      <c r="C2048" t="inlineStr">
        <is>
          <t>Skogsgödsling</t>
        </is>
      </c>
      <c r="D2048" s="1" t="n">
        <v>45695</v>
      </c>
      <c r="E2048" s="1" t="n">
        <v>46313</v>
      </c>
      <c r="F2048" t="inlineStr">
        <is>
          <t>GÄVLEBORGS LÄN</t>
        </is>
      </c>
      <c r="G2048" t="inlineStr">
        <is>
          <t>BOLLNÄS</t>
        </is>
      </c>
      <c r="H2048" t="inlineStr">
        <is>
          <t>Bergvik skog öst AB</t>
        </is>
      </c>
      <c r="I2048" t="n">
        <v>32.2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s="2" t="inlineStr"/>
    </row>
    <row r="2049" ht="15" customHeight="1">
      <c r="A2049" t="inlineStr">
        <is>
          <t>S 5000-2024</t>
        </is>
      </c>
      <c r="B2049" t="inlineStr">
        <is>
          <t>samrådsanmälan</t>
        </is>
      </c>
      <c r="C2049" t="inlineStr">
        <is>
          <t>Annan skogsbruksåtgärd</t>
        </is>
      </c>
      <c r="D2049" s="1" t="n">
        <v>45631</v>
      </c>
      <c r="E2049" s="1" t="n">
        <v>46313</v>
      </c>
      <c r="F2049" t="inlineStr">
        <is>
          <t>GÄVLEBORGS LÄN</t>
        </is>
      </c>
      <c r="G2049" t="inlineStr">
        <is>
          <t>BOLLNÄS</t>
        </is>
      </c>
      <c r="I2049" t="n">
        <v>3.7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s="2" t="inlineStr"/>
    </row>
    <row r="2050" ht="15" customHeight="1">
      <c r="A2050" t="inlineStr">
        <is>
          <t>S 400-2025</t>
        </is>
      </c>
      <c r="B2050" t="inlineStr">
        <is>
          <t>samrådsanmälan</t>
        </is>
      </c>
      <c r="C2050" t="inlineStr">
        <is>
          <t>Skogsgödsling</t>
        </is>
      </c>
      <c r="D2050" s="1" t="n">
        <v>45699</v>
      </c>
      <c r="E2050" s="1" t="n">
        <v>46313</v>
      </c>
      <c r="F2050" t="inlineStr">
        <is>
          <t>GÄVLEBORGS LÄN</t>
        </is>
      </c>
      <c r="G2050" t="inlineStr">
        <is>
          <t>BOLLNÄS</t>
        </is>
      </c>
      <c r="H2050" t="inlineStr">
        <is>
          <t>Bergvik skog öst AB</t>
        </is>
      </c>
      <c r="I2050" t="n">
        <v>32.2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s="2" t="inlineStr"/>
    </row>
    <row r="2051" ht="15" customHeight="1">
      <c r="A2051" t="inlineStr">
        <is>
          <t>S 1092-2024</t>
        </is>
      </c>
      <c r="B2051" t="inlineStr">
        <is>
          <t>samrådsanmälan</t>
        </is>
      </c>
      <c r="C2051" t="inlineStr">
        <is>
          <t>Skogsgödsling</t>
        </is>
      </c>
      <c r="D2051" s="1" t="n">
        <v>45391</v>
      </c>
      <c r="E2051" s="1" t="n">
        <v>46313</v>
      </c>
      <c r="F2051" t="inlineStr">
        <is>
          <t>GÄVLEBORGS LÄN</t>
        </is>
      </c>
      <c r="G2051" t="inlineStr">
        <is>
          <t>BOLLNÄS</t>
        </is>
      </c>
      <c r="H2051" t="inlineStr">
        <is>
          <t>Bergvik skog väst AB</t>
        </is>
      </c>
      <c r="I2051" t="n">
        <v>523.4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s="2" t="inlineStr"/>
    </row>
    <row r="2052" ht="15" customHeight="1">
      <c r="A2052" t="inlineStr">
        <is>
          <t>S 188-2022</t>
        </is>
      </c>
      <c r="B2052" t="inlineStr">
        <is>
          <t>samrådsanmälan</t>
        </is>
      </c>
      <c r="C2052" t="inlineStr">
        <is>
          <t>Skogsgödsling</t>
        </is>
      </c>
      <c r="D2052" s="1" t="n">
        <v>44566</v>
      </c>
      <c r="E2052" s="1" t="n">
        <v>46313</v>
      </c>
      <c r="F2052" t="inlineStr">
        <is>
          <t>GÄVLEBORGS LÄN</t>
        </is>
      </c>
      <c r="G2052" t="inlineStr">
        <is>
          <t>BOLLNÄS</t>
        </is>
      </c>
      <c r="H2052" t="inlineStr">
        <is>
          <t>Bergvik skog väst AB</t>
        </is>
      </c>
      <c r="I2052" t="n">
        <v>17.9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s="2" t="inlineStr"/>
    </row>
    <row r="2053" ht="15" customHeight="1">
      <c r="A2053" t="inlineStr">
        <is>
          <t>S 180-2022</t>
        </is>
      </c>
      <c r="B2053" t="inlineStr">
        <is>
          <t>samrådsanmälan</t>
        </is>
      </c>
      <c r="C2053" t="inlineStr">
        <is>
          <t>Skogsgödsling</t>
        </is>
      </c>
      <c r="D2053" s="1" t="n">
        <v>44566</v>
      </c>
      <c r="E2053" s="1" t="n">
        <v>46313</v>
      </c>
      <c r="F2053" t="inlineStr">
        <is>
          <t>GÄVLEBORGS LÄN</t>
        </is>
      </c>
      <c r="G2053" t="inlineStr">
        <is>
          <t>BOLLNÄS</t>
        </is>
      </c>
      <c r="H2053" t="inlineStr">
        <is>
          <t>Bergvik skog väst AB</t>
        </is>
      </c>
      <c r="I2053" t="n">
        <v>60.4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s="2" t="inlineStr"/>
    </row>
    <row r="2054" ht="15" customHeight="1">
      <c r="A2054" t="inlineStr">
        <is>
          <t>S 560-2022</t>
        </is>
      </c>
      <c r="B2054" t="inlineStr">
        <is>
          <t>samrådsanmälan</t>
        </is>
      </c>
      <c r="C2054" t="inlineStr">
        <is>
          <t>Skogsgödsling</t>
        </is>
      </c>
      <c r="D2054" s="1" t="n">
        <v>44589</v>
      </c>
      <c r="E2054" s="1" t="n">
        <v>46313</v>
      </c>
      <c r="F2054" t="inlineStr">
        <is>
          <t>GÄVLEBORGS LÄN</t>
        </is>
      </c>
      <c r="G2054" t="inlineStr">
        <is>
          <t>BOLLNÄS</t>
        </is>
      </c>
      <c r="H2054" t="inlineStr">
        <is>
          <t>Bergvik skog öst AB</t>
        </is>
      </c>
      <c r="I2054" t="n">
        <v>56.9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s="2" t="inlineStr"/>
    </row>
    <row r="2055" ht="15" customHeight="1">
      <c r="A2055" t="inlineStr">
        <is>
          <t>S 586-2024</t>
        </is>
      </c>
      <c r="B2055" t="inlineStr">
        <is>
          <t>samrådsanmälan</t>
        </is>
      </c>
      <c r="C2055" t="inlineStr">
        <is>
          <t>Skogsgödsling</t>
        </is>
      </c>
      <c r="D2055" s="1" t="n">
        <v>45351</v>
      </c>
      <c r="E2055" s="1" t="n">
        <v>46313</v>
      </c>
      <c r="F2055" t="inlineStr">
        <is>
          <t>GÄVLEBORGS LÄN</t>
        </is>
      </c>
      <c r="G2055" t="inlineStr">
        <is>
          <t>BOLLNÄS</t>
        </is>
      </c>
      <c r="H2055" t="inlineStr">
        <is>
          <t>Sveaskog</t>
        </is>
      </c>
      <c r="I2055" t="n">
        <v>205.2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s="2" t="inlineStr"/>
    </row>
    <row r="2056" ht="15" customHeight="1">
      <c r="A2056" t="inlineStr">
        <is>
          <t>S 1359-2025</t>
        </is>
      </c>
      <c r="B2056" t="inlineStr">
        <is>
          <t>samrådsanmälan</t>
        </is>
      </c>
      <c r="C2056" t="inlineStr">
        <is>
          <t>Annan skogsbruksåtgärd</t>
        </is>
      </c>
      <c r="D2056" s="1" t="n">
        <v>45775</v>
      </c>
      <c r="E2056" s="1" t="n">
        <v>46313</v>
      </c>
      <c r="F2056" t="inlineStr">
        <is>
          <t>GÄVLEBORGS LÄN</t>
        </is>
      </c>
      <c r="G2056" t="inlineStr">
        <is>
          <t>BOLLNÄS</t>
        </is>
      </c>
      <c r="H2056" t="inlineStr">
        <is>
          <t>Sveaskog</t>
        </is>
      </c>
      <c r="I2056" t="n">
        <v>3.4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s="2" t="inlineStr"/>
    </row>
    <row r="2057" ht="15" customHeight="1">
      <c r="A2057" t="inlineStr">
        <is>
          <t>S 1309-2025</t>
        </is>
      </c>
      <c r="B2057" t="inlineStr">
        <is>
          <t>samrådsanmälan</t>
        </is>
      </c>
      <c r="C2057" t="inlineStr">
        <is>
          <t>Skogsgödsling</t>
        </is>
      </c>
      <c r="D2057" s="1" t="n">
        <v>45770</v>
      </c>
      <c r="E2057" s="1" t="n">
        <v>46313</v>
      </c>
      <c r="F2057" t="inlineStr">
        <is>
          <t>GÄVLEBORGS LÄN</t>
        </is>
      </c>
      <c r="G2057" t="inlineStr">
        <is>
          <t>BOLLNÄS</t>
        </is>
      </c>
      <c r="I2057" t="n">
        <v>31.8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s="2" t="inlineStr"/>
    </row>
    <row r="2058" ht="15" customHeight="1">
      <c r="A2058" t="inlineStr">
        <is>
          <t>S 1894-2025</t>
        </is>
      </c>
      <c r="B2058" t="inlineStr">
        <is>
          <t>samrådsanmälan</t>
        </is>
      </c>
      <c r="C2058" t="inlineStr">
        <is>
          <t>Annan skogsbruksåtgärd</t>
        </is>
      </c>
      <c r="D2058" s="1" t="n">
        <v>45825</v>
      </c>
      <c r="E2058" s="1" t="n">
        <v>46313</v>
      </c>
      <c r="F2058" t="inlineStr">
        <is>
          <t>GÄVLEBORGS LÄN</t>
        </is>
      </c>
      <c r="G2058" t="inlineStr">
        <is>
          <t>BOLLNÄS</t>
        </is>
      </c>
      <c r="H2058" t="inlineStr">
        <is>
          <t>Sveaskog</t>
        </is>
      </c>
      <c r="I2058" t="n">
        <v>10.7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s="2" t="inlineStr"/>
    </row>
    <row r="2059" ht="15" customHeight="1">
      <c r="A2059" t="inlineStr">
        <is>
          <t>S 1074-2024</t>
        </is>
      </c>
      <c r="B2059" t="inlineStr">
        <is>
          <t>samrådsanmälan</t>
        </is>
      </c>
      <c r="C2059" t="inlineStr">
        <is>
          <t>Skogsgödsling</t>
        </is>
      </c>
      <c r="D2059" s="1" t="n">
        <v>45387</v>
      </c>
      <c r="E2059" s="1" t="n">
        <v>46313</v>
      </c>
      <c r="F2059" t="inlineStr">
        <is>
          <t>GÄVLEBORGS LÄN</t>
        </is>
      </c>
      <c r="G2059" t="inlineStr">
        <is>
          <t>BOLLNÄS</t>
        </is>
      </c>
      <c r="H2059" t="inlineStr">
        <is>
          <t>Bergvik skog väst AB</t>
        </is>
      </c>
      <c r="I2059" t="n">
        <v>245.9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s="2" t="inlineStr"/>
    </row>
    <row r="2060" ht="15" customHeight="1">
      <c r="A2060" t="inlineStr">
        <is>
          <t>S 479-2026</t>
        </is>
      </c>
      <c r="B2060" t="inlineStr">
        <is>
          <t>samrådsanmälan</t>
        </is>
      </c>
      <c r="C2060" t="inlineStr">
        <is>
          <t>Annan skogsbruksåtgärd</t>
        </is>
      </c>
      <c r="D2060" s="1" t="n">
        <v>46072</v>
      </c>
      <c r="E2060" s="1" t="n">
        <v>46313</v>
      </c>
      <c r="F2060" t="inlineStr">
        <is>
          <t>GÄVLEBORGS LÄN</t>
        </is>
      </c>
      <c r="G2060" t="inlineStr">
        <is>
          <t>BOLLNÄS</t>
        </is>
      </c>
      <c r="H2060" t="inlineStr">
        <is>
          <t>Sveaskog</t>
        </is>
      </c>
      <c r="I2060" t="n">
        <v>2.8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s="2" t="inlineStr"/>
    </row>
    <row r="2061" ht="15" customHeight="1">
      <c r="A2061" t="inlineStr">
        <is>
          <t>S 1042-2026</t>
        </is>
      </c>
      <c r="B2061" t="inlineStr">
        <is>
          <t>samrådsanmälan</t>
        </is>
      </c>
      <c r="C2061" t="inlineStr">
        <is>
          <t>Annan skogsbruksåtgärd</t>
        </is>
      </c>
      <c r="D2061" s="1" t="n">
        <v>46125</v>
      </c>
      <c r="E2061" s="1" t="n">
        <v>46313</v>
      </c>
      <c r="F2061" t="inlineStr">
        <is>
          <t>GÄVLEBORGS LÄN</t>
        </is>
      </c>
      <c r="G2061" t="inlineStr">
        <is>
          <t>BOLLNÄS</t>
        </is>
      </c>
      <c r="I2061" t="n">
        <v>7.8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s="2" t="inlineStr"/>
    </row>
    <row r="2062" ht="15" customHeight="1">
      <c r="A2062" t="inlineStr">
        <is>
          <t>S 1559-2026</t>
        </is>
      </c>
      <c r="B2062" t="inlineStr">
        <is>
          <t>samrådsanmälan</t>
        </is>
      </c>
      <c r="C2062" t="inlineStr">
        <is>
          <t>Stubbskörd</t>
        </is>
      </c>
      <c r="D2062" s="1" t="n">
        <v>46168</v>
      </c>
      <c r="E2062" s="1" t="n">
        <v>46313</v>
      </c>
      <c r="F2062" t="inlineStr">
        <is>
          <t>GÄVLEBORGS LÄN</t>
        </is>
      </c>
      <c r="G2062" t="inlineStr">
        <is>
          <t>BOLLNÄS</t>
        </is>
      </c>
      <c r="I2062" t="n">
        <v>6.9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s="2" t="inlineStr"/>
    </row>
    <row r="2063" ht="15" customHeight="1">
      <c r="A2063" t="inlineStr">
        <is>
          <t>S 1599-2026</t>
        </is>
      </c>
      <c r="B2063" t="inlineStr">
        <is>
          <t>samrådsanmälan</t>
        </is>
      </c>
      <c r="C2063" t="inlineStr">
        <is>
          <t>Annan skogsbruksåtgärd</t>
        </is>
      </c>
      <c r="D2063" s="1" t="n">
        <v>46174</v>
      </c>
      <c r="E2063" s="1" t="n">
        <v>46313</v>
      </c>
      <c r="F2063" t="inlineStr">
        <is>
          <t>GÄVLEBORGS LÄN</t>
        </is>
      </c>
      <c r="G2063" t="inlineStr">
        <is>
          <t>BOLLNÄS</t>
        </is>
      </c>
      <c r="I2063" t="n">
        <v>3.7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s="2" t="inlineStr"/>
    </row>
    <row r="2064" ht="15" customHeight="1">
      <c r="A2064" t="inlineStr">
        <is>
          <t>S 424-2026</t>
        </is>
      </c>
      <c r="B2064" t="inlineStr">
        <is>
          <t>samrådsanmälan</t>
        </is>
      </c>
      <c r="C2064" t="inlineStr">
        <is>
          <t>Annan skogsbruksåtgärd</t>
        </is>
      </c>
      <c r="D2064" s="1" t="n">
        <v>46070</v>
      </c>
      <c r="E2064" s="1" t="n">
        <v>46313</v>
      </c>
      <c r="F2064" t="inlineStr">
        <is>
          <t>GÄVLEBORGS LÄN</t>
        </is>
      </c>
      <c r="G2064" t="inlineStr">
        <is>
          <t>BOLLNÄS</t>
        </is>
      </c>
      <c r="I2064" t="n">
        <v>33.3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s="2" t="inlineStr"/>
    </row>
    <row r="2065" ht="15" customHeight="1">
      <c r="A2065" t="inlineStr">
        <is>
          <t>S 672-2026</t>
        </is>
      </c>
      <c r="B2065" t="inlineStr">
        <is>
          <t>samrådsanmälan</t>
        </is>
      </c>
      <c r="C2065" t="inlineStr">
        <is>
          <t>Annan skogsbruksåtgärd</t>
        </is>
      </c>
      <c r="D2065" s="1" t="n">
        <v>46090</v>
      </c>
      <c r="E2065" s="1" t="n">
        <v>46313</v>
      </c>
      <c r="F2065" t="inlineStr">
        <is>
          <t>GÄVLEBORGS LÄN</t>
        </is>
      </c>
      <c r="G2065" t="inlineStr">
        <is>
          <t>BOLLNÄS</t>
        </is>
      </c>
      <c r="I2065" t="n">
        <v>1.7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s="2" t="inlineStr"/>
    </row>
    <row r="2066">
      <c r="A2066" t="inlineStr">
        <is>
          <t>S 2558-2026</t>
        </is>
      </c>
      <c r="B2066" t="inlineStr">
        <is>
          <t>samrådsanmälan</t>
        </is>
      </c>
      <c r="C2066" t="inlineStr">
        <is>
          <t>Annan skogsbruksåtgärd</t>
        </is>
      </c>
      <c r="D2066" s="1" t="n">
        <v>46294</v>
      </c>
      <c r="E2066" s="1" t="n">
        <v>46313</v>
      </c>
      <c r="F2066" t="inlineStr">
        <is>
          <t>GÄVLEBORGS LÄN</t>
        </is>
      </c>
      <c r="G2066" t="inlineStr">
        <is>
          <t>BOLLNÄS</t>
        </is>
      </c>
      <c r="H2066" t="inlineStr">
        <is>
          <t>Sveaskog</t>
        </is>
      </c>
      <c r="I2066" t="n">
        <v>1.5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2026-10-18T08:05:22Z</dcterms:created>
  <dcterms:modified xmlns:dcterms="http://purl.org/dc/terms/" xmlns:xsi="http://www.w3.org/2001/XMLSchema-instance" xsi:type="dcterms:W3CDTF">2026-10-18T08:05:24Z</dcterms:modified>
</cp:coreProperties>
</file>