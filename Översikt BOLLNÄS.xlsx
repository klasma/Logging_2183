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46307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46307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46307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46307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46307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46307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46307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46307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46307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46307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46307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46307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46307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46307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46307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46307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46307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45107</v>
      </c>
      <c r="E24" s="1" t="n">
        <v>46307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Nordfladdermus</t>
        </is>
      </c>
      <c r="W24">
        <f>HYPERLINK("https://klasma.github.io/Logging_2183/artfynd/A 29712-2023 artfynd.xlsx", "A 29712-2023")</f>
        <v/>
      </c>
      <c r="X24">
        <f>HYPERLINK("https://klasma.github.io/Logging_2183/kartor/A 29712-2023 karta.png", "A 29712-2023")</f>
        <v/>
      </c>
      <c r="Y24">
        <f>HYPERLINK("https://klasma.github.io/Logging_2183/kartor_geotiff/A 29712-2023 georefererad karta.tif", "A 29712-2023")</f>
        <v/>
      </c>
      <c r="AA24">
        <f>HYPERLINK("https://klasma.github.io/Logging_2183/klagomål/A 29712-2023 FSC-klagomål.docx", "A 29712-2023")</f>
        <v/>
      </c>
      <c r="AB24">
        <f>HYPERLINK("https://klasma.github.io/Logging_2183/klagomålsmail/A 29712-2023 FSC-klagomål mail.docx", "A 29712-2023")</f>
        <v/>
      </c>
      <c r="AC24">
        <f>HYPERLINK("https://klasma.github.io/Logging_2183/tillsyn/A 29712-2023 tillsynsbegäran.docx", "A 29712-2023")</f>
        <v/>
      </c>
      <c r="AD24">
        <f>HYPERLINK("https://klasma.github.io/Logging_2183/tillsynsmail/A 29712-2023 tillsynsbegäran mail.docx", "A 29712-2023")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46307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46307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46307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46307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46307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46307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46307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46307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32411-2025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46307</v>
      </c>
      <c r="F33" t="inlineStr">
        <is>
          <t>GÄVLEBORGS LÄN</t>
        </is>
      </c>
      <c r="G33" t="inlineStr">
        <is>
          <t>BOLLNÄS</t>
        </is>
      </c>
      <c r="H33" t="inlineStr">
        <is>
          <t>Bergvik skog väst AB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HYPERLINK("https://klasma.github.io/Logging_2183/artfynd/A 32411-2025 artfynd.xlsx", "A 32411-2025")</f>
        <v/>
      </c>
      <c r="X33">
        <f>HYPERLINK("https://klasma.github.io/Logging_2183/kartor/A 32411-2025 karta.png", "A 32411-2025")</f>
        <v/>
      </c>
      <c r="Y33">
        <f>HYPERLINK("https://klasma.github.io/Logging_2183/kartor_geotiff/A 32411-2025 georefererad karta.tif", "A 32411-2025")</f>
        <v/>
      </c>
      <c r="AA33">
        <f>HYPERLINK("https://klasma.github.io/Logging_2183/klagomål/A 32411-2025 FSC-klagomål.docx", "A 32411-2025")</f>
        <v/>
      </c>
      <c r="AB33">
        <f>HYPERLINK("https://klasma.github.io/Logging_2183/klagomålsmail/A 32411-2025 FSC-klagomål mail.docx", "A 32411-2025")</f>
        <v/>
      </c>
      <c r="AC33">
        <f>HYPERLINK("https://klasma.github.io/Logging_2183/tillsyn/A 32411-2025 tillsynsbegäran.docx", "A 32411-2025")</f>
        <v/>
      </c>
      <c r="AD33">
        <f>HYPERLINK("https://klasma.github.io/Logging_2183/tillsynsmail/A 32411-2025 tillsynsbegäran mail.docx", "A 32411-2025")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46307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46307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12815-2025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46307</v>
      </c>
      <c r="F36" t="inlineStr">
        <is>
          <t>GÄVLEBORGS LÄN</t>
        </is>
      </c>
      <c r="G36" t="inlineStr">
        <is>
          <t>BOLLNÄS</t>
        </is>
      </c>
      <c r="I36" t="n">
        <v>2.9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HYPERLINK("https://klasma.github.io/Logging_2183/artfynd/A 12815-2025 artfynd.xlsx", "A 12815-2025")</f>
        <v/>
      </c>
      <c r="X36">
        <f>HYPERLINK("https://klasma.github.io/Logging_2183/kartor/A 12815-2025 karta.png", "A 12815-2025")</f>
        <v/>
      </c>
      <c r="Y36">
        <f>HYPERLINK("https://klasma.github.io/Logging_2183/kartor_geotiff/A 12815-2025 georefererad karta.tif", "A 12815-2025")</f>
        <v/>
      </c>
      <c r="AA36">
        <f>HYPERLINK("https://klasma.github.io/Logging_2183/klagomål/A 12815-2025 FSC-klagomål.docx", "A 12815-2025")</f>
        <v/>
      </c>
      <c r="AB36">
        <f>HYPERLINK("https://klasma.github.io/Logging_2183/klagomålsmail/A 12815-2025 FSC-klagomål mail.docx", "A 12815-2025")</f>
        <v/>
      </c>
      <c r="AC36">
        <f>HYPERLINK("https://klasma.github.io/Logging_2183/tillsyn/A 12815-2025 tillsynsbegäran.docx", "A 12815-2025")</f>
        <v/>
      </c>
      <c r="AD36">
        <f>HYPERLINK("https://klasma.github.io/Logging_2183/tillsynsmail/A 12815-2025 tillsynsbegäran mail.docx", "A 12815-2025")</f>
        <v/>
      </c>
    </row>
    <row r="37" ht="15" customHeight="1">
      <c r="A37" t="inlineStr">
        <is>
          <t>A 12817-2025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46307</v>
      </c>
      <c r="F37" t="inlineStr">
        <is>
          <t>GÄVLEBORGS LÄN</t>
        </is>
      </c>
      <c r="G37" t="inlineStr">
        <is>
          <t>BOLLNÄS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HYPERLINK("https://klasma.github.io/Logging_2183/artfynd/A 12817-2025 artfynd.xlsx", "A 12817-2025")</f>
        <v/>
      </c>
      <c r="X37">
        <f>HYPERLINK("https://klasma.github.io/Logging_2183/kartor/A 12817-2025 karta.png", "A 12817-2025")</f>
        <v/>
      </c>
      <c r="Y37">
        <f>HYPERLINK("https://klasma.github.io/Logging_2183/kartor_geotiff/A 12817-2025 georefererad karta.tif", "A 12817-2025")</f>
        <v/>
      </c>
      <c r="AA37">
        <f>HYPERLINK("https://klasma.github.io/Logging_2183/klagomål/A 12817-2025 FSC-klagomål.docx", "A 12817-2025")</f>
        <v/>
      </c>
      <c r="AB37">
        <f>HYPERLINK("https://klasma.github.io/Logging_2183/klagomålsmail/A 12817-2025 FSC-klagomål mail.docx", "A 12817-2025")</f>
        <v/>
      </c>
      <c r="AC37">
        <f>HYPERLINK("https://klasma.github.io/Logging_2183/tillsyn/A 12817-2025 tillsynsbegäran.docx", "A 12817-2025")</f>
        <v/>
      </c>
      <c r="AD37">
        <f>HYPERLINK("https://klasma.github.io/Logging_2183/tillsynsmail/A 12817-2025 tillsynsbegäran mail.docx", "A 12817-2025")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46307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55048-2022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46307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HYPERLINK("https://klasma.github.io/Logging_2183/artfynd/A 55048-2022 artfynd.xlsx", "A 55048-2022")</f>
        <v/>
      </c>
      <c r="X39">
        <f>HYPERLINK("https://klasma.github.io/Logging_2183/kartor/A 55048-2022 karta.png", "A 55048-2022")</f>
        <v/>
      </c>
      <c r="Y39">
        <f>HYPERLINK("https://klasma.github.io/Logging_2183/kartor_geotiff/A 55048-2022 georefererad karta.tif", "A 55048-2022")</f>
        <v/>
      </c>
      <c r="AA39">
        <f>HYPERLINK("https://klasma.github.io/Logging_2183/klagomål/A 55048-2022 FSC-klagomål.docx", "A 55048-2022")</f>
        <v/>
      </c>
      <c r="AB39">
        <f>HYPERLINK("https://klasma.github.io/Logging_2183/klagomålsmail/A 55048-2022 FSC-klagomål mail.docx", "A 55048-2022")</f>
        <v/>
      </c>
      <c r="AC39">
        <f>HYPERLINK("https://klasma.github.io/Logging_2183/tillsyn/A 55048-2022 tillsynsbegäran.docx", "A 55048-2022")</f>
        <v/>
      </c>
      <c r="AD39">
        <f>HYPERLINK("https://klasma.github.io/Logging_2183/tillsynsmail/A 55048-2022 tillsynsbegäran mail.docx", "A 55048-2022")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46307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46307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46307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46307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46307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5130-2026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46307</v>
      </c>
      <c r="F45" t="inlineStr">
        <is>
          <t>GÄVLEBORGS LÄN</t>
        </is>
      </c>
      <c r="G45" t="inlineStr">
        <is>
          <t>BOLLNÄS</t>
        </is>
      </c>
      <c r="I45" t="n">
        <v>8.4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Nordfladdermus</t>
        </is>
      </c>
      <c r="W45">
        <f>HYPERLINK("https://klasma.github.io/Logging_2183/artfynd/A 5130-2026 artfynd.xlsx", "A 5130-2026")</f>
        <v/>
      </c>
      <c r="X45">
        <f>HYPERLINK("https://klasma.github.io/Logging_2183/kartor/A 5130-2026 karta.png", "A 5130-2026")</f>
        <v/>
      </c>
      <c r="Y45">
        <f>HYPERLINK("https://klasma.github.io/Logging_2183/kartor_geotiff/A 5130-2026 georefererad karta.tif", "A 5130-2026")</f>
        <v/>
      </c>
      <c r="AA45">
        <f>HYPERLINK("https://klasma.github.io/Logging_2183/klagomål/A 5130-2026 FSC-klagomål.docx", "A 5130-2026")</f>
        <v/>
      </c>
      <c r="AB45">
        <f>HYPERLINK("https://klasma.github.io/Logging_2183/klagomålsmail/A 5130-2026 FSC-klagomål mail.docx", "A 5130-2026")</f>
        <v/>
      </c>
      <c r="AC45">
        <f>HYPERLINK("https://klasma.github.io/Logging_2183/tillsyn/A 5130-2026 tillsynsbegäran.docx", "A 5130-2026")</f>
        <v/>
      </c>
      <c r="AD45">
        <f>HYPERLINK("https://klasma.github.io/Logging_2183/tillsynsmail/A 5130-2026 tillsynsbegäran mail.docx", "A 5130-2026")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46307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8200-2026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46307</v>
      </c>
      <c r="F47" t="inlineStr">
        <is>
          <t>GÄVLEBORGS LÄN</t>
        </is>
      </c>
      <c r="G47" t="inlineStr">
        <is>
          <t>BOLLNÄS</t>
        </is>
      </c>
      <c r="I47" t="n">
        <v>28.4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HYPERLINK("https://klasma.github.io/Logging_2183/artfynd/A 8200-2026 artfynd.xlsx", "A 8200-2026")</f>
        <v/>
      </c>
      <c r="X47">
        <f>HYPERLINK("https://klasma.github.io/Logging_2183/kartor/A 8200-2026 karta.png", "A 8200-2026")</f>
        <v/>
      </c>
      <c r="Y47">
        <f>HYPERLINK("https://klasma.github.io/Logging_2183/kartor_geotiff/A 8200-2026 georefererad karta.tif", "A 8200-2026")</f>
        <v/>
      </c>
      <c r="AA47">
        <f>HYPERLINK("https://klasma.github.io/Logging_2183/klagomål/A 8200-2026 FSC-klagomål.docx", "A 8200-2026")</f>
        <v/>
      </c>
      <c r="AB47">
        <f>HYPERLINK("https://klasma.github.io/Logging_2183/klagomålsmail/A 8200-2026 FSC-klagomål mail.docx", "A 8200-2026")</f>
        <v/>
      </c>
      <c r="AC47">
        <f>HYPERLINK("https://klasma.github.io/Logging_2183/tillsyn/A 8200-2026 tillsynsbegäran.docx", "A 8200-2026")</f>
        <v/>
      </c>
      <c r="AD47">
        <f>HYPERLINK("https://klasma.github.io/Logging_2183/tillsynsmail/A 8200-2026 tillsynsbegäran mail.docx", "A 8200-2026")</f>
        <v/>
      </c>
    </row>
    <row r="48" ht="15" customHeight="1">
      <c r="A48" t="inlineStr">
        <is>
          <t>A 12962-2026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46092</v>
      </c>
      <c r="E48" s="1" t="n">
        <v>46307</v>
      </c>
      <c r="F48" t="inlineStr">
        <is>
          <t>GÄVLEBORGS LÄN</t>
        </is>
      </c>
      <c r="G48" t="inlineStr">
        <is>
          <t>BOLLNÄS</t>
        </is>
      </c>
      <c r="I48" t="n">
        <v>0.6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Ryl</t>
        </is>
      </c>
      <c r="W48">
        <f>HYPERLINK("https://klasma.github.io/Logging_2183/artfynd/A 12962-2026 artfynd.xlsx", "A 12962-2026")</f>
        <v/>
      </c>
      <c r="X48">
        <f>HYPERLINK("https://klasma.github.io/Logging_2183/kartor/A 12962-2026 karta.png", "A 12962-2026")</f>
        <v/>
      </c>
      <c r="Y48">
        <f>HYPERLINK("https://klasma.github.io/Logging_2183/kartor_geotiff/A 12962-2026 georefererad karta.tif", "A 12962-2026")</f>
        <v/>
      </c>
      <c r="AA48">
        <f>HYPERLINK("https://klasma.github.io/Logging_2183/klagomål/A 12962-2026 FSC-klagomål.docx", "A 12962-2026")</f>
        <v/>
      </c>
      <c r="AB48">
        <f>HYPERLINK("https://klasma.github.io/Logging_2183/klagomålsmail/A 12962-2026 FSC-klagomål mail.docx", "A 12962-2026")</f>
        <v/>
      </c>
      <c r="AC48">
        <f>HYPERLINK("https://klasma.github.io/Logging_2183/tillsyn/A 12962-2026 tillsynsbegäran.docx", "A 12962-2026")</f>
        <v/>
      </c>
      <c r="AD48">
        <f>HYPERLINK("https://klasma.github.io/Logging_2183/tillsynsmail/A 12962-2026 tillsynsbegäran mail.docx", "A 12962-2026")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46307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46307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46307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46307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46307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46307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46307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46307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46307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46307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46307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46307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46307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46307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46307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46307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46307</v>
      </c>
      <c r="F66" t="inlineStr">
        <is>
          <t>GÄVLEBORGS LÄN</t>
        </is>
      </c>
      <c r="G66" t="inlineStr">
        <is>
          <t>BOLLNÄS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46307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46307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46307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46307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46307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46307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46307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46307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46307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46307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46307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46307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46307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46307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46307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46307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46307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46307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46307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46307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46307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46307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46307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46307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46307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46307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46307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46307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46307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44722</v>
      </c>
      <c r="E97" s="1" t="n">
        <v>46307</v>
      </c>
      <c r="F97" t="inlineStr">
        <is>
          <t>GÄVLEBORGS LÄN</t>
        </is>
      </c>
      <c r="G97" t="inlineStr">
        <is>
          <t>BOLLNÄS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46307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44483</v>
      </c>
      <c r="E99" s="1" t="n">
        <v>46307</v>
      </c>
      <c r="F99" t="inlineStr">
        <is>
          <t>GÄVLEBORGS LÄN</t>
        </is>
      </c>
      <c r="G99" t="inlineStr">
        <is>
          <t>BOLLNÄS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63882-2021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44509</v>
      </c>
      <c r="E100" s="1" t="n">
        <v>46307</v>
      </c>
      <c r="F100" t="inlineStr">
        <is>
          <t>GÄVLEBORGS LÄN</t>
        </is>
      </c>
      <c r="G100" t="inlineStr">
        <is>
          <t>BOLLNÄS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63128-2021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46307</v>
      </c>
      <c r="F101" t="inlineStr">
        <is>
          <t>GÄVLEBORGS LÄN</t>
        </is>
      </c>
      <c r="G101" t="inlineStr">
        <is>
          <t>BOLLNÄS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46307</v>
      </c>
      <c r="F102" t="inlineStr">
        <is>
          <t>GÄVLEBORGS LÄN</t>
        </is>
      </c>
      <c r="G102" t="inlineStr">
        <is>
          <t>BOLLNÄS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46307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46307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46307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46307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46307</v>
      </c>
      <c r="F107" t="inlineStr">
        <is>
          <t>GÄVLEBORGS LÄN</t>
        </is>
      </c>
      <c r="G107" t="inlineStr">
        <is>
          <t>BOLLNÄS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46307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44771</v>
      </c>
      <c r="E109" s="1" t="n">
        <v>46307</v>
      </c>
      <c r="F109" t="inlineStr">
        <is>
          <t>GÄVLEBORGS LÄN</t>
        </is>
      </c>
      <c r="G109" t="inlineStr">
        <is>
          <t>BOLLNÄS</t>
        </is>
      </c>
      <c r="I109" t="n">
        <v>13.5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44151-2022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44839</v>
      </c>
      <c r="E110" s="1" t="n">
        <v>46307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46307</v>
      </c>
      <c r="F111" t="inlineStr">
        <is>
          <t>GÄVLEBORGS LÄN</t>
        </is>
      </c>
      <c r="G111" t="inlineStr">
        <is>
          <t>BOLLNÄS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46307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46307</v>
      </c>
      <c r="F113" t="inlineStr">
        <is>
          <t>GÄVLEBORGS LÄN</t>
        </is>
      </c>
      <c r="G113" t="inlineStr">
        <is>
          <t>BOLLNÄS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46307</v>
      </c>
      <c r="F114" t="inlineStr">
        <is>
          <t>GÄVLEBORGS LÄN</t>
        </is>
      </c>
      <c r="G114" t="inlineStr">
        <is>
          <t>BOLLNÄS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46307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44515</v>
      </c>
      <c r="E116" s="1" t="n">
        <v>46307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46307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46307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70473-2021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44536</v>
      </c>
      <c r="E119" s="1" t="n">
        <v>46307</v>
      </c>
      <c r="F119" t="inlineStr">
        <is>
          <t>GÄVLEBORGS LÄN</t>
        </is>
      </c>
      <c r="G119" t="inlineStr">
        <is>
          <t>BOLLNÄS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46307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46307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46307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44728</v>
      </c>
      <c r="E123" s="1" t="n">
        <v>46307</v>
      </c>
      <c r="F123" t="inlineStr">
        <is>
          <t>GÄVLEBORGS LÄN</t>
        </is>
      </c>
      <c r="G123" t="inlineStr">
        <is>
          <t>BOLLNÄS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46307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46307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46307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46307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46307</v>
      </c>
      <c r="F128" t="inlineStr">
        <is>
          <t>GÄVLEBORGS LÄN</t>
        </is>
      </c>
      <c r="G128" t="inlineStr">
        <is>
          <t>BOLLNÄS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45755</v>
      </c>
      <c r="E129" s="1" t="n">
        <v>46307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46307</v>
      </c>
      <c r="F130" t="inlineStr">
        <is>
          <t>GÄVLEBORGS LÄN</t>
        </is>
      </c>
      <c r="G130" t="inlineStr">
        <is>
          <t>BOLLNÄS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46307</v>
      </c>
      <c r="F131" t="inlineStr">
        <is>
          <t>GÄVLEBORGS LÄN</t>
        </is>
      </c>
      <c r="G131" t="inlineStr">
        <is>
          <t>BOLLNÄS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45085</v>
      </c>
      <c r="E132" s="1" t="n">
        <v>46307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46307</v>
      </c>
      <c r="F133" t="inlineStr">
        <is>
          <t>GÄVLEBORGS LÄN</t>
        </is>
      </c>
      <c r="G133" t="inlineStr">
        <is>
          <t>BOLLNÄS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46307</v>
      </c>
      <c r="F134" t="inlineStr">
        <is>
          <t>GÄVLEBORGS LÄN</t>
        </is>
      </c>
      <c r="G134" t="inlineStr">
        <is>
          <t>BOLLNÄS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46307</v>
      </c>
      <c r="F135" t="inlineStr">
        <is>
          <t>GÄVLEBORGS LÄN</t>
        </is>
      </c>
      <c r="G135" t="inlineStr">
        <is>
          <t>BOLLNÄS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46307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46307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46307</v>
      </c>
      <c r="F138" t="inlineStr">
        <is>
          <t>GÄVLEBORGS LÄN</t>
        </is>
      </c>
      <c r="G138" t="inlineStr">
        <is>
          <t>BOLLNÄS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46307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46307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46307</v>
      </c>
      <c r="F141" t="inlineStr">
        <is>
          <t>GÄVLEBORGS LÄN</t>
        </is>
      </c>
      <c r="G141" t="inlineStr">
        <is>
          <t>BOLLNÄS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46307</v>
      </c>
      <c r="F142" t="inlineStr">
        <is>
          <t>GÄVLEBORGS LÄN</t>
        </is>
      </c>
      <c r="G142" t="inlineStr">
        <is>
          <t>BOLLNÄS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46307</v>
      </c>
      <c r="F143" t="inlineStr">
        <is>
          <t>GÄVLEBORGS LÄN</t>
        </is>
      </c>
      <c r="G143" t="inlineStr">
        <is>
          <t>BOLLNÄS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46307</v>
      </c>
      <c r="F144" t="inlineStr">
        <is>
          <t>GÄVLEBORGS LÄN</t>
        </is>
      </c>
      <c r="G144" t="inlineStr">
        <is>
          <t>BOLLNÄS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44802</v>
      </c>
      <c r="E145" s="1" t="n">
        <v>46307</v>
      </c>
      <c r="F145" t="inlineStr">
        <is>
          <t>GÄVLEBORGS LÄN</t>
        </is>
      </c>
      <c r="G145" t="inlineStr">
        <is>
          <t>BOLLNÄS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46307</v>
      </c>
      <c r="F146" t="inlineStr">
        <is>
          <t>GÄVLEBORGS LÄN</t>
        </is>
      </c>
      <c r="G146" t="inlineStr">
        <is>
          <t>BOLLNÄS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46307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45516</v>
      </c>
      <c r="E148" s="1" t="n">
        <v>46307</v>
      </c>
      <c r="F148" t="inlineStr">
        <is>
          <t>GÄVLEBORGS LÄN</t>
        </is>
      </c>
      <c r="G148" t="inlineStr">
        <is>
          <t>BOLLNÄS</t>
        </is>
      </c>
      <c r="H148" t="inlineStr">
        <is>
          <t>Sveaskog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46307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46307</v>
      </c>
      <c r="F150" t="inlineStr">
        <is>
          <t>GÄVLEBORGS LÄN</t>
        </is>
      </c>
      <c r="G150" t="inlineStr">
        <is>
          <t>BOLLNÄS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46307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46307</v>
      </c>
      <c r="F152" t="inlineStr">
        <is>
          <t>GÄVLEBORGS LÄN</t>
        </is>
      </c>
      <c r="G152" t="inlineStr">
        <is>
          <t>BOLLNÄS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14261-2025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45740</v>
      </c>
      <c r="E153" s="1" t="n">
        <v>46307</v>
      </c>
      <c r="F153" t="inlineStr">
        <is>
          <t>GÄVLEBORGS LÄN</t>
        </is>
      </c>
      <c r="G153" t="inlineStr">
        <is>
          <t>BOLLNÄS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46307</v>
      </c>
      <c r="F154" t="inlineStr">
        <is>
          <t>GÄVLEBORGS LÄN</t>
        </is>
      </c>
      <c r="G154" t="inlineStr">
        <is>
          <t>BOLLNÄS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46307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46307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46307</v>
      </c>
      <c r="F157" t="inlineStr">
        <is>
          <t>GÄVLEBORGS LÄN</t>
        </is>
      </c>
      <c r="G157" t="inlineStr">
        <is>
          <t>BOLLNÄS</t>
        </is>
      </c>
      <c r="H157" t="inlineStr">
        <is>
          <t>Sveaskog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46307</v>
      </c>
      <c r="F158" t="inlineStr">
        <is>
          <t>GÄVLEBORGS LÄN</t>
        </is>
      </c>
      <c r="G158" t="inlineStr">
        <is>
          <t>BOLLNÄS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46307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45542</v>
      </c>
      <c r="E160" s="1" t="n">
        <v>46307</v>
      </c>
      <c r="F160" t="inlineStr">
        <is>
          <t>GÄVLEBORGS LÄN</t>
        </is>
      </c>
      <c r="G160" t="inlineStr">
        <is>
          <t>BOLLNÄS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46307</v>
      </c>
      <c r="F161" t="inlineStr">
        <is>
          <t>GÄVLEBORGS LÄN</t>
        </is>
      </c>
      <c r="G161" t="inlineStr">
        <is>
          <t>BOLLNÄS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46307</v>
      </c>
      <c r="F162" t="inlineStr">
        <is>
          <t>GÄVLEBORGS LÄN</t>
        </is>
      </c>
      <c r="G162" t="inlineStr">
        <is>
          <t>BOLLNÄS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46307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46307</v>
      </c>
      <c r="F164" t="inlineStr">
        <is>
          <t>GÄVLEBORGS LÄN</t>
        </is>
      </c>
      <c r="G164" t="inlineStr">
        <is>
          <t>BOLLNÄS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46307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46307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46307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45299</v>
      </c>
      <c r="E168" s="1" t="n">
        <v>46307</v>
      </c>
      <c r="F168" t="inlineStr">
        <is>
          <t>GÄVLEBORGS LÄN</t>
        </is>
      </c>
      <c r="G168" t="inlineStr">
        <is>
          <t>BOLLNÄS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46307</v>
      </c>
      <c r="F169" t="inlineStr">
        <is>
          <t>GÄVLEBORGS LÄN</t>
        </is>
      </c>
      <c r="G169" t="inlineStr">
        <is>
          <t>BOLLNÄS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46307</v>
      </c>
      <c r="F170" t="inlineStr">
        <is>
          <t>GÄVLEBORGS LÄN</t>
        </is>
      </c>
      <c r="G170" t="inlineStr">
        <is>
          <t>BOLLNÄS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46307</v>
      </c>
      <c r="F171" t="inlineStr">
        <is>
          <t>GÄVLEBORGS LÄN</t>
        </is>
      </c>
      <c r="G171" t="inlineStr">
        <is>
          <t>BOLLNÄS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46307</v>
      </c>
      <c r="F172" t="inlineStr">
        <is>
          <t>GÄVLEBORGS LÄN</t>
        </is>
      </c>
      <c r="G172" t="inlineStr">
        <is>
          <t>BOLLNÄS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34613-2024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45526</v>
      </c>
      <c r="E173" s="1" t="n">
        <v>46307</v>
      </c>
      <c r="F173" t="inlineStr">
        <is>
          <t>GÄVLEBORGS LÄN</t>
        </is>
      </c>
      <c r="G173" t="inlineStr">
        <is>
          <t>BOLLNÄS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46307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46307</v>
      </c>
      <c r="F175" t="inlineStr">
        <is>
          <t>GÄVLEBORGS LÄN</t>
        </is>
      </c>
      <c r="G175" t="inlineStr">
        <is>
          <t>BOLLNÄS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46307</v>
      </c>
      <c r="F176" t="inlineStr">
        <is>
          <t>GÄVLEBORGS LÄN</t>
        </is>
      </c>
      <c r="G176" t="inlineStr">
        <is>
          <t>BOLLNÄS</t>
        </is>
      </c>
      <c r="H176" t="inlineStr">
        <is>
          <t>Kyrkan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46307</v>
      </c>
      <c r="F177" t="inlineStr">
        <is>
          <t>GÄVLEBORGS LÄN</t>
        </is>
      </c>
      <c r="G177" t="inlineStr">
        <is>
          <t>BOLLNÄS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46307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46307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46307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44532</v>
      </c>
      <c r="E181" s="1" t="n">
        <v>46307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väst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46307</v>
      </c>
      <c r="F182" t="inlineStr">
        <is>
          <t>GÄVLEBORGS LÄN</t>
        </is>
      </c>
      <c r="G182" t="inlineStr">
        <is>
          <t>BOLLNÄS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46307</v>
      </c>
      <c r="F183" t="inlineStr">
        <is>
          <t>GÄVLEBORGS LÄN</t>
        </is>
      </c>
      <c r="G183" t="inlineStr">
        <is>
          <t>BOLLNÄS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46307</v>
      </c>
      <c r="F184" t="inlineStr">
        <is>
          <t>GÄVLEBORGS LÄN</t>
        </is>
      </c>
      <c r="G184" t="inlineStr">
        <is>
          <t>BOLLNÄS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46307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46307</v>
      </c>
      <c r="F186" t="inlineStr">
        <is>
          <t>GÄVLEBORGS LÄN</t>
        </is>
      </c>
      <c r="G186" t="inlineStr">
        <is>
          <t>BOLLNÄS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46307</v>
      </c>
      <c r="F187" t="inlineStr">
        <is>
          <t>GÄVLEBORGS LÄN</t>
        </is>
      </c>
      <c r="G187" t="inlineStr">
        <is>
          <t>BOLLNÄS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46307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46307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46307</v>
      </c>
      <c r="F190" t="inlineStr">
        <is>
          <t>GÄVLEBORGS LÄN</t>
        </is>
      </c>
      <c r="G190" t="inlineStr">
        <is>
          <t>BOLLNÄS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46307</v>
      </c>
      <c r="F191" t="inlineStr">
        <is>
          <t>GÄVLEBORGS LÄN</t>
        </is>
      </c>
      <c r="G191" t="inlineStr">
        <is>
          <t>BOLLNÄS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46307</v>
      </c>
      <c r="F192" t="inlineStr">
        <is>
          <t>GÄVLEBORGS LÄN</t>
        </is>
      </c>
      <c r="G192" t="inlineStr">
        <is>
          <t>BOLLNÄS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46307</v>
      </c>
      <c r="F193" t="inlineStr">
        <is>
          <t>GÄVLEBORGS LÄN</t>
        </is>
      </c>
      <c r="G193" t="inlineStr">
        <is>
          <t>BOLLNÄS</t>
        </is>
      </c>
      <c r="H193" t="inlineStr">
        <is>
          <t>Kyrkan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46307</v>
      </c>
      <c r="F194" t="inlineStr">
        <is>
          <t>GÄVLEBORGS LÄN</t>
        </is>
      </c>
      <c r="G194" t="inlineStr">
        <is>
          <t>BOLLNÄS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46307</v>
      </c>
      <c r="F195" t="inlineStr">
        <is>
          <t>GÄVLEBORGS LÄN</t>
        </is>
      </c>
      <c r="G195" t="inlineStr">
        <is>
          <t>BOLLNÄS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44856</v>
      </c>
      <c r="E196" s="1" t="n">
        <v>46307</v>
      </c>
      <c r="F196" t="inlineStr">
        <is>
          <t>GÄVLEBORGS LÄN</t>
        </is>
      </c>
      <c r="G196" t="inlineStr">
        <is>
          <t>BOLLNÄS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46307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46307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46307</v>
      </c>
      <c r="F199" t="inlineStr">
        <is>
          <t>GÄVLEBORGS LÄN</t>
        </is>
      </c>
      <c r="G199" t="inlineStr">
        <is>
          <t>BOLLNÄS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46307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46307</v>
      </c>
      <c r="F201" t="inlineStr">
        <is>
          <t>GÄVLEBORGS LÄN</t>
        </is>
      </c>
      <c r="G201" t="inlineStr">
        <is>
          <t>BOLLNÄS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46307</v>
      </c>
      <c r="F202" t="inlineStr">
        <is>
          <t>GÄVLEBORGS LÄN</t>
        </is>
      </c>
      <c r="G202" t="inlineStr">
        <is>
          <t>BOLLNÄS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46307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46307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46307</v>
      </c>
      <c r="F205" t="inlineStr">
        <is>
          <t>GÄVLEBORGS LÄN</t>
        </is>
      </c>
      <c r="G205" t="inlineStr">
        <is>
          <t>BOLLNÄS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46307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46307</v>
      </c>
      <c r="F207" t="inlineStr">
        <is>
          <t>GÄVLEBORGS LÄN</t>
        </is>
      </c>
      <c r="G207" t="inlineStr">
        <is>
          <t>BOLLNÄS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46307</v>
      </c>
      <c r="F208" t="inlineStr">
        <is>
          <t>GÄVLEBORGS LÄN</t>
        </is>
      </c>
      <c r="G208" t="inlineStr">
        <is>
          <t>BOLLNÄS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44720</v>
      </c>
      <c r="E209" s="1" t="n">
        <v>46307</v>
      </c>
      <c r="F209" t="inlineStr">
        <is>
          <t>GÄVLEBORGS LÄN</t>
        </is>
      </c>
      <c r="G209" t="inlineStr">
        <is>
          <t>BOLLNÄS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46307</v>
      </c>
      <c r="F210" t="inlineStr">
        <is>
          <t>GÄVLEBORGS LÄN</t>
        </is>
      </c>
      <c r="G210" t="inlineStr">
        <is>
          <t>BOLLNÄS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46307</v>
      </c>
      <c r="F211" t="inlineStr">
        <is>
          <t>GÄVLEBORGS LÄN</t>
        </is>
      </c>
      <c r="G211" t="inlineStr">
        <is>
          <t>BOLLNÄS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46307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46307</v>
      </c>
      <c r="F213" t="inlineStr">
        <is>
          <t>GÄVLEBORGS LÄN</t>
        </is>
      </c>
      <c r="G213" t="inlineStr">
        <is>
          <t>BOLLNÄS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46307</v>
      </c>
      <c r="F214" t="inlineStr">
        <is>
          <t>GÄVLEBORGS LÄN</t>
        </is>
      </c>
      <c r="G214" t="inlineStr">
        <is>
          <t>BOLLNÄS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46307</v>
      </c>
      <c r="F215" t="inlineStr">
        <is>
          <t>GÄVLEBORGS LÄN</t>
        </is>
      </c>
      <c r="G215" t="inlineStr">
        <is>
          <t>BOLLNÄS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46307</v>
      </c>
      <c r="F216" t="inlineStr">
        <is>
          <t>GÄVLEBORGS LÄN</t>
        </is>
      </c>
      <c r="G216" t="inlineStr">
        <is>
          <t>BOLLNÄS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46307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46307</v>
      </c>
      <c r="F218" t="inlineStr">
        <is>
          <t>GÄVLEBORGS LÄN</t>
        </is>
      </c>
      <c r="G218" t="inlineStr">
        <is>
          <t>BOLLNÄS</t>
        </is>
      </c>
      <c r="H218" t="inlineStr">
        <is>
          <t>Holmen skog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46307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46307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46307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46307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46307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46307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45497</v>
      </c>
      <c r="E225" s="1" t="n">
        <v>46307</v>
      </c>
      <c r="F225" t="inlineStr">
        <is>
          <t>GÄVLEBORGS LÄN</t>
        </is>
      </c>
      <c r="G225" t="inlineStr">
        <is>
          <t>BOLLNÄS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45497</v>
      </c>
      <c r="E226" s="1" t="n">
        <v>46307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46307</v>
      </c>
      <c r="F227" t="inlineStr">
        <is>
          <t>GÄVLEBORGS LÄN</t>
        </is>
      </c>
      <c r="G227" t="inlineStr">
        <is>
          <t>BOLLNÄS</t>
        </is>
      </c>
      <c r="H227" t="inlineStr">
        <is>
          <t>Kommuner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46307</v>
      </c>
      <c r="F228" t="inlineStr">
        <is>
          <t>GÄVLEBORGS LÄN</t>
        </is>
      </c>
      <c r="G228" t="inlineStr">
        <is>
          <t>BOLLNÄS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46307</v>
      </c>
      <c r="F229" t="inlineStr">
        <is>
          <t>GÄVLEBORGS LÄN</t>
        </is>
      </c>
      <c r="G229" t="inlineStr">
        <is>
          <t>BOLLNÄS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46307</v>
      </c>
      <c r="F230" t="inlineStr">
        <is>
          <t>GÄVLEBORGS LÄN</t>
        </is>
      </c>
      <c r="G230" t="inlineStr">
        <is>
          <t>BOLLNÄS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46307</v>
      </c>
      <c r="F231" t="inlineStr">
        <is>
          <t>GÄVLEBORGS LÄN</t>
        </is>
      </c>
      <c r="G231" t="inlineStr">
        <is>
          <t>BOLLNÄS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45894</v>
      </c>
      <c r="E232" s="1" t="n">
        <v>46307</v>
      </c>
      <c r="F232" t="inlineStr">
        <is>
          <t>GÄVLEBORGS LÄN</t>
        </is>
      </c>
      <c r="G232" t="inlineStr">
        <is>
          <t>BOLLNÄS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46307</v>
      </c>
      <c r="F233" t="inlineStr">
        <is>
          <t>GÄVLEBORGS LÄN</t>
        </is>
      </c>
      <c r="G233" t="inlineStr">
        <is>
          <t>BOLLNÄS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46307</v>
      </c>
      <c r="F234" t="inlineStr">
        <is>
          <t>GÄVLEBORGS LÄN</t>
        </is>
      </c>
      <c r="G234" t="inlineStr">
        <is>
          <t>BOLLNÄS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46307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46307</v>
      </c>
      <c r="F236" t="inlineStr">
        <is>
          <t>GÄVLEBORGS LÄN</t>
        </is>
      </c>
      <c r="G236" t="inlineStr">
        <is>
          <t>BOLLNÄS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46307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45490</v>
      </c>
      <c r="E238" s="1" t="n">
        <v>46307</v>
      </c>
      <c r="F238" t="inlineStr">
        <is>
          <t>GÄVLEBORGS LÄN</t>
        </is>
      </c>
      <c r="G238" t="inlineStr">
        <is>
          <t>BOLLNÄS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46307</v>
      </c>
      <c r="F239" t="inlineStr">
        <is>
          <t>GÄVLEBORGS LÄN</t>
        </is>
      </c>
      <c r="G239" t="inlineStr">
        <is>
          <t>BOLLNÄS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46307</v>
      </c>
      <c r="F240" t="inlineStr">
        <is>
          <t>GÄVLEBORGS LÄN</t>
        </is>
      </c>
      <c r="G240" t="inlineStr">
        <is>
          <t>BOLLNÄS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46307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46307</v>
      </c>
      <c r="F242" t="inlineStr">
        <is>
          <t>GÄVLEBORGS LÄN</t>
        </is>
      </c>
      <c r="G242" t="inlineStr">
        <is>
          <t>BOLLNÄS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46307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46307</v>
      </c>
      <c r="F244" t="inlineStr">
        <is>
          <t>GÄVLEBORGS LÄN</t>
        </is>
      </c>
      <c r="G244" t="inlineStr">
        <is>
          <t>BOLLNÄS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46307</v>
      </c>
      <c r="F245" t="inlineStr">
        <is>
          <t>GÄVLEBORGS LÄN</t>
        </is>
      </c>
      <c r="G245" t="inlineStr">
        <is>
          <t>BOLLNÄS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46307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46307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46307</v>
      </c>
      <c r="F248" t="inlineStr">
        <is>
          <t>GÄVLEBORGS LÄN</t>
        </is>
      </c>
      <c r="G248" t="inlineStr">
        <is>
          <t>BOLLNÄS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45644</v>
      </c>
      <c r="E249" s="1" t="n">
        <v>46307</v>
      </c>
      <c r="F249" t="inlineStr">
        <is>
          <t>GÄVLEBORGS LÄN</t>
        </is>
      </c>
      <c r="G249" t="inlineStr">
        <is>
          <t>BOLLNÄS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45629-2023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45194</v>
      </c>
      <c r="E250" s="1" t="n">
        <v>46307</v>
      </c>
      <c r="F250" t="inlineStr">
        <is>
          <t>GÄVLEBORGS LÄN</t>
        </is>
      </c>
      <c r="G250" t="inlineStr">
        <is>
          <t>BOLLNÄS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46307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46307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46307</v>
      </c>
      <c r="F253" t="inlineStr">
        <is>
          <t>GÄVLEBORGS LÄN</t>
        </is>
      </c>
      <c r="G253" t="inlineStr">
        <is>
          <t>BOLLNÄS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44886</v>
      </c>
      <c r="E254" s="1" t="n">
        <v>46307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45439</v>
      </c>
      <c r="E255" s="1" t="n">
        <v>46307</v>
      </c>
      <c r="F255" t="inlineStr">
        <is>
          <t>GÄVLEBORGS LÄN</t>
        </is>
      </c>
      <c r="G255" t="inlineStr">
        <is>
          <t>BOLLNÄS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46307</v>
      </c>
      <c r="F256" t="inlineStr">
        <is>
          <t>GÄVLEBORGS LÄN</t>
        </is>
      </c>
      <c r="G256" t="inlineStr">
        <is>
          <t>BOLLNÄS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46307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45609</v>
      </c>
      <c r="E258" s="1" t="n">
        <v>46307</v>
      </c>
      <c r="F258" t="inlineStr">
        <is>
          <t>GÄVLEBORGS LÄN</t>
        </is>
      </c>
      <c r="G258" t="inlineStr">
        <is>
          <t>BOLLNÄS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46307</v>
      </c>
      <c r="F259" t="inlineStr">
        <is>
          <t>GÄVLEBORGS LÄN</t>
        </is>
      </c>
      <c r="G259" t="inlineStr">
        <is>
          <t>BOLLNÄS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46307</v>
      </c>
      <c r="F260" t="inlineStr">
        <is>
          <t>GÄVLEBORGS LÄN</t>
        </is>
      </c>
      <c r="G260" t="inlineStr">
        <is>
          <t>BOLLNÄS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46307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46307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46307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46307</v>
      </c>
      <c r="F264" t="inlineStr">
        <is>
          <t>GÄVLEBORGS LÄN</t>
        </is>
      </c>
      <c r="G264" t="inlineStr">
        <is>
          <t>BOLLNÄS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71678-2021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44543</v>
      </c>
      <c r="E265" s="1" t="n">
        <v>46307</v>
      </c>
      <c r="F265" t="inlineStr">
        <is>
          <t>GÄVLEBORGS LÄN</t>
        </is>
      </c>
      <c r="G265" t="inlineStr">
        <is>
          <t>BOLLNÄS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46307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45638</v>
      </c>
      <c r="E267" s="1" t="n">
        <v>46307</v>
      </c>
      <c r="F267" t="inlineStr">
        <is>
          <t>GÄVLEBORGS LÄN</t>
        </is>
      </c>
      <c r="G267" t="inlineStr">
        <is>
          <t>BOLLNÄS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46307</v>
      </c>
      <c r="F268" t="inlineStr">
        <is>
          <t>GÄVLEBORGS LÄN</t>
        </is>
      </c>
      <c r="G268" t="inlineStr">
        <is>
          <t>BOLLNÄS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46307</v>
      </c>
      <c r="F269" t="inlineStr">
        <is>
          <t>GÄVLEBORGS LÄN</t>
        </is>
      </c>
      <c r="G269" t="inlineStr">
        <is>
          <t>BOLLNÄS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46307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46307</v>
      </c>
      <c r="F271" t="inlineStr">
        <is>
          <t>GÄVLEBORGS LÄN</t>
        </is>
      </c>
      <c r="G271" t="inlineStr">
        <is>
          <t>BOLLNÄS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46307</v>
      </c>
      <c r="F272" t="inlineStr">
        <is>
          <t>GÄVLEBORGS LÄN</t>
        </is>
      </c>
      <c r="G272" t="inlineStr">
        <is>
          <t>BOLLNÄS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46307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46307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46307</v>
      </c>
      <c r="F275" t="inlineStr">
        <is>
          <t>GÄVLEBORGS LÄN</t>
        </is>
      </c>
      <c r="G275" t="inlineStr">
        <is>
          <t>BOLLNÄS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46307</v>
      </c>
      <c r="F276" t="inlineStr">
        <is>
          <t>GÄVLEBORGS LÄN</t>
        </is>
      </c>
      <c r="G276" t="inlineStr">
        <is>
          <t>BOLLNÄS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46307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46307</v>
      </c>
      <c r="F278" t="inlineStr">
        <is>
          <t>GÄVLEBORGS LÄN</t>
        </is>
      </c>
      <c r="G278" t="inlineStr">
        <is>
          <t>BOLLNÄS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46307</v>
      </c>
      <c r="F279" t="inlineStr">
        <is>
          <t>GÄVLEBORGS LÄN</t>
        </is>
      </c>
      <c r="G279" t="inlineStr">
        <is>
          <t>BOLLNÄS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46307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45692</v>
      </c>
      <c r="E281" s="1" t="n">
        <v>46307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öst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24994-2024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45461</v>
      </c>
      <c r="E282" s="1" t="n">
        <v>46307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21562-2025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45782</v>
      </c>
      <c r="E283" s="1" t="n">
        <v>46307</v>
      </c>
      <c r="F283" t="inlineStr">
        <is>
          <t>GÄVLEBORGS LÄN</t>
        </is>
      </c>
      <c r="G283" t="inlineStr">
        <is>
          <t>BOLLNÄS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46307</v>
      </c>
      <c r="F284" t="inlineStr">
        <is>
          <t>GÄVLEBORGS LÄN</t>
        </is>
      </c>
      <c r="G284" t="inlineStr">
        <is>
          <t>BOLLNÄS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45782</v>
      </c>
      <c r="E285" s="1" t="n">
        <v>46307</v>
      </c>
      <c r="F285" t="inlineStr">
        <is>
          <t>GÄVLEBORGS LÄN</t>
        </is>
      </c>
      <c r="G285" t="inlineStr">
        <is>
          <t>BOLLNÄS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46307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60428-2024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46307</v>
      </c>
      <c r="F287" t="inlineStr">
        <is>
          <t>GÄVLEBORGS LÄN</t>
        </is>
      </c>
      <c r="G287" t="inlineStr">
        <is>
          <t>BOLLNÄS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46307</v>
      </c>
      <c r="F288" t="inlineStr">
        <is>
          <t>GÄVLEBORGS LÄN</t>
        </is>
      </c>
      <c r="G288" t="inlineStr">
        <is>
          <t>BOLLNÄS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46307</v>
      </c>
      <c r="F289" t="inlineStr">
        <is>
          <t>GÄVLEBORGS LÄN</t>
        </is>
      </c>
      <c r="G289" t="inlineStr">
        <is>
          <t>BOLLNÄS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46307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46307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46307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46307</v>
      </c>
      <c r="F293" t="inlineStr">
        <is>
          <t>GÄVLEBORGS LÄN</t>
        </is>
      </c>
      <c r="G293" t="inlineStr">
        <is>
          <t>BOLLNÄS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46307</v>
      </c>
      <c r="F294" t="inlineStr">
        <is>
          <t>GÄVLEBORGS LÄN</t>
        </is>
      </c>
      <c r="G294" t="inlineStr">
        <is>
          <t>BOLLNÄS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46307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46307</v>
      </c>
      <c r="F296" t="inlineStr">
        <is>
          <t>GÄVLEBORGS LÄN</t>
        </is>
      </c>
      <c r="G296" t="inlineStr">
        <is>
          <t>BOLLNÄS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46307</v>
      </c>
      <c r="F297" t="inlineStr">
        <is>
          <t>GÄVLEBORGS LÄN</t>
        </is>
      </c>
      <c r="G297" t="inlineStr">
        <is>
          <t>BOLLNÄS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46307</v>
      </c>
      <c r="F298" t="inlineStr">
        <is>
          <t>GÄVLEBORGS LÄN</t>
        </is>
      </c>
      <c r="G298" t="inlineStr">
        <is>
          <t>BOLLNÄS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45565</v>
      </c>
      <c r="E299" s="1" t="n">
        <v>46307</v>
      </c>
      <c r="F299" t="inlineStr">
        <is>
          <t>GÄVLEBORGS LÄN</t>
        </is>
      </c>
      <c r="G299" t="inlineStr">
        <is>
          <t>BOLLNÄS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45784</v>
      </c>
      <c r="E300" s="1" t="n">
        <v>46307</v>
      </c>
      <c r="F300" t="inlineStr">
        <is>
          <t>GÄVLEBORGS LÄN</t>
        </is>
      </c>
      <c r="G300" t="inlineStr">
        <is>
          <t>BOLLNÄS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46307</v>
      </c>
      <c r="F301" t="inlineStr">
        <is>
          <t>GÄVLEBORGS LÄN</t>
        </is>
      </c>
      <c r="G301" t="inlineStr">
        <is>
          <t>BOLLNÄS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46307</v>
      </c>
      <c r="F302" t="inlineStr">
        <is>
          <t>GÄVLEBORGS LÄN</t>
        </is>
      </c>
      <c r="G302" t="inlineStr">
        <is>
          <t>BOLLNÄS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46307</v>
      </c>
      <c r="F303" t="inlineStr">
        <is>
          <t>GÄVLEBORGS LÄN</t>
        </is>
      </c>
      <c r="G303" t="inlineStr">
        <is>
          <t>BOLLNÄS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46307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46307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46307</v>
      </c>
      <c r="F306" t="inlineStr">
        <is>
          <t>GÄVLEBORGS LÄN</t>
        </is>
      </c>
      <c r="G306" t="inlineStr">
        <is>
          <t>BOLLNÄS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46307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69613-2021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44532</v>
      </c>
      <c r="E308" s="1" t="n">
        <v>46307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46307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46307</v>
      </c>
      <c r="F310" t="inlineStr">
        <is>
          <t>GÄVLEBORGS LÄN</t>
        </is>
      </c>
      <c r="G310" t="inlineStr">
        <is>
          <t>BOLLNÄS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46307</v>
      </c>
      <c r="F311" t="inlineStr">
        <is>
          <t>GÄVLEBORGS LÄN</t>
        </is>
      </c>
      <c r="G311" t="inlineStr">
        <is>
          <t>BOLLNÄS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46307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44914</v>
      </c>
      <c r="E313" s="1" t="n">
        <v>46307</v>
      </c>
      <c r="F313" t="inlineStr">
        <is>
          <t>GÄVLEBORGS LÄN</t>
        </is>
      </c>
      <c r="G313" t="inlineStr">
        <is>
          <t>BOLLNÄS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46307</v>
      </c>
      <c r="F314" t="inlineStr">
        <is>
          <t>GÄVLEBORGS LÄN</t>
        </is>
      </c>
      <c r="G314" t="inlineStr">
        <is>
          <t>BOLLNÄS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46307</v>
      </c>
      <c r="F315" t="inlineStr">
        <is>
          <t>GÄVLEBORGS LÄN</t>
        </is>
      </c>
      <c r="G315" t="inlineStr">
        <is>
          <t>BOLLNÄS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46307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46307</v>
      </c>
      <c r="F317" t="inlineStr">
        <is>
          <t>GÄVLEBORGS LÄN</t>
        </is>
      </c>
      <c r="G317" t="inlineStr">
        <is>
          <t>BOLLNÄS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46307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45573</v>
      </c>
      <c r="E319" s="1" t="n">
        <v>46307</v>
      </c>
      <c r="F319" t="inlineStr">
        <is>
          <t>GÄVLEBORGS LÄN</t>
        </is>
      </c>
      <c r="G319" t="inlineStr">
        <is>
          <t>BOLLNÄS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46307</v>
      </c>
      <c r="F320" t="inlineStr">
        <is>
          <t>GÄVLEBORGS LÄN</t>
        </is>
      </c>
      <c r="G320" t="inlineStr">
        <is>
          <t>BOLLNÄS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46307</v>
      </c>
      <c r="F321" t="inlineStr">
        <is>
          <t>GÄVLEBORGS LÄN</t>
        </is>
      </c>
      <c r="G321" t="inlineStr">
        <is>
          <t>BOLLNÄS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46307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46307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44120-2022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46307</v>
      </c>
      <c r="F324" t="inlineStr">
        <is>
          <t>GÄVLEBORGS LÄN</t>
        </is>
      </c>
      <c r="G324" t="inlineStr">
        <is>
          <t>BOLLNÄS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45327-2025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45922</v>
      </c>
      <c r="E325" s="1" t="n">
        <v>46307</v>
      </c>
      <c r="F325" t="inlineStr">
        <is>
          <t>GÄVLEBORGS LÄN</t>
        </is>
      </c>
      <c r="G325" t="inlineStr">
        <is>
          <t>BOLLNÄS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45145</v>
      </c>
      <c r="E326" s="1" t="n">
        <v>46307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46307</v>
      </c>
      <c r="F327" t="inlineStr">
        <is>
          <t>GÄVLEBORGS LÄN</t>
        </is>
      </c>
      <c r="G327" t="inlineStr">
        <is>
          <t>BOLLNÄS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46307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44594</v>
      </c>
      <c r="E329" s="1" t="n">
        <v>46307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46307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45919</v>
      </c>
      <c r="E331" s="1" t="n">
        <v>46307</v>
      </c>
      <c r="F331" t="inlineStr">
        <is>
          <t>GÄVLEBORGS LÄN</t>
        </is>
      </c>
      <c r="G331" t="inlineStr">
        <is>
          <t>BOLLNÄS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46307</v>
      </c>
      <c r="F332" t="inlineStr">
        <is>
          <t>GÄVLEBORGS LÄN</t>
        </is>
      </c>
      <c r="G332" t="inlineStr">
        <is>
          <t>BOLLNÄS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46307</v>
      </c>
      <c r="F333" t="inlineStr">
        <is>
          <t>GÄVLEBORGS LÄN</t>
        </is>
      </c>
      <c r="G333" t="inlineStr">
        <is>
          <t>BOLLNÄS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46307</v>
      </c>
      <c r="F334" t="inlineStr">
        <is>
          <t>GÄVLEBORGS LÄN</t>
        </is>
      </c>
      <c r="G334" t="inlineStr">
        <is>
          <t>BOLLNÄS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45923</v>
      </c>
      <c r="E335" s="1" t="n">
        <v>46307</v>
      </c>
      <c r="F335" t="inlineStr">
        <is>
          <t>GÄVLEBORGS LÄN</t>
        </is>
      </c>
      <c r="G335" t="inlineStr">
        <is>
          <t>BOLLNÄS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46307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46307</v>
      </c>
      <c r="F337" t="inlineStr">
        <is>
          <t>GÄVLEBORGS LÄN</t>
        </is>
      </c>
      <c r="G337" t="inlineStr">
        <is>
          <t>BOLLNÄS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46307</v>
      </c>
      <c r="F338" t="inlineStr">
        <is>
          <t>GÄVLEBORGS LÄN</t>
        </is>
      </c>
      <c r="G338" t="inlineStr">
        <is>
          <t>BOLLNÄS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46307</v>
      </c>
      <c r="F339" t="inlineStr">
        <is>
          <t>GÄVLEBORGS LÄN</t>
        </is>
      </c>
      <c r="G339" t="inlineStr">
        <is>
          <t>BOLLNÄS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46307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46307</v>
      </c>
      <c r="F341" t="inlineStr">
        <is>
          <t>GÄVLEBORGS LÄN</t>
        </is>
      </c>
      <c r="G341" t="inlineStr">
        <is>
          <t>BOLLNÄS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46307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46307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46307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46307</v>
      </c>
      <c r="F345" t="inlineStr">
        <is>
          <t>GÄVLEBORGS LÄN</t>
        </is>
      </c>
      <c r="G345" t="inlineStr">
        <is>
          <t>BOLLNÄS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46307</v>
      </c>
      <c r="F346" t="inlineStr">
        <is>
          <t>GÄVLEBORGS LÄN</t>
        </is>
      </c>
      <c r="G346" t="inlineStr">
        <is>
          <t>BOLLNÄS</t>
        </is>
      </c>
      <c r="H346" t="inlineStr">
        <is>
          <t>Kyrkan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45789</v>
      </c>
      <c r="E347" s="1" t="n">
        <v>46307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46307</v>
      </c>
      <c r="F348" t="inlineStr">
        <is>
          <t>GÄVLEBORGS LÄN</t>
        </is>
      </c>
      <c r="G348" t="inlineStr">
        <is>
          <t>BOLLNÄS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46307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46307</v>
      </c>
      <c r="F350" t="inlineStr">
        <is>
          <t>GÄVLEBORGS LÄN</t>
        </is>
      </c>
      <c r="G350" t="inlineStr">
        <is>
          <t>BOLLNÄS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44859</v>
      </c>
      <c r="E351" s="1" t="n">
        <v>46307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45572</v>
      </c>
      <c r="E352" s="1" t="n">
        <v>46307</v>
      </c>
      <c r="F352" t="inlineStr">
        <is>
          <t>GÄVLEBORGS LÄN</t>
        </is>
      </c>
      <c r="G352" t="inlineStr">
        <is>
          <t>BOLLNÄS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46307</v>
      </c>
      <c r="F353" t="inlineStr">
        <is>
          <t>GÄVLEBORGS LÄN</t>
        </is>
      </c>
      <c r="G353" t="inlineStr">
        <is>
          <t>BOLLNÄS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45364</v>
      </c>
      <c r="E354" s="1" t="n">
        <v>46307</v>
      </c>
      <c r="F354" t="inlineStr">
        <is>
          <t>GÄVLEBORGS LÄN</t>
        </is>
      </c>
      <c r="G354" t="inlineStr">
        <is>
          <t>BOLLNÄS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45364</v>
      </c>
      <c r="E355" s="1" t="n">
        <v>46307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60426-2024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45643</v>
      </c>
      <c r="E356" s="1" t="n">
        <v>46307</v>
      </c>
      <c r="F356" t="inlineStr">
        <is>
          <t>GÄVLEBORGS LÄN</t>
        </is>
      </c>
      <c r="G356" t="inlineStr">
        <is>
          <t>BOLLNÄS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46307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46307</v>
      </c>
      <c r="F358" t="inlineStr">
        <is>
          <t>GÄVLEBORGS LÄN</t>
        </is>
      </c>
      <c r="G358" t="inlineStr">
        <is>
          <t>BOLLNÄS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46307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46307</v>
      </c>
      <c r="F360" t="inlineStr">
        <is>
          <t>GÄVLEBORGS LÄN</t>
        </is>
      </c>
      <c r="G360" t="inlineStr">
        <is>
          <t>BOLLNÄS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46307</v>
      </c>
      <c r="F361" t="inlineStr">
        <is>
          <t>GÄVLEBORGS LÄN</t>
        </is>
      </c>
      <c r="G361" t="inlineStr">
        <is>
          <t>BOLLNÄS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46307</v>
      </c>
      <c r="F362" t="inlineStr">
        <is>
          <t>GÄVLEBORGS LÄN</t>
        </is>
      </c>
      <c r="G362" t="inlineStr">
        <is>
          <t>BOLLNÄS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46307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46307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46307</v>
      </c>
      <c r="F365" t="inlineStr">
        <is>
          <t>GÄVLEBORGS LÄN</t>
        </is>
      </c>
      <c r="G365" t="inlineStr">
        <is>
          <t>BOLLNÄS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46307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35208-2025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46307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46307</v>
      </c>
      <c r="F368" t="inlineStr">
        <is>
          <t>GÄVLEBORGS LÄN</t>
        </is>
      </c>
      <c r="G368" t="inlineStr">
        <is>
          <t>BOLLNÄS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46307</v>
      </c>
      <c r="F369" t="inlineStr">
        <is>
          <t>GÄVLEBORGS LÄN</t>
        </is>
      </c>
      <c r="G369" t="inlineStr">
        <is>
          <t>BOLLNÄS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46307</v>
      </c>
      <c r="F370" t="inlineStr">
        <is>
          <t>GÄVLEBORGS LÄN</t>
        </is>
      </c>
      <c r="G370" t="inlineStr">
        <is>
          <t>BOLLNÄS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46307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46307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45546</v>
      </c>
      <c r="E373" s="1" t="n">
        <v>46307</v>
      </c>
      <c r="F373" t="inlineStr">
        <is>
          <t>GÄVLEBORGS LÄN</t>
        </is>
      </c>
      <c r="G373" t="inlineStr">
        <is>
          <t>BOLLNÄS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45793</v>
      </c>
      <c r="E374" s="1" t="n">
        <v>46307</v>
      </c>
      <c r="F374" t="inlineStr">
        <is>
          <t>GÄVLEBORGS LÄN</t>
        </is>
      </c>
      <c r="G374" t="inlineStr">
        <is>
          <t>BOLLNÄS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46307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46307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46307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öst AB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46307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45701</v>
      </c>
      <c r="E379" s="1" t="n">
        <v>46307</v>
      </c>
      <c r="F379" t="inlineStr">
        <is>
          <t>GÄVLEBORGS LÄN</t>
        </is>
      </c>
      <c r="G379" t="inlineStr">
        <is>
          <t>BOLLNÄS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46307</v>
      </c>
      <c r="F380" t="inlineStr">
        <is>
          <t>GÄVLEBORGS LÄN</t>
        </is>
      </c>
      <c r="G380" t="inlineStr">
        <is>
          <t>BOLLNÄS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44894</v>
      </c>
      <c r="E381" s="1" t="n">
        <v>46307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45500</v>
      </c>
      <c r="E382" s="1" t="n">
        <v>46307</v>
      </c>
      <c r="F382" t="inlineStr">
        <is>
          <t>GÄVLEBORGS LÄN</t>
        </is>
      </c>
      <c r="G382" t="inlineStr">
        <is>
          <t>BOLLNÄS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46307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45485</v>
      </c>
      <c r="E384" s="1" t="n">
        <v>46307</v>
      </c>
      <c r="F384" t="inlineStr">
        <is>
          <t>GÄVLEBORGS LÄN</t>
        </is>
      </c>
      <c r="G384" t="inlineStr">
        <is>
          <t>BOLLNÄS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44622</v>
      </c>
      <c r="E385" s="1" t="n">
        <v>46307</v>
      </c>
      <c r="F385" t="inlineStr">
        <is>
          <t>GÄVLEBORGS LÄN</t>
        </is>
      </c>
      <c r="G385" t="inlineStr">
        <is>
          <t>BOLLNÄS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47639-2025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46307</v>
      </c>
      <c r="F386" t="inlineStr">
        <is>
          <t>GÄVLEBORGS LÄN</t>
        </is>
      </c>
      <c r="G386" t="inlineStr">
        <is>
          <t>BOLLNÄS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46307</v>
      </c>
      <c r="F387" t="inlineStr">
        <is>
          <t>GÄVLEBORGS LÄN</t>
        </is>
      </c>
      <c r="G387" t="inlineStr">
        <is>
          <t>BOLLNÄS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67547-2021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44524</v>
      </c>
      <c r="E388" s="1" t="n">
        <v>46307</v>
      </c>
      <c r="F388" t="inlineStr">
        <is>
          <t>GÄVLEBORGS LÄN</t>
        </is>
      </c>
      <c r="G388" t="inlineStr">
        <is>
          <t>BOLLNÄS</t>
        </is>
      </c>
      <c r="H388" t="inlineStr">
        <is>
          <t>Övriga statliga verk och myndigheter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45037</v>
      </c>
      <c r="E389" s="1" t="n">
        <v>46307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46307</v>
      </c>
      <c r="F390" t="inlineStr">
        <is>
          <t>GÄVLEBORGS LÄN</t>
        </is>
      </c>
      <c r="G390" t="inlineStr">
        <is>
          <t>BOLLNÄS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46307</v>
      </c>
      <c r="F391" t="inlineStr">
        <is>
          <t>GÄVLEBORGS LÄN</t>
        </is>
      </c>
      <c r="G391" t="inlineStr">
        <is>
          <t>BOLLNÄS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45613</v>
      </c>
      <c r="E392" s="1" t="n">
        <v>46307</v>
      </c>
      <c r="F392" t="inlineStr">
        <is>
          <t>GÄVLEBORGS LÄN</t>
        </is>
      </c>
      <c r="G392" t="inlineStr">
        <is>
          <t>BOLLNÄS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46307</v>
      </c>
      <c r="F393" t="inlineStr">
        <is>
          <t>GÄVLEBORGS LÄN</t>
        </is>
      </c>
      <c r="G393" t="inlineStr">
        <is>
          <t>BOLLNÄS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46307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46307</v>
      </c>
      <c r="F395" t="inlineStr">
        <is>
          <t>GÄVLEBORGS LÄN</t>
        </is>
      </c>
      <c r="G395" t="inlineStr">
        <is>
          <t>BOLLNÄS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46307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6903-2025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45701</v>
      </c>
      <c r="E397" s="1" t="n">
        <v>46307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44686</v>
      </c>
      <c r="E398" s="1" t="n">
        <v>46307</v>
      </c>
      <c r="F398" t="inlineStr">
        <is>
          <t>GÄVLEBORGS LÄN</t>
        </is>
      </c>
      <c r="G398" t="inlineStr">
        <is>
          <t>BOLLNÄS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46307</v>
      </c>
      <c r="F399" t="inlineStr">
        <is>
          <t>GÄVLEBORGS LÄN</t>
        </is>
      </c>
      <c r="G399" t="inlineStr">
        <is>
          <t>BOLLNÄS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44816</v>
      </c>
      <c r="E400" s="1" t="n">
        <v>46307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46307</v>
      </c>
      <c r="F401" t="inlineStr">
        <is>
          <t>GÄVLEBORGS LÄN</t>
        </is>
      </c>
      <c r="G401" t="inlineStr">
        <is>
          <t>BOLLNÄS</t>
        </is>
      </c>
      <c r="H401" t="inlineStr">
        <is>
          <t>Holmen skog AB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17394-2022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44678</v>
      </c>
      <c r="E402" s="1" t="n">
        <v>46307</v>
      </c>
      <c r="F402" t="inlineStr">
        <is>
          <t>GÄVLEBORGS LÄN</t>
        </is>
      </c>
      <c r="G402" t="inlineStr">
        <is>
          <t>BOLLNÄS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46307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46307</v>
      </c>
      <c r="F404" t="inlineStr">
        <is>
          <t>GÄVLEBORGS LÄN</t>
        </is>
      </c>
      <c r="G404" t="inlineStr">
        <is>
          <t>BOLLNÄS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46307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51970-2024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45607</v>
      </c>
      <c r="E406" s="1" t="n">
        <v>46307</v>
      </c>
      <c r="F406" t="inlineStr">
        <is>
          <t>GÄVLEBORGS LÄN</t>
        </is>
      </c>
      <c r="G406" t="inlineStr">
        <is>
          <t>BOLLNÄS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46307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45681</v>
      </c>
      <c r="E408" s="1" t="n">
        <v>46307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46307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46307</v>
      </c>
      <c r="F410" t="inlineStr">
        <is>
          <t>GÄVLEBORGS LÄN</t>
        </is>
      </c>
      <c r="G410" t="inlineStr">
        <is>
          <t>BOLLNÄS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45212</v>
      </c>
      <c r="E411" s="1" t="n">
        <v>46307</v>
      </c>
      <c r="F411" t="inlineStr">
        <is>
          <t>GÄVLEBORGS LÄN</t>
        </is>
      </c>
      <c r="G411" t="inlineStr">
        <is>
          <t>BOLLNÄS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12023-2024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46307</v>
      </c>
      <c r="F412" t="inlineStr">
        <is>
          <t>GÄVLEBORGS LÄN</t>
        </is>
      </c>
      <c r="G412" t="inlineStr">
        <is>
          <t>BOLLNÄS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46307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46307</v>
      </c>
      <c r="F414" t="inlineStr">
        <is>
          <t>GÄVLEBORGS LÄN</t>
        </is>
      </c>
      <c r="G414" t="inlineStr">
        <is>
          <t>BOLLNÄS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46307</v>
      </c>
      <c r="F415" t="inlineStr">
        <is>
          <t>GÄVLEBORGS LÄN</t>
        </is>
      </c>
      <c r="G415" t="inlineStr">
        <is>
          <t>BOLLNÄS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45448</v>
      </c>
      <c r="E416" s="1" t="n">
        <v>46307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57510-2023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45246</v>
      </c>
      <c r="E417" s="1" t="n">
        <v>46307</v>
      </c>
      <c r="F417" t="inlineStr">
        <is>
          <t>GÄVLEBORGS LÄN</t>
        </is>
      </c>
      <c r="G417" t="inlineStr">
        <is>
          <t>BOLLNÄS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45058</v>
      </c>
      <c r="E418" s="1" t="n">
        <v>46307</v>
      </c>
      <c r="F418" t="inlineStr">
        <is>
          <t>GÄVLEBORGS LÄN</t>
        </is>
      </c>
      <c r="G418" t="inlineStr">
        <is>
          <t>BOLLNÄS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46307</v>
      </c>
      <c r="F419" t="inlineStr">
        <is>
          <t>GÄVLEBORGS LÄN</t>
        </is>
      </c>
      <c r="G419" t="inlineStr">
        <is>
          <t>BOLLNÄS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46307</v>
      </c>
      <c r="F420" t="inlineStr">
        <is>
          <t>GÄVLEBORGS LÄN</t>
        </is>
      </c>
      <c r="G420" t="inlineStr">
        <is>
          <t>BOLLNÄS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46307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46307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46307</v>
      </c>
      <c r="F423" t="inlineStr">
        <is>
          <t>GÄVLEBORGS LÄN</t>
        </is>
      </c>
      <c r="G423" t="inlineStr">
        <is>
          <t>BOLLNÄS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21616-2022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44706</v>
      </c>
      <c r="E424" s="1" t="n">
        <v>46307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46307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46307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46307</v>
      </c>
      <c r="F427" t="inlineStr">
        <is>
          <t>GÄVLEBORGS LÄN</t>
        </is>
      </c>
      <c r="G427" t="inlineStr">
        <is>
          <t>BOLLNÄS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44595</v>
      </c>
      <c r="E428" s="1" t="n">
        <v>46307</v>
      </c>
      <c r="F428" t="inlineStr">
        <is>
          <t>GÄVLEBORGS LÄN</t>
        </is>
      </c>
      <c r="G428" t="inlineStr">
        <is>
          <t>BOLLNÄS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46307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46307</v>
      </c>
      <c r="F430" t="inlineStr">
        <is>
          <t>GÄVLEBORGS LÄN</t>
        </is>
      </c>
      <c r="G430" t="inlineStr">
        <is>
          <t>BOLLNÄS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45943</v>
      </c>
      <c r="E431" s="1" t="n">
        <v>46307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46307</v>
      </c>
      <c r="F432" t="inlineStr">
        <is>
          <t>GÄVLEBORGS LÄN</t>
        </is>
      </c>
      <c r="G432" t="inlineStr">
        <is>
          <t>BOLLNÄS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45943</v>
      </c>
      <c r="E433" s="1" t="n">
        <v>46307</v>
      </c>
      <c r="F433" t="inlineStr">
        <is>
          <t>GÄVLEBORGS LÄN</t>
        </is>
      </c>
      <c r="G433" t="inlineStr">
        <is>
          <t>BOLLNÄS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45943</v>
      </c>
      <c r="E434" s="1" t="n">
        <v>46307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46307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46307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46307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46307</v>
      </c>
      <c r="F438" t="inlineStr">
        <is>
          <t>GÄVLEBORGS LÄN</t>
        </is>
      </c>
      <c r="G438" t="inlineStr">
        <is>
          <t>BOLLNÄS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46307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45442</v>
      </c>
      <c r="E440" s="1" t="n">
        <v>46307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64422-2023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45280</v>
      </c>
      <c r="E441" s="1" t="n">
        <v>46307</v>
      </c>
      <c r="F441" t="inlineStr">
        <is>
          <t>GÄVLEBORGS LÄN</t>
        </is>
      </c>
      <c r="G441" t="inlineStr">
        <is>
          <t>BOLLNÄS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45675</v>
      </c>
      <c r="E442" s="1" t="n">
        <v>46307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45779</v>
      </c>
      <c r="E443" s="1" t="n">
        <v>46307</v>
      </c>
      <c r="F443" t="inlineStr">
        <is>
          <t>GÄVLEBORGS LÄN</t>
        </is>
      </c>
      <c r="G443" t="inlineStr">
        <is>
          <t>BOLLNÄS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45351</v>
      </c>
      <c r="E444" s="1" t="n">
        <v>46307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45223</v>
      </c>
      <c r="E445" s="1" t="n">
        <v>46307</v>
      </c>
      <c r="F445" t="inlineStr">
        <is>
          <t>GÄVLEBORGS LÄN</t>
        </is>
      </c>
      <c r="G445" t="inlineStr">
        <is>
          <t>BOLLNÄS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46307</v>
      </c>
      <c r="F446" t="inlineStr">
        <is>
          <t>GÄVLEBORGS LÄN</t>
        </is>
      </c>
      <c r="G446" t="inlineStr">
        <is>
          <t>BOLLNÄS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63108-2021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44505</v>
      </c>
      <c r="E447" s="1" t="n">
        <v>46307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45818</v>
      </c>
      <c r="E448" s="1" t="n">
        <v>46307</v>
      </c>
      <c r="F448" t="inlineStr">
        <is>
          <t>GÄVLEBORGS LÄN</t>
        </is>
      </c>
      <c r="G448" t="inlineStr">
        <is>
          <t>BOLLNÄS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46307</v>
      </c>
      <c r="F449" t="inlineStr">
        <is>
          <t>GÄVLEBORGS LÄN</t>
        </is>
      </c>
      <c r="G449" t="inlineStr">
        <is>
          <t>BOLLNÄS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14030-2025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45740</v>
      </c>
      <c r="E450" s="1" t="n">
        <v>46307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46307</v>
      </c>
      <c r="F451" t="inlineStr">
        <is>
          <t>GÄVLEBORGS LÄN</t>
        </is>
      </c>
      <c r="G451" t="inlineStr">
        <is>
          <t>BOLLNÄS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46307</v>
      </c>
      <c r="F452" t="inlineStr">
        <is>
          <t>GÄVLEBORGS LÄN</t>
        </is>
      </c>
      <c r="G452" t="inlineStr">
        <is>
          <t>BOLLNÄS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46307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46307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44967</v>
      </c>
      <c r="E455" s="1" t="n">
        <v>46307</v>
      </c>
      <c r="F455" t="inlineStr">
        <is>
          <t>GÄVLEBORGS LÄN</t>
        </is>
      </c>
      <c r="G455" t="inlineStr">
        <is>
          <t>BOLLNÄS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42575-2024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45565</v>
      </c>
      <c r="E456" s="1" t="n">
        <v>46307</v>
      </c>
      <c r="F456" t="inlineStr">
        <is>
          <t>GÄVLEBORGS LÄN</t>
        </is>
      </c>
      <c r="G456" t="inlineStr">
        <is>
          <t>BOLLNÄS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48310-2023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46307</v>
      </c>
      <c r="F457" t="inlineStr">
        <is>
          <t>GÄVLEBORGS LÄN</t>
        </is>
      </c>
      <c r="G457" t="inlineStr">
        <is>
          <t>BOLLNÄS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48605-2023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46307</v>
      </c>
      <c r="F458" t="inlineStr">
        <is>
          <t>GÄVLEBORGS LÄN</t>
        </is>
      </c>
      <c r="G458" t="inlineStr">
        <is>
          <t>BOLLNÄS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45774</v>
      </c>
      <c r="E459" s="1" t="n">
        <v>46307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45624</v>
      </c>
      <c r="E460" s="1" t="n">
        <v>46307</v>
      </c>
      <c r="F460" t="inlineStr">
        <is>
          <t>GÄVLEBORGS LÄN</t>
        </is>
      </c>
      <c r="G460" t="inlineStr">
        <is>
          <t>BOLLNÄS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46307</v>
      </c>
      <c r="F461" t="inlineStr">
        <is>
          <t>GÄVLEBORGS LÄN</t>
        </is>
      </c>
      <c r="G461" t="inlineStr">
        <is>
          <t>BOLLNÄS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45825</v>
      </c>
      <c r="E462" s="1" t="n">
        <v>46307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46307</v>
      </c>
      <c r="F463" t="inlineStr">
        <is>
          <t>GÄVLEBORGS LÄN</t>
        </is>
      </c>
      <c r="G463" t="inlineStr">
        <is>
          <t>BOLLNÄS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46307</v>
      </c>
      <c r="F464" t="inlineStr">
        <is>
          <t>GÄVLEBORGS LÄN</t>
        </is>
      </c>
      <c r="G464" t="inlineStr">
        <is>
          <t>BOLLNÄS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46307</v>
      </c>
      <c r="F465" t="inlineStr">
        <is>
          <t>GÄVLEBORGS LÄN</t>
        </is>
      </c>
      <c r="G465" t="inlineStr">
        <is>
          <t>BOLLNÄS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46307</v>
      </c>
      <c r="F466" t="inlineStr">
        <is>
          <t>GÄVLEBORGS LÄN</t>
        </is>
      </c>
      <c r="G466" t="inlineStr">
        <is>
          <t>BOLLNÄS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11645-2022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46307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46307</v>
      </c>
      <c r="F468" t="inlineStr">
        <is>
          <t>GÄVLEBORGS LÄN</t>
        </is>
      </c>
      <c r="G468" t="inlineStr">
        <is>
          <t>BOLLNÄS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46307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45952</v>
      </c>
      <c r="E470" s="1" t="n">
        <v>46307</v>
      </c>
      <c r="F470" t="inlineStr">
        <is>
          <t>GÄVLEBORGS LÄN</t>
        </is>
      </c>
      <c r="G470" t="inlineStr">
        <is>
          <t>BOLLNÄS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46307</v>
      </c>
      <c r="F471" t="inlineStr">
        <is>
          <t>GÄVLEBORGS LÄN</t>
        </is>
      </c>
      <c r="G471" t="inlineStr">
        <is>
          <t>BOLLNÄS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58753-2021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44489</v>
      </c>
      <c r="E472" s="1" t="n">
        <v>46307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45265</v>
      </c>
      <c r="E473" s="1" t="n">
        <v>46307</v>
      </c>
      <c r="F473" t="inlineStr">
        <is>
          <t>GÄVLEBORGS LÄN</t>
        </is>
      </c>
      <c r="G473" t="inlineStr">
        <is>
          <t>BOLLNÄS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45583</v>
      </c>
      <c r="E474" s="1" t="n">
        <v>46307</v>
      </c>
      <c r="F474" t="inlineStr">
        <is>
          <t>GÄVLEBORGS LÄN</t>
        </is>
      </c>
      <c r="G474" t="inlineStr">
        <is>
          <t>BOLLNÄS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61065-2023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46307</v>
      </c>
      <c r="F475" t="inlineStr">
        <is>
          <t>GÄVLEBORGS LÄN</t>
        </is>
      </c>
      <c r="G475" t="inlineStr">
        <is>
          <t>BOLLNÄS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46307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24770-2022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46307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45672</v>
      </c>
      <c r="E478" s="1" t="n">
        <v>46307</v>
      </c>
      <c r="F478" t="inlineStr">
        <is>
          <t>GÄVLEBORGS LÄN</t>
        </is>
      </c>
      <c r="G478" t="inlineStr">
        <is>
          <t>BOLLNÄS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45672</v>
      </c>
      <c r="E479" s="1" t="n">
        <v>46307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45831</v>
      </c>
      <c r="E480" s="1" t="n">
        <v>46307</v>
      </c>
      <c r="F480" t="inlineStr">
        <is>
          <t>GÄVLEBORGS LÄN</t>
        </is>
      </c>
      <c r="G480" t="inlineStr">
        <is>
          <t>BOLLNÄS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46307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46307</v>
      </c>
      <c r="F482" t="inlineStr">
        <is>
          <t>GÄVLEBORGS LÄN</t>
        </is>
      </c>
      <c r="G482" t="inlineStr">
        <is>
          <t>BOLLNÄS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46307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46307</v>
      </c>
      <c r="F484" t="inlineStr">
        <is>
          <t>GÄVLEBORGS LÄN</t>
        </is>
      </c>
      <c r="G484" t="inlineStr">
        <is>
          <t>BOLLNÄS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46307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46307</v>
      </c>
      <c r="F486" t="inlineStr">
        <is>
          <t>GÄVLEBORGS LÄN</t>
        </is>
      </c>
      <c r="G486" t="inlineStr">
        <is>
          <t>BOLLNÄS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45953</v>
      </c>
      <c r="E487" s="1" t="n">
        <v>46307</v>
      </c>
      <c r="F487" t="inlineStr">
        <is>
          <t>GÄVLEBORGS LÄN</t>
        </is>
      </c>
      <c r="G487" t="inlineStr">
        <is>
          <t>BOLLNÄS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46307</v>
      </c>
      <c r="F488" t="inlineStr">
        <is>
          <t>GÄVLEBORGS LÄN</t>
        </is>
      </c>
      <c r="G488" t="inlineStr">
        <is>
          <t>BOLLNÄS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46307</v>
      </c>
      <c r="F489" t="inlineStr">
        <is>
          <t>GÄVLEBORGS LÄN</t>
        </is>
      </c>
      <c r="G489" t="inlineStr">
        <is>
          <t>BOLLNÄS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46307</v>
      </c>
      <c r="F490" t="inlineStr">
        <is>
          <t>GÄVLEBORGS LÄN</t>
        </is>
      </c>
      <c r="G490" t="inlineStr">
        <is>
          <t>BOLLNÄS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46307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50746-2025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45946</v>
      </c>
      <c r="E492" s="1" t="n">
        <v>46307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46307</v>
      </c>
      <c r="F493" t="inlineStr">
        <is>
          <t>GÄVLEBORGS LÄN</t>
        </is>
      </c>
      <c r="G493" t="inlineStr">
        <is>
          <t>BOLLNÄS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46307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53599-2025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45960</v>
      </c>
      <c r="E495" s="1" t="n">
        <v>46307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45960</v>
      </c>
      <c r="E496" s="1" t="n">
        <v>46307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46307</v>
      </c>
      <c r="F497" t="inlineStr">
        <is>
          <t>GÄVLEBORGS LÄN</t>
        </is>
      </c>
      <c r="G497" t="inlineStr">
        <is>
          <t>BOLLNÄS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45834</v>
      </c>
      <c r="E498" s="1" t="n">
        <v>46307</v>
      </c>
      <c r="F498" t="inlineStr">
        <is>
          <t>GÄVLEBORGS LÄN</t>
        </is>
      </c>
      <c r="G498" t="inlineStr">
        <is>
          <t>BOLLNÄS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46307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46307</v>
      </c>
      <c r="F500" t="inlineStr">
        <is>
          <t>GÄVLEBORGS LÄN</t>
        </is>
      </c>
      <c r="G500" t="inlineStr">
        <is>
          <t>BOLLNÄS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54149-2025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46307</v>
      </c>
      <c r="F501" t="inlineStr">
        <is>
          <t>GÄVLEBORGS LÄN</t>
        </is>
      </c>
      <c r="G501" t="inlineStr">
        <is>
          <t>BOLLNÄS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45964</v>
      </c>
      <c r="E502" s="1" t="n">
        <v>46307</v>
      </c>
      <c r="F502" t="inlineStr">
        <is>
          <t>GÄVLEBORGS LÄN</t>
        </is>
      </c>
      <c r="G502" t="inlineStr">
        <is>
          <t>BOLLNÄS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45835</v>
      </c>
      <c r="E503" s="1" t="n">
        <v>46307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46307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45838</v>
      </c>
      <c r="E505" s="1" t="n">
        <v>46307</v>
      </c>
      <c r="F505" t="inlineStr">
        <is>
          <t>GÄVLEBORGS LÄN</t>
        </is>
      </c>
      <c r="G505" t="inlineStr">
        <is>
          <t>BOLLNÄS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46307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45961</v>
      </c>
      <c r="E507" s="1" t="n">
        <v>46307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54013-2025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45961</v>
      </c>
      <c r="E508" s="1" t="n">
        <v>46307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45835</v>
      </c>
      <c r="E509" s="1" t="n">
        <v>46307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45835</v>
      </c>
      <c r="E510" s="1" t="n">
        <v>46307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46307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46307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46307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45965</v>
      </c>
      <c r="E514" s="1" t="n">
        <v>46307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45103</v>
      </c>
      <c r="E515" s="1" t="n">
        <v>46307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46307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46307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46307</v>
      </c>
      <c r="F518" t="inlineStr">
        <is>
          <t>GÄVLEBORGS LÄN</t>
        </is>
      </c>
      <c r="G518" t="inlineStr">
        <is>
          <t>BOLLNÄS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45842</v>
      </c>
      <c r="E519" s="1" t="n">
        <v>46307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46307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44749</v>
      </c>
      <c r="E521" s="1" t="n">
        <v>46307</v>
      </c>
      <c r="F521" t="inlineStr">
        <is>
          <t>GÄVLEBORGS LÄN</t>
        </is>
      </c>
      <c r="G521" t="inlineStr">
        <is>
          <t>BOLLNÄS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46307</v>
      </c>
      <c r="F522" t="inlineStr">
        <is>
          <t>GÄVLEBORGS LÄN</t>
        </is>
      </c>
      <c r="G522" t="inlineStr">
        <is>
          <t>BOLLNÄS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45707</v>
      </c>
      <c r="E523" s="1" t="n">
        <v>46307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46307</v>
      </c>
      <c r="F524" t="inlineStr">
        <is>
          <t>GÄVLEBORGS LÄN</t>
        </is>
      </c>
      <c r="G524" t="inlineStr">
        <is>
          <t>BOLLNÄS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46307</v>
      </c>
      <c r="F525" t="inlineStr">
        <is>
          <t>GÄVLEBORGS LÄN</t>
        </is>
      </c>
      <c r="G525" t="inlineStr">
        <is>
          <t>BOLLNÄS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46307</v>
      </c>
      <c r="F526" t="inlineStr">
        <is>
          <t>GÄVLEBORGS LÄN</t>
        </is>
      </c>
      <c r="G526" t="inlineStr">
        <is>
          <t>BOLLNÄS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55164-2025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45968</v>
      </c>
      <c r="E527" s="1" t="n">
        <v>46307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46307</v>
      </c>
      <c r="F528" t="inlineStr">
        <is>
          <t>GÄVLEBORGS LÄN</t>
        </is>
      </c>
      <c r="G528" t="inlineStr">
        <is>
          <t>BOLLNÄS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44177-2022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46307</v>
      </c>
      <c r="F529" t="inlineStr">
        <is>
          <t>GÄVLEBORGS LÄN</t>
        </is>
      </c>
      <c r="G529" t="inlineStr">
        <is>
          <t>BOLLNÄS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45631</v>
      </c>
      <c r="E530" s="1" t="n">
        <v>46307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45841</v>
      </c>
      <c r="E531" s="1" t="n">
        <v>46307</v>
      </c>
      <c r="F531" t="inlineStr">
        <is>
          <t>GÄVLEBORGS LÄN</t>
        </is>
      </c>
      <c r="G531" t="inlineStr">
        <is>
          <t>BOLLNÄS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45677</v>
      </c>
      <c r="E532" s="1" t="n">
        <v>46307</v>
      </c>
      <c r="F532" t="inlineStr">
        <is>
          <t>GÄVLEBORGS LÄN</t>
        </is>
      </c>
      <c r="G532" t="inlineStr">
        <is>
          <t>BOLLNÄS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45845</v>
      </c>
      <c r="E533" s="1" t="n">
        <v>46307</v>
      </c>
      <c r="F533" t="inlineStr">
        <is>
          <t>GÄVLEBORGS LÄN</t>
        </is>
      </c>
      <c r="G533" t="inlineStr">
        <is>
          <t>BOLLNÄS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45845</v>
      </c>
      <c r="E534" s="1" t="n">
        <v>46307</v>
      </c>
      <c r="F534" t="inlineStr">
        <is>
          <t>GÄVLEBORGS LÄN</t>
        </is>
      </c>
      <c r="G534" t="inlineStr">
        <is>
          <t>BOLLNÄS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45845</v>
      </c>
      <c r="E535" s="1" t="n">
        <v>46307</v>
      </c>
      <c r="F535" t="inlineStr">
        <is>
          <t>GÄVLEBORGS LÄN</t>
        </is>
      </c>
      <c r="G535" t="inlineStr">
        <is>
          <t>BOLLNÄS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21009-2022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44704</v>
      </c>
      <c r="E536" s="1" t="n">
        <v>46307</v>
      </c>
      <c r="F536" t="inlineStr">
        <is>
          <t>GÄVLEBORGS LÄN</t>
        </is>
      </c>
      <c r="G536" t="inlineStr">
        <is>
          <t>BOLLNÄS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45845</v>
      </c>
      <c r="E537" s="1" t="n">
        <v>46307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45331</v>
      </c>
      <c r="E538" s="1" t="n">
        <v>46307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46307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46307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45848</v>
      </c>
      <c r="E541" s="1" t="n">
        <v>46307</v>
      </c>
      <c r="F541" t="inlineStr">
        <is>
          <t>GÄVLEBORGS LÄN</t>
        </is>
      </c>
      <c r="G541" t="inlineStr">
        <is>
          <t>BOLLNÄS</t>
        </is>
      </c>
      <c r="H541" t="inlineStr">
        <is>
          <t>Holmen skog AB</t>
        </is>
      </c>
      <c r="I541" t="n">
        <v>32.6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46307</v>
      </c>
      <c r="F542" t="inlineStr">
        <is>
          <t>GÄVLEBORGS LÄN</t>
        </is>
      </c>
      <c r="G542" t="inlineStr">
        <is>
          <t>BOLLNÄS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45246</v>
      </c>
      <c r="E543" s="1" t="n">
        <v>46307</v>
      </c>
      <c r="F543" t="inlineStr">
        <is>
          <t>GÄVLEBORGS LÄN</t>
        </is>
      </c>
      <c r="G543" t="inlineStr">
        <is>
          <t>BOLLNÄS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34481-2025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45847</v>
      </c>
      <c r="E544" s="1" t="n">
        <v>46307</v>
      </c>
      <c r="F544" t="inlineStr">
        <is>
          <t>GÄVLEBORGS LÄN</t>
        </is>
      </c>
      <c r="G544" t="inlineStr">
        <is>
          <t>BOLLNÄS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46307</v>
      </c>
      <c r="F545" t="inlineStr">
        <is>
          <t>GÄVLEBORGS LÄN</t>
        </is>
      </c>
      <c r="G545" t="inlineStr">
        <is>
          <t>BOLLNÄS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46307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56328-2025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45974</v>
      </c>
      <c r="E547" s="1" t="n">
        <v>46307</v>
      </c>
      <c r="F547" t="inlineStr">
        <is>
          <t>GÄVLEBORGS LÄN</t>
        </is>
      </c>
      <c r="G547" t="inlineStr">
        <is>
          <t>BOLLNÄS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51310-2023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45219</v>
      </c>
      <c r="E548" s="1" t="n">
        <v>46307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56596-2025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45975</v>
      </c>
      <c r="E549" s="1" t="n">
        <v>46307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45736</v>
      </c>
      <c r="E550" s="1" t="n">
        <v>46307</v>
      </c>
      <c r="F550" t="inlineStr">
        <is>
          <t>GÄVLEBORGS LÄN</t>
        </is>
      </c>
      <c r="G550" t="inlineStr">
        <is>
          <t>BOLLNÄS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10021-2025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46307</v>
      </c>
      <c r="F551" t="inlineStr">
        <is>
          <t>GÄVLEBORGS LÄN</t>
        </is>
      </c>
      <c r="G551" t="inlineStr">
        <is>
          <t>BOLLNÄS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46307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44796</v>
      </c>
      <c r="E553" s="1" t="n">
        <v>46307</v>
      </c>
      <c r="F553" t="inlineStr">
        <is>
          <t>GÄVLEBORGS LÄN</t>
        </is>
      </c>
      <c r="G553" t="inlineStr">
        <is>
          <t>BOLLNÄS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45973</v>
      </c>
      <c r="E554" s="1" t="n">
        <v>46307</v>
      </c>
      <c r="F554" t="inlineStr">
        <is>
          <t>GÄVLEBORGS LÄN</t>
        </is>
      </c>
      <c r="G554" t="inlineStr">
        <is>
          <t>BOLLNÄS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16627-2025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46307</v>
      </c>
      <c r="F555" t="inlineStr">
        <is>
          <t>GÄVLEBORGS LÄN</t>
        </is>
      </c>
      <c r="G555" t="inlineStr">
        <is>
          <t>BOLLNÄS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44831</v>
      </c>
      <c r="E556" s="1" t="n">
        <v>46307</v>
      </c>
      <c r="F556" t="inlineStr">
        <is>
          <t>GÄVLEBORGS LÄN</t>
        </is>
      </c>
      <c r="G556" t="inlineStr">
        <is>
          <t>BOLLNÄS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46307</v>
      </c>
      <c r="F557" t="inlineStr">
        <is>
          <t>GÄVLEBORGS LÄN</t>
        </is>
      </c>
      <c r="G557" t="inlineStr">
        <is>
          <t>BOLLNÄS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46307</v>
      </c>
      <c r="F558" t="inlineStr">
        <is>
          <t>GÄVLEBORGS LÄN</t>
        </is>
      </c>
      <c r="G558" t="inlineStr">
        <is>
          <t>BOLLNÄS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46307</v>
      </c>
      <c r="F559" t="inlineStr">
        <is>
          <t>GÄVLEBORGS LÄN</t>
        </is>
      </c>
      <c r="G559" t="inlineStr">
        <is>
          <t>BOLLNÄS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44749</v>
      </c>
      <c r="E560" s="1" t="n">
        <v>46307</v>
      </c>
      <c r="F560" t="inlineStr">
        <is>
          <t>GÄVLEBORGS LÄN</t>
        </is>
      </c>
      <c r="G560" t="inlineStr">
        <is>
          <t>BOLLNÄS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46307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45867</v>
      </c>
      <c r="E562" s="1" t="n">
        <v>46307</v>
      </c>
      <c r="F562" t="inlineStr">
        <is>
          <t>GÄVLEBORGS LÄN</t>
        </is>
      </c>
      <c r="G562" t="inlineStr">
        <is>
          <t>BOLLNÄS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45867</v>
      </c>
      <c r="E563" s="1" t="n">
        <v>46307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45975</v>
      </c>
      <c r="E564" s="1" t="n">
        <v>46307</v>
      </c>
      <c r="F564" t="inlineStr">
        <is>
          <t>GÄVLEBORGS LÄN</t>
        </is>
      </c>
      <c r="G564" t="inlineStr">
        <is>
          <t>BOLLNÄS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46307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37071-2022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46307</v>
      </c>
      <c r="F566" t="inlineStr">
        <is>
          <t>GÄVLEBORGS LÄN</t>
        </is>
      </c>
      <c r="G566" t="inlineStr">
        <is>
          <t>BOLLNÄS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45869</v>
      </c>
      <c r="E567" s="1" t="n">
        <v>46307</v>
      </c>
      <c r="F567" t="inlineStr">
        <is>
          <t>GÄVLEBORGS LÄN</t>
        </is>
      </c>
      <c r="G567" t="inlineStr">
        <is>
          <t>BOLLNÄS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46307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45251</v>
      </c>
      <c r="E569" s="1" t="n">
        <v>46307</v>
      </c>
      <c r="F569" t="inlineStr">
        <is>
          <t>GÄVLEBORGS LÄN</t>
        </is>
      </c>
      <c r="G569" t="inlineStr">
        <is>
          <t>BOLLNÄS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58333-2022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44901</v>
      </c>
      <c r="E570" s="1" t="n">
        <v>46307</v>
      </c>
      <c r="F570" t="inlineStr">
        <is>
          <t>GÄVLEBORGS LÄN</t>
        </is>
      </c>
      <c r="G570" t="inlineStr">
        <is>
          <t>BOLLNÄS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45474</v>
      </c>
      <c r="E571" s="1" t="n">
        <v>46307</v>
      </c>
      <c r="F571" t="inlineStr">
        <is>
          <t>GÄVLEBORGS LÄN</t>
        </is>
      </c>
      <c r="G571" t="inlineStr">
        <is>
          <t>BOLLNÄS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57214-2025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46307</v>
      </c>
      <c r="F572" t="inlineStr">
        <is>
          <t>GÄVLEBORGS LÄN</t>
        </is>
      </c>
      <c r="G572" t="inlineStr">
        <is>
          <t>BOLLNÄS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57054-2025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45979</v>
      </c>
      <c r="E573" s="1" t="n">
        <v>46307</v>
      </c>
      <c r="F573" t="inlineStr">
        <is>
          <t>GÄVLEBORGS LÄN</t>
        </is>
      </c>
      <c r="G573" t="inlineStr">
        <is>
          <t>BOLLNÄS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59331-2022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44904</v>
      </c>
      <c r="E574" s="1" t="n">
        <v>46307</v>
      </c>
      <c r="F574" t="inlineStr">
        <is>
          <t>GÄVLEBORGS LÄN</t>
        </is>
      </c>
      <c r="G574" t="inlineStr">
        <is>
          <t>BOLLNÄS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45482</v>
      </c>
      <c r="E575" s="1" t="n">
        <v>46307</v>
      </c>
      <c r="F575" t="inlineStr">
        <is>
          <t>GÄVLEBORGS LÄN</t>
        </is>
      </c>
      <c r="G575" t="inlineStr">
        <is>
          <t>BOLLNÄS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46307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46307</v>
      </c>
      <c r="F577" t="inlineStr">
        <is>
          <t>GÄVLEBORGS LÄN</t>
        </is>
      </c>
      <c r="G577" t="inlineStr">
        <is>
          <t>BOLLNÄS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46307</v>
      </c>
      <c r="F578" t="inlineStr">
        <is>
          <t>GÄVLEBORGS LÄN</t>
        </is>
      </c>
      <c r="G578" t="inlineStr">
        <is>
          <t>BOLLNÄS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46307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45660</v>
      </c>
      <c r="E580" s="1" t="n">
        <v>46307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45310</v>
      </c>
      <c r="E581" s="1" t="n">
        <v>46307</v>
      </c>
      <c r="F581" t="inlineStr">
        <is>
          <t>GÄVLEBORGS LÄN</t>
        </is>
      </c>
      <c r="G581" t="inlineStr">
        <is>
          <t>BOLLNÄS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46307</v>
      </c>
      <c r="F582" t="inlineStr">
        <is>
          <t>GÄVLEBORGS LÄN</t>
        </is>
      </c>
      <c r="G582" t="inlineStr">
        <is>
          <t>BOLLNÄS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46307</v>
      </c>
      <c r="F583" t="inlineStr">
        <is>
          <t>GÄVLEBORGS LÄN</t>
        </is>
      </c>
      <c r="G583" t="inlineStr">
        <is>
          <t>BOLLNÄS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46307</v>
      </c>
      <c r="F584" t="inlineStr">
        <is>
          <t>GÄVLEBORGS LÄN</t>
        </is>
      </c>
      <c r="G584" t="inlineStr">
        <is>
          <t>BOLLNÄS</t>
        </is>
      </c>
      <c r="I584" t="n">
        <v>8.699999999999999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44944</v>
      </c>
      <c r="E585" s="1" t="n">
        <v>46307</v>
      </c>
      <c r="F585" t="inlineStr">
        <is>
          <t>GÄVLEBORGS LÄN</t>
        </is>
      </c>
      <c r="G585" t="inlineStr">
        <is>
          <t>BOLLNÄS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46307</v>
      </c>
      <c r="F586" t="inlineStr">
        <is>
          <t>GÄVLEBORGS LÄN</t>
        </is>
      </c>
      <c r="G586" t="inlineStr">
        <is>
          <t>BOLLNÄS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41962-2022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44830</v>
      </c>
      <c r="E587" s="1" t="n">
        <v>46307</v>
      </c>
      <c r="F587" t="inlineStr">
        <is>
          <t>GÄVLEBORGS LÄN</t>
        </is>
      </c>
      <c r="G587" t="inlineStr">
        <is>
          <t>BOLLNÄS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45743</v>
      </c>
      <c r="E588" s="1" t="n">
        <v>46307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45882</v>
      </c>
      <c r="E589" s="1" t="n">
        <v>46307</v>
      </c>
      <c r="F589" t="inlineStr">
        <is>
          <t>GÄVLEBORGS LÄN</t>
        </is>
      </c>
      <c r="G589" t="inlineStr">
        <is>
          <t>BOLLNÄS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46307</v>
      </c>
      <c r="F590" t="inlineStr">
        <is>
          <t>GÄVLEBORGS LÄN</t>
        </is>
      </c>
      <c r="G590" t="inlineStr">
        <is>
          <t>BOLLNÄS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46307</v>
      </c>
      <c r="F591" t="inlineStr">
        <is>
          <t>GÄVLEBORGS LÄN</t>
        </is>
      </c>
      <c r="G591" t="inlineStr">
        <is>
          <t>BOLLNÄS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57708-2025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46307</v>
      </c>
      <c r="F592" t="inlineStr">
        <is>
          <t>GÄVLEBORGS LÄN</t>
        </is>
      </c>
      <c r="G592" t="inlineStr">
        <is>
          <t>BOLLNÄS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46307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51867-2022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44872</v>
      </c>
      <c r="E594" s="1" t="n">
        <v>46307</v>
      </c>
      <c r="F594" t="inlineStr">
        <is>
          <t>GÄVLEBORGS LÄN</t>
        </is>
      </c>
      <c r="G594" t="inlineStr">
        <is>
          <t>BOLLNÄS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46307</v>
      </c>
      <c r="F595" t="inlineStr">
        <is>
          <t>GÄVLEBORGS LÄN</t>
        </is>
      </c>
      <c r="G595" t="inlineStr">
        <is>
          <t>BOLLNÄS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46307</v>
      </c>
      <c r="F596" t="inlineStr">
        <is>
          <t>GÄVLEBORGS LÄN</t>
        </is>
      </c>
      <c r="G596" t="inlineStr">
        <is>
          <t>BOLLNÄS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13378-2026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46307</v>
      </c>
      <c r="F597" t="inlineStr">
        <is>
          <t>GÄVLEBORGS LÄN</t>
        </is>
      </c>
      <c r="G597" t="inlineStr">
        <is>
          <t>BOLLNÄS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46307</v>
      </c>
      <c r="F598" t="inlineStr">
        <is>
          <t>GÄVLEBORGS LÄN</t>
        </is>
      </c>
      <c r="G598" t="inlineStr">
        <is>
          <t>BOLLNÄS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46307</v>
      </c>
      <c r="F599" t="inlineStr">
        <is>
          <t>GÄVLEBORGS LÄN</t>
        </is>
      </c>
      <c r="G599" t="inlineStr">
        <is>
          <t>BOLLNÄS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46307</v>
      </c>
      <c r="F600" t="inlineStr">
        <is>
          <t>GÄVLEBORGS LÄN</t>
        </is>
      </c>
      <c r="G600" t="inlineStr">
        <is>
          <t>BOLLNÄS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31385-2023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45114</v>
      </c>
      <c r="E601" s="1" t="n">
        <v>46307</v>
      </c>
      <c r="F601" t="inlineStr">
        <is>
          <t>GÄVLEBORGS LÄN</t>
        </is>
      </c>
      <c r="G601" t="inlineStr">
        <is>
          <t>BOLLNÄS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46307</v>
      </c>
      <c r="F602" t="inlineStr">
        <is>
          <t>GÄVLEBORGS LÄN</t>
        </is>
      </c>
      <c r="G602" t="inlineStr">
        <is>
          <t>BOLLNÄS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46307</v>
      </c>
      <c r="F603" t="inlineStr">
        <is>
          <t>GÄVLEBORGS LÄN</t>
        </is>
      </c>
      <c r="G603" t="inlineStr">
        <is>
          <t>BOLLNÄS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46307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46307</v>
      </c>
      <c r="F605" t="inlineStr">
        <is>
          <t>GÄVLEBORGS LÄN</t>
        </is>
      </c>
      <c r="G605" t="inlineStr">
        <is>
          <t>BOLLNÄS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46307</v>
      </c>
      <c r="F606" t="inlineStr">
        <is>
          <t>GÄVLEBORGS LÄN</t>
        </is>
      </c>
      <c r="G606" t="inlineStr">
        <is>
          <t>BOLLNÄS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46307</v>
      </c>
      <c r="F607" t="inlineStr">
        <is>
          <t>GÄVLEBORGS LÄN</t>
        </is>
      </c>
      <c r="G607" t="inlineStr">
        <is>
          <t>BOLLNÄS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46307</v>
      </c>
      <c r="F608" t="inlineStr">
        <is>
          <t>GÄVLEBORGS LÄN</t>
        </is>
      </c>
      <c r="G608" t="inlineStr">
        <is>
          <t>BOLLNÄS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46307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46307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46307</v>
      </c>
      <c r="F611" t="inlineStr">
        <is>
          <t>GÄVLEBORGS LÄN</t>
        </is>
      </c>
      <c r="G611" t="inlineStr">
        <is>
          <t>BOLLNÄS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46099</v>
      </c>
      <c r="E612" s="1" t="n">
        <v>46307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46307</v>
      </c>
      <c r="F613" t="inlineStr">
        <is>
          <t>GÄVLEBORGS LÄN</t>
        </is>
      </c>
      <c r="G613" t="inlineStr">
        <is>
          <t>BOLLNÄS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13859-2026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46098</v>
      </c>
      <c r="E614" s="1" t="n">
        <v>46307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46307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46307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45299</v>
      </c>
      <c r="E617" s="1" t="n">
        <v>46307</v>
      </c>
      <c r="F617" t="inlineStr">
        <is>
          <t>GÄVLEBORGS LÄN</t>
        </is>
      </c>
      <c r="G617" t="inlineStr">
        <is>
          <t>BOLLNÄS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46307</v>
      </c>
      <c r="F618" t="inlineStr">
        <is>
          <t>GÄVLEBORGS LÄN</t>
        </is>
      </c>
      <c r="G618" t="inlineStr">
        <is>
          <t>BOLLNÄS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46307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46307</v>
      </c>
      <c r="F620" t="inlineStr">
        <is>
          <t>GÄVLEBORGS LÄN</t>
        </is>
      </c>
      <c r="G620" t="inlineStr">
        <is>
          <t>BOLLNÄS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14630-2026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46101</v>
      </c>
      <c r="E621" s="1" t="n">
        <v>46307</v>
      </c>
      <c r="F621" t="inlineStr">
        <is>
          <t>GÄVLEBORGS LÄN</t>
        </is>
      </c>
      <c r="G621" t="inlineStr">
        <is>
          <t>BOLLNÄS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46307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14735-2026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46101</v>
      </c>
      <c r="E623" s="1" t="n">
        <v>46307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46307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46307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46307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46101</v>
      </c>
      <c r="E627" s="1" t="n">
        <v>46307</v>
      </c>
      <c r="F627" t="inlineStr">
        <is>
          <t>GÄVLEBORGS LÄN</t>
        </is>
      </c>
      <c r="G627" t="inlineStr">
        <is>
          <t>BOLLNÄS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46307</v>
      </c>
      <c r="F628" t="inlineStr">
        <is>
          <t>GÄVLEBORGS LÄN</t>
        </is>
      </c>
      <c r="G628" t="inlineStr">
        <is>
          <t>BOLLNÄS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46307</v>
      </c>
      <c r="F629" t="inlineStr">
        <is>
          <t>GÄVLEBORGS LÄN</t>
        </is>
      </c>
      <c r="G629" t="inlineStr">
        <is>
          <t>BOLLNÄS</t>
        </is>
      </c>
      <c r="H629" t="inlineStr">
        <is>
          <t>Kommuner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14741-2026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46307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14764-2026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46307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46307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46101</v>
      </c>
      <c r="E633" s="1" t="n">
        <v>46307</v>
      </c>
      <c r="F633" t="inlineStr">
        <is>
          <t>GÄVLEBORGS LÄN</t>
        </is>
      </c>
      <c r="G633" t="inlineStr">
        <is>
          <t>BOLLNÄS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46307</v>
      </c>
      <c r="F634" t="inlineStr">
        <is>
          <t>GÄVLEBORGS LÄN</t>
        </is>
      </c>
      <c r="G634" t="inlineStr">
        <is>
          <t>BOLLNÄS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46307</v>
      </c>
      <c r="F635" t="inlineStr">
        <is>
          <t>GÄVLEBORGS LÄN</t>
        </is>
      </c>
      <c r="G635" t="inlineStr">
        <is>
          <t>BOLLNÄS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46100</v>
      </c>
      <c r="E636" s="1" t="n">
        <v>46307</v>
      </c>
      <c r="F636" t="inlineStr">
        <is>
          <t>GÄVLEBORGS LÄN</t>
        </is>
      </c>
      <c r="G636" t="inlineStr">
        <is>
          <t>BOLLNÄS</t>
        </is>
      </c>
      <c r="I636" t="n">
        <v>10.9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46101</v>
      </c>
      <c r="E637" s="1" t="n">
        <v>46307</v>
      </c>
      <c r="F637" t="inlineStr">
        <is>
          <t>GÄVLEBORGS LÄN</t>
        </is>
      </c>
      <c r="G637" t="inlineStr">
        <is>
          <t>BOLLNÄS</t>
        </is>
      </c>
      <c r="H637" t="inlineStr">
        <is>
          <t>Kommuner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14784-2026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46307</v>
      </c>
      <c r="F638" t="inlineStr">
        <is>
          <t>GÄVLEBORGS LÄN</t>
        </is>
      </c>
      <c r="G638" t="inlineStr">
        <is>
          <t>BOLLNÄS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46307</v>
      </c>
      <c r="F639" t="inlineStr">
        <is>
          <t>GÄVLEBORGS LÄN</t>
        </is>
      </c>
      <c r="G639" t="inlineStr">
        <is>
          <t>BOLLNÄS</t>
        </is>
      </c>
      <c r="H639" t="inlineStr">
        <is>
          <t>Kommuner</t>
        </is>
      </c>
      <c r="I639" t="n">
        <v>23.7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14333-2026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46307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11.9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45469</v>
      </c>
      <c r="E641" s="1" t="n">
        <v>46307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46307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46307</v>
      </c>
      <c r="F643" t="inlineStr">
        <is>
          <t>GÄVLEBORGS LÄN</t>
        </is>
      </c>
      <c r="G643" t="inlineStr">
        <is>
          <t>BOLLNÄS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58697-2025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45986</v>
      </c>
      <c r="E644" s="1" t="n">
        <v>46307</v>
      </c>
      <c r="F644" t="inlineStr">
        <is>
          <t>GÄVLEBORGS LÄN</t>
        </is>
      </c>
      <c r="G644" t="inlineStr">
        <is>
          <t>BOLLNÄS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46307</v>
      </c>
      <c r="F645" t="inlineStr">
        <is>
          <t>GÄVLEBORGS LÄN</t>
        </is>
      </c>
      <c r="G645" t="inlineStr">
        <is>
          <t>BOLLNÄS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25631-2022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44732</v>
      </c>
      <c r="E646" s="1" t="n">
        <v>46307</v>
      </c>
      <c r="F646" t="inlineStr">
        <is>
          <t>GÄVLEBORGS LÄN</t>
        </is>
      </c>
      <c r="G646" t="inlineStr">
        <is>
          <t>BOLLNÄS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58431-2021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44488</v>
      </c>
      <c r="E647" s="1" t="n">
        <v>46307</v>
      </c>
      <c r="F647" t="inlineStr">
        <is>
          <t>GÄVLEBORGS LÄN</t>
        </is>
      </c>
      <c r="G647" t="inlineStr">
        <is>
          <t>BOLLNÄS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45468</v>
      </c>
      <c r="E648" s="1" t="n">
        <v>46307</v>
      </c>
      <c r="F648" t="inlineStr">
        <is>
          <t>GÄVLEBORGS LÄN</t>
        </is>
      </c>
      <c r="G648" t="inlineStr">
        <is>
          <t>BOLLNÄS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46307</v>
      </c>
      <c r="F649" t="inlineStr">
        <is>
          <t>GÄVLEBORGS LÄN</t>
        </is>
      </c>
      <c r="G649" t="inlineStr">
        <is>
          <t>BOLLNÄS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46307</v>
      </c>
      <c r="F650" t="inlineStr">
        <is>
          <t>GÄVLEBORGS LÄN</t>
        </is>
      </c>
      <c r="G650" t="inlineStr">
        <is>
          <t>BOLLNÄS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50066-2022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44865</v>
      </c>
      <c r="E651" s="1" t="n">
        <v>46307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46307</v>
      </c>
      <c r="F652" t="inlineStr">
        <is>
          <t>GÄVLEBORGS LÄN</t>
        </is>
      </c>
      <c r="G652" t="inlineStr">
        <is>
          <t>BOLLNÄS</t>
        </is>
      </c>
      <c r="H652" t="inlineStr">
        <is>
          <t>Holmen skog AB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46307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46307</v>
      </c>
      <c r="F654" t="inlineStr">
        <is>
          <t>GÄVLEBORGS LÄN</t>
        </is>
      </c>
      <c r="G654" t="inlineStr">
        <is>
          <t>BOLLNÄS</t>
        </is>
      </c>
      <c r="I654" t="n">
        <v>7.1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29881-2024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45486</v>
      </c>
      <c r="E655" s="1" t="n">
        <v>46307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46307</v>
      </c>
      <c r="F656" t="inlineStr">
        <is>
          <t>GÄVLEBORGS LÄN</t>
        </is>
      </c>
      <c r="G656" t="inlineStr">
        <is>
          <t>BOLLNÄS</t>
        </is>
      </c>
      <c r="I656" t="n">
        <v>11.3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56453-2023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45243</v>
      </c>
      <c r="E657" s="1" t="n">
        <v>46307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46307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32.5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46307</v>
      </c>
      <c r="F659" t="inlineStr">
        <is>
          <t>GÄVLEBORGS LÄN</t>
        </is>
      </c>
      <c r="G659" t="inlineStr">
        <is>
          <t>BOLLNÄS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15511-2026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46307</v>
      </c>
      <c r="F660" t="inlineStr">
        <is>
          <t>GÄVLEBORGS LÄN</t>
        </is>
      </c>
      <c r="G660" t="inlineStr">
        <is>
          <t>BOLLNÄS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46307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45748</v>
      </c>
      <c r="E662" s="1" t="n">
        <v>46307</v>
      </c>
      <c r="F662" t="inlineStr">
        <is>
          <t>GÄVLEBORGS LÄN</t>
        </is>
      </c>
      <c r="G662" t="inlineStr">
        <is>
          <t>BOLLNÄS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46307</v>
      </c>
      <c r="F663" t="inlineStr">
        <is>
          <t>GÄVLEBORGS LÄN</t>
        </is>
      </c>
      <c r="G663" t="inlineStr">
        <is>
          <t>BOLLNÄS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15520-2026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46307</v>
      </c>
      <c r="F664" t="inlineStr">
        <is>
          <t>GÄVLEBORGS LÄN</t>
        </is>
      </c>
      <c r="G664" t="inlineStr">
        <is>
          <t>BOLLNÄS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46307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15387-2026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46307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46307</v>
      </c>
      <c r="F667" t="inlineStr">
        <is>
          <t>GÄVLEBORGS LÄN</t>
        </is>
      </c>
      <c r="G667" t="inlineStr">
        <is>
          <t>BOLLNÄS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15355-2025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45747</v>
      </c>
      <c r="E668" s="1" t="n">
        <v>46307</v>
      </c>
      <c r="F668" t="inlineStr">
        <is>
          <t>GÄVLEBORGS LÄN</t>
        </is>
      </c>
      <c r="G668" t="inlineStr">
        <is>
          <t>BOLLNÄS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15818-2026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46307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41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46307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46307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15528-2026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46307</v>
      </c>
      <c r="F672" t="inlineStr">
        <is>
          <t>GÄVLEBORGS LÄN</t>
        </is>
      </c>
      <c r="G672" t="inlineStr">
        <is>
          <t>BOLLNÄS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46307</v>
      </c>
      <c r="F673" t="inlineStr">
        <is>
          <t>GÄVLEBORGS LÄN</t>
        </is>
      </c>
      <c r="G673" t="inlineStr">
        <is>
          <t>BOLLNÄS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44596</v>
      </c>
      <c r="E674" s="1" t="n">
        <v>46307</v>
      </c>
      <c r="F674" t="inlineStr">
        <is>
          <t>GÄVLEBORGS LÄN</t>
        </is>
      </c>
      <c r="G674" t="inlineStr">
        <is>
          <t>BOLLNÄS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58808-2025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45987</v>
      </c>
      <c r="E675" s="1" t="n">
        <v>46307</v>
      </c>
      <c r="F675" t="inlineStr">
        <is>
          <t>GÄVLEBORGS LÄN</t>
        </is>
      </c>
      <c r="G675" t="inlineStr">
        <is>
          <t>BOLLNÄS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46307</v>
      </c>
      <c r="F676" t="inlineStr">
        <is>
          <t>GÄVLEBORGS LÄN</t>
        </is>
      </c>
      <c r="G676" t="inlineStr">
        <is>
          <t>BOLLNÄS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46307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46307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46307</v>
      </c>
      <c r="F679" t="inlineStr">
        <is>
          <t>GÄVLEBORGS LÄN</t>
        </is>
      </c>
      <c r="G679" t="inlineStr">
        <is>
          <t>BOLLNÄS</t>
        </is>
      </c>
      <c r="H679" t="inlineStr">
        <is>
          <t>Sveaskog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46307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16417-2026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46307</v>
      </c>
      <c r="F681" t="inlineStr">
        <is>
          <t>GÄVLEBORGS LÄN</t>
        </is>
      </c>
      <c r="G681" t="inlineStr">
        <is>
          <t>BOLLNÄS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46307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46307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46307</v>
      </c>
      <c r="F684" t="inlineStr">
        <is>
          <t>GÄVLEBORGS LÄN</t>
        </is>
      </c>
      <c r="G684" t="inlineStr">
        <is>
          <t>BOLLNÄS</t>
        </is>
      </c>
      <c r="H684" t="inlineStr">
        <is>
          <t>Holmen skog AB</t>
        </is>
      </c>
      <c r="I684" t="n">
        <v>26.2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46307</v>
      </c>
      <c r="F685" t="inlineStr">
        <is>
          <t>GÄVLEBORGS LÄN</t>
        </is>
      </c>
      <c r="G685" t="inlineStr">
        <is>
          <t>BOLLNÄS</t>
        </is>
      </c>
      <c r="H685" t="inlineStr">
        <is>
          <t>Holmen skog AB</t>
        </is>
      </c>
      <c r="I685" t="n">
        <v>51.8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46307</v>
      </c>
      <c r="F686" t="inlineStr">
        <is>
          <t>GÄVLEBORGS LÄN</t>
        </is>
      </c>
      <c r="G686" t="inlineStr">
        <is>
          <t>BOLLNÄS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16057-2026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46307</v>
      </c>
      <c r="F687" t="inlineStr">
        <is>
          <t>GÄVLEBORGS LÄN</t>
        </is>
      </c>
      <c r="G687" t="inlineStr">
        <is>
          <t>BOLLNÄS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46108</v>
      </c>
      <c r="E688" s="1" t="n">
        <v>46307</v>
      </c>
      <c r="F688" t="inlineStr">
        <is>
          <t>GÄVLEBORGS LÄN</t>
        </is>
      </c>
      <c r="G688" t="inlineStr">
        <is>
          <t>BOLLNÄS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16059-2026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46108</v>
      </c>
      <c r="E689" s="1" t="n">
        <v>46307</v>
      </c>
      <c r="F689" t="inlineStr">
        <is>
          <t>GÄVLEBORGS LÄN</t>
        </is>
      </c>
      <c r="G689" t="inlineStr">
        <is>
          <t>BOLLNÄS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16068-2026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46307</v>
      </c>
      <c r="F690" t="inlineStr">
        <is>
          <t>GÄVLEBORGS LÄN</t>
        </is>
      </c>
      <c r="G690" t="inlineStr">
        <is>
          <t>BOLLNÄS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46307</v>
      </c>
      <c r="F691" t="inlineStr">
        <is>
          <t>GÄVLEBORGS LÄN</t>
        </is>
      </c>
      <c r="G691" t="inlineStr">
        <is>
          <t>BOLLNÄS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59844-2025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45992</v>
      </c>
      <c r="E692" s="1" t="n">
        <v>46307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59441-2025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45989</v>
      </c>
      <c r="E693" s="1" t="n">
        <v>46307</v>
      </c>
      <c r="F693" t="inlineStr">
        <is>
          <t>GÄVLEBORGS LÄN</t>
        </is>
      </c>
      <c r="G693" t="inlineStr">
        <is>
          <t>BOLLNÄS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59362-2025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46307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45040</v>
      </c>
      <c r="E695" s="1" t="n">
        <v>46307</v>
      </c>
      <c r="F695" t="inlineStr">
        <is>
          <t>GÄVLEBORGS LÄN</t>
        </is>
      </c>
      <c r="G695" t="inlineStr">
        <is>
          <t>BOLLNÄS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44628-2025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45917</v>
      </c>
      <c r="E696" s="1" t="n">
        <v>46307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46307</v>
      </c>
      <c r="F697" t="inlineStr">
        <is>
          <t>GÄVLEBORGS LÄN</t>
        </is>
      </c>
      <c r="G697" t="inlineStr">
        <is>
          <t>BOLLNÄS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16529-2026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46112</v>
      </c>
      <c r="E698" s="1" t="n">
        <v>46307</v>
      </c>
      <c r="F698" t="inlineStr">
        <is>
          <t>GÄVLEBORGS LÄN</t>
        </is>
      </c>
      <c r="G698" t="inlineStr">
        <is>
          <t>BOLLNÄS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16858-2026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46307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46307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16568-2026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46307</v>
      </c>
      <c r="F701" t="inlineStr">
        <is>
          <t>GÄVLEBORGS LÄN</t>
        </is>
      </c>
      <c r="G701" t="inlineStr">
        <is>
          <t>BOLLNÄS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46112</v>
      </c>
      <c r="E702" s="1" t="n">
        <v>46307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46307</v>
      </c>
      <c r="F703" t="inlineStr">
        <is>
          <t>GÄVLEBORGS LÄN</t>
        </is>
      </c>
      <c r="G703" t="inlineStr">
        <is>
          <t>BOLLNÄS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46307</v>
      </c>
      <c r="F704" t="inlineStr">
        <is>
          <t>GÄVLEBORGS LÄN</t>
        </is>
      </c>
      <c r="G704" t="inlineStr">
        <is>
          <t>BOLLNÄS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46307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46307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16592-2026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46307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46307</v>
      </c>
      <c r="F708" t="inlineStr">
        <is>
          <t>GÄVLEBORGS LÄN</t>
        </is>
      </c>
      <c r="G708" t="inlineStr">
        <is>
          <t>BOLLNÄS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46307</v>
      </c>
      <c r="F709" t="inlineStr">
        <is>
          <t>GÄVLEBORGS LÄN</t>
        </is>
      </c>
      <c r="G709" t="inlineStr">
        <is>
          <t>BOLLNÄS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16942-2026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46307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46307</v>
      </c>
      <c r="F711" t="inlineStr">
        <is>
          <t>GÄVLEBORGS LÄN</t>
        </is>
      </c>
      <c r="G711" t="inlineStr">
        <is>
          <t>BOLLNÄS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16599-2026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46307</v>
      </c>
      <c r="F712" t="inlineStr">
        <is>
          <t>GÄVLEBORGS LÄN</t>
        </is>
      </c>
      <c r="G712" t="inlineStr">
        <is>
          <t>BOLLNÄS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16620-2026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46307</v>
      </c>
      <c r="F713" t="inlineStr">
        <is>
          <t>GÄVLEBORGS LÄN</t>
        </is>
      </c>
      <c r="G713" t="inlineStr">
        <is>
          <t>BOLLNÄS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46307</v>
      </c>
      <c r="F714" t="inlineStr">
        <is>
          <t>GÄVLEBORGS LÄN</t>
        </is>
      </c>
      <c r="G714" t="inlineStr">
        <is>
          <t>BOLLNÄS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16514-2026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46307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46307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16637-2026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46307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5561-2022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44595</v>
      </c>
      <c r="E718" s="1" t="n">
        <v>46307</v>
      </c>
      <c r="F718" t="inlineStr">
        <is>
          <t>GÄVLEBORGS LÄN</t>
        </is>
      </c>
      <c r="G718" t="inlineStr">
        <is>
          <t>BOLLNÄS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46114</v>
      </c>
      <c r="E719" s="1" t="n">
        <v>46307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46114</v>
      </c>
      <c r="E720" s="1" t="n">
        <v>46307</v>
      </c>
      <c r="F720" t="inlineStr">
        <is>
          <t>GÄVLEBORGS LÄN</t>
        </is>
      </c>
      <c r="G720" t="inlineStr">
        <is>
          <t>BOLLNÄS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46307</v>
      </c>
      <c r="F721" t="inlineStr">
        <is>
          <t>GÄVLEBORGS LÄN</t>
        </is>
      </c>
      <c r="G721" t="inlineStr">
        <is>
          <t>BOLLNÄS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46307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16992-2026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46307</v>
      </c>
      <c r="F723" t="inlineStr">
        <is>
          <t>GÄVLEBORGS LÄN</t>
        </is>
      </c>
      <c r="G723" t="inlineStr">
        <is>
          <t>BOLLNÄS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46307</v>
      </c>
      <c r="F724" t="inlineStr">
        <is>
          <t>GÄVLEBORGS LÄN</t>
        </is>
      </c>
      <c r="G724" t="inlineStr">
        <is>
          <t>BOLLNÄS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45414</v>
      </c>
      <c r="E725" s="1" t="n">
        <v>46307</v>
      </c>
      <c r="F725" t="inlineStr">
        <is>
          <t>GÄVLEBORGS LÄN</t>
        </is>
      </c>
      <c r="G725" t="inlineStr">
        <is>
          <t>BOLLNÄS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46117</v>
      </c>
      <c r="E726" s="1" t="n">
        <v>46307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17279-2026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46119</v>
      </c>
      <c r="E727" s="1" t="n">
        <v>46307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46121</v>
      </c>
      <c r="E728" s="1" t="n">
        <v>46307</v>
      </c>
      <c r="F728" t="inlineStr">
        <is>
          <t>GÄVLEBORGS LÄN</t>
        </is>
      </c>
      <c r="G728" t="inlineStr">
        <is>
          <t>BOLLNÄS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46080</v>
      </c>
      <c r="E729" s="1" t="n">
        <v>46307</v>
      </c>
      <c r="F729" t="inlineStr">
        <is>
          <t>GÄVLEBORGS LÄN</t>
        </is>
      </c>
      <c r="G729" t="inlineStr">
        <is>
          <t>BOLLNÄS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17647-2026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46307</v>
      </c>
      <c r="F730" t="inlineStr">
        <is>
          <t>GÄVLEBORGS LÄN</t>
        </is>
      </c>
      <c r="G730" t="inlineStr">
        <is>
          <t>BOLLNÄS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59729-2022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46307</v>
      </c>
      <c r="F731" t="inlineStr">
        <is>
          <t>GÄVLEBORGS LÄN</t>
        </is>
      </c>
      <c r="G731" t="inlineStr">
        <is>
          <t>BOLLNÄS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46307</v>
      </c>
      <c r="F732" t="inlineStr">
        <is>
          <t>GÄVLEBORGS LÄN</t>
        </is>
      </c>
      <c r="G732" t="inlineStr">
        <is>
          <t>BOLLNÄS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39091-2024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45548</v>
      </c>
      <c r="E733" s="1" t="n">
        <v>46307</v>
      </c>
      <c r="F733" t="inlineStr">
        <is>
          <t>GÄVLEBORGS LÄN</t>
        </is>
      </c>
      <c r="G733" t="inlineStr">
        <is>
          <t>BOLLNÄS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46122</v>
      </c>
      <c r="E734" s="1" t="n">
        <v>46307</v>
      </c>
      <c r="F734" t="inlineStr">
        <is>
          <t>GÄVLEBORGS LÄN</t>
        </is>
      </c>
      <c r="G734" t="inlineStr">
        <is>
          <t>BOLLNÄS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46307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46307</v>
      </c>
      <c r="F736" t="inlineStr">
        <is>
          <t>GÄVLEBORGS LÄN</t>
        </is>
      </c>
      <c r="G736" t="inlineStr">
        <is>
          <t>BOLLNÄS</t>
        </is>
      </c>
      <c r="H736" t="inlineStr">
        <is>
          <t>Holmen skog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30561-2024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45492</v>
      </c>
      <c r="E737" s="1" t="n">
        <v>46307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46307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46123</v>
      </c>
      <c r="E739" s="1" t="n">
        <v>46307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46125</v>
      </c>
      <c r="E740" s="1" t="n">
        <v>46307</v>
      </c>
      <c r="F740" t="inlineStr">
        <is>
          <t>GÄVLEBORGS LÄN</t>
        </is>
      </c>
      <c r="G740" t="inlineStr">
        <is>
          <t>BOLLNÄS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49624-2022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44862</v>
      </c>
      <c r="E741" s="1" t="n">
        <v>46307</v>
      </c>
      <c r="F741" t="inlineStr">
        <is>
          <t>GÄVLEBORGS LÄN</t>
        </is>
      </c>
      <c r="G741" t="inlineStr">
        <is>
          <t>BOLLNÄS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65403-2021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44515</v>
      </c>
      <c r="E742" s="1" t="n">
        <v>46307</v>
      </c>
      <c r="F742" t="inlineStr">
        <is>
          <t>GÄVLEBORGS LÄN</t>
        </is>
      </c>
      <c r="G742" t="inlineStr">
        <is>
          <t>BOLLNÄS</t>
        </is>
      </c>
      <c r="H742" t="inlineStr">
        <is>
          <t>Bergvik skog väst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46125</v>
      </c>
      <c r="E743" s="1" t="n">
        <v>46307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60707-2025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46307</v>
      </c>
      <c r="F744" t="inlineStr">
        <is>
          <t>GÄVLEBORGS LÄN</t>
        </is>
      </c>
      <c r="G744" t="inlineStr">
        <is>
          <t>BOLLNÄS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18088-2026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46125</v>
      </c>
      <c r="E745" s="1" t="n">
        <v>46307</v>
      </c>
      <c r="F745" t="inlineStr">
        <is>
          <t>GÄVLEBORGS LÄN</t>
        </is>
      </c>
      <c r="G745" t="inlineStr">
        <is>
          <t>BOLLNÄS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53566-2022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44879</v>
      </c>
      <c r="E746" s="1" t="n">
        <v>46307</v>
      </c>
      <c r="F746" t="inlineStr">
        <is>
          <t>GÄVLEBORGS LÄN</t>
        </is>
      </c>
      <c r="G746" t="inlineStr">
        <is>
          <t>BOLLNÄS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46127</v>
      </c>
      <c r="E747" s="1" t="n">
        <v>46307</v>
      </c>
      <c r="F747" t="inlineStr">
        <is>
          <t>GÄVLEBORGS LÄN</t>
        </is>
      </c>
      <c r="G747" t="inlineStr">
        <is>
          <t>BOLLNÄS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60573-2025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45996</v>
      </c>
      <c r="E748" s="1" t="n">
        <v>46307</v>
      </c>
      <c r="F748" t="inlineStr">
        <is>
          <t>GÄVLEBORGS LÄN</t>
        </is>
      </c>
      <c r="G748" t="inlineStr">
        <is>
          <t>BOLLNÄS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46307</v>
      </c>
      <c r="F749" t="inlineStr">
        <is>
          <t>GÄVLEBORGS LÄN</t>
        </is>
      </c>
      <c r="G749" t="inlineStr">
        <is>
          <t>BOLLNÄS</t>
        </is>
      </c>
      <c r="I749" t="n">
        <v>7.5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45999</v>
      </c>
      <c r="E750" s="1" t="n">
        <v>46307</v>
      </c>
      <c r="F750" t="inlineStr">
        <is>
          <t>GÄVLEBORGS LÄN</t>
        </is>
      </c>
      <c r="G750" t="inlineStr">
        <is>
          <t>BOLLNÄS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46307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46307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46307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61568-2025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46307</v>
      </c>
      <c r="F754" t="inlineStr">
        <is>
          <t>GÄVLEBORGS LÄN</t>
        </is>
      </c>
      <c r="G754" t="inlineStr">
        <is>
          <t>BOLLNÄS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46127</v>
      </c>
      <c r="E755" s="1" t="n">
        <v>46307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18361-2026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46126</v>
      </c>
      <c r="E756" s="1" t="n">
        <v>46307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46126</v>
      </c>
      <c r="E757" s="1" t="n">
        <v>46307</v>
      </c>
      <c r="F757" t="inlineStr">
        <is>
          <t>GÄVLEBORGS LÄN</t>
        </is>
      </c>
      <c r="G757" t="inlineStr">
        <is>
          <t>BOLLNÄS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46307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46307</v>
      </c>
      <c r="F759" t="inlineStr">
        <is>
          <t>GÄVLEBORGS LÄN</t>
        </is>
      </c>
      <c r="G759" t="inlineStr">
        <is>
          <t>BOLLNÄS</t>
        </is>
      </c>
      <c r="H759" t="inlineStr">
        <is>
          <t>Kyrkan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46307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14050-2023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46307</v>
      </c>
      <c r="F761" t="inlineStr">
        <is>
          <t>GÄVLEBORGS LÄN</t>
        </is>
      </c>
      <c r="G761" t="inlineStr">
        <is>
          <t>BOLLNÄS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18672-2026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46128</v>
      </c>
      <c r="E762" s="1" t="n">
        <v>46307</v>
      </c>
      <c r="F762" t="inlineStr">
        <is>
          <t>GÄVLEBORGS LÄN</t>
        </is>
      </c>
      <c r="G762" t="inlineStr">
        <is>
          <t>BOLLNÄS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46307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18842-2026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46129</v>
      </c>
      <c r="E764" s="1" t="n">
        <v>46307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18794-2026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46128</v>
      </c>
      <c r="E765" s="1" t="n">
        <v>46307</v>
      </c>
      <c r="F765" t="inlineStr">
        <is>
          <t>GÄVLEBORGS LÄN</t>
        </is>
      </c>
      <c r="G765" t="inlineStr">
        <is>
          <t>BOLLNÄS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28314-2023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45099</v>
      </c>
      <c r="E766" s="1" t="n">
        <v>46307</v>
      </c>
      <c r="F766" t="inlineStr">
        <is>
          <t>GÄVLEBORGS LÄN</t>
        </is>
      </c>
      <c r="G766" t="inlineStr">
        <is>
          <t>BOLLNÄS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46307</v>
      </c>
      <c r="F767" t="inlineStr">
        <is>
          <t>GÄVLEBORGS LÄN</t>
        </is>
      </c>
      <c r="G767" t="inlineStr">
        <is>
          <t>BOLLNÄS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46132</v>
      </c>
      <c r="E768" s="1" t="n">
        <v>46307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46132</v>
      </c>
      <c r="E769" s="1" t="n">
        <v>46307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19234-2026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46307</v>
      </c>
      <c r="F770" t="inlineStr">
        <is>
          <t>GÄVLEBORGS LÄN</t>
        </is>
      </c>
      <c r="G770" t="inlineStr">
        <is>
          <t>BOLLNÄS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44805</v>
      </c>
      <c r="E771" s="1" t="n">
        <v>46307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46307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45176</v>
      </c>
      <c r="E773" s="1" t="n">
        <v>46307</v>
      </c>
      <c r="F773" t="inlineStr">
        <is>
          <t>GÄVLEBORGS LÄN</t>
        </is>
      </c>
      <c r="G773" t="inlineStr">
        <is>
          <t>BOLLNÄS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19156-2026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46132</v>
      </c>
      <c r="E774" s="1" t="n">
        <v>46307</v>
      </c>
      <c r="F774" t="inlineStr">
        <is>
          <t>GÄVLEBORGS LÄN</t>
        </is>
      </c>
      <c r="G774" t="inlineStr">
        <is>
          <t>BOLLNÄS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46132</v>
      </c>
      <c r="E775" s="1" t="n">
        <v>46307</v>
      </c>
      <c r="F775" t="inlineStr">
        <is>
          <t>GÄVLEBORGS LÄN</t>
        </is>
      </c>
      <c r="G775" t="inlineStr">
        <is>
          <t>BOLLNÄS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46307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46307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61592-2022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44916</v>
      </c>
      <c r="E778" s="1" t="n">
        <v>46307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6879-2023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46307</v>
      </c>
      <c r="F779" t="inlineStr">
        <is>
          <t>GÄVLEBORGS LÄN</t>
        </is>
      </c>
      <c r="G779" t="inlineStr">
        <is>
          <t>BOLLNÄS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18832-2026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46129</v>
      </c>
      <c r="E780" s="1" t="n">
        <v>46307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19125-2026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46307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19127-2026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46132</v>
      </c>
      <c r="E782" s="1" t="n">
        <v>46307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46002</v>
      </c>
      <c r="E783" s="1" t="n">
        <v>46307</v>
      </c>
      <c r="F783" t="inlineStr">
        <is>
          <t>GÄVLEBORGS LÄN</t>
        </is>
      </c>
      <c r="G783" t="inlineStr">
        <is>
          <t>BOLLNÄS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46132</v>
      </c>
      <c r="E784" s="1" t="n">
        <v>46307</v>
      </c>
      <c r="F784" t="inlineStr">
        <is>
          <t>GÄVLEBORGS LÄN</t>
        </is>
      </c>
      <c r="G784" t="inlineStr">
        <is>
          <t>BOLLNÄS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46307</v>
      </c>
      <c r="F785" t="inlineStr">
        <is>
          <t>GÄVLEBORGS LÄN</t>
        </is>
      </c>
      <c r="G785" t="inlineStr">
        <is>
          <t>BOLLNÄS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46307</v>
      </c>
      <c r="F786" t="inlineStr">
        <is>
          <t>GÄVLEBORGS LÄN</t>
        </is>
      </c>
      <c r="G786" t="inlineStr">
        <is>
          <t>BOLLNÄS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19228-2026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46307</v>
      </c>
      <c r="F787" t="inlineStr">
        <is>
          <t>GÄVLEBORGS LÄN</t>
        </is>
      </c>
      <c r="G787" t="inlineStr">
        <is>
          <t>BOLLNÄS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46307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öst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46307</v>
      </c>
      <c r="F789" t="inlineStr">
        <is>
          <t>GÄVLEBORGS LÄN</t>
        </is>
      </c>
      <c r="G789" t="inlineStr">
        <is>
          <t>BOLLNÄS</t>
        </is>
      </c>
      <c r="I789" t="n">
        <v>14.1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19169-2026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46307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61686-2025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46002</v>
      </c>
      <c r="E791" s="1" t="n">
        <v>46307</v>
      </c>
      <c r="F791" t="inlineStr">
        <is>
          <t>GÄVLEBORGS LÄN</t>
        </is>
      </c>
      <c r="G791" t="inlineStr">
        <is>
          <t>BOLLNÄS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46307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46307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18865-2026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46129</v>
      </c>
      <c r="E794" s="1" t="n">
        <v>46307</v>
      </c>
      <c r="F794" t="inlineStr">
        <is>
          <t>GÄVLEBORGS LÄN</t>
        </is>
      </c>
      <c r="G794" t="inlineStr">
        <is>
          <t>BOLLNÄS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18791-2026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46307</v>
      </c>
      <c r="F795" t="inlineStr">
        <is>
          <t>GÄVLEBORGS LÄN</t>
        </is>
      </c>
      <c r="G795" t="inlineStr">
        <is>
          <t>BOLLNÄS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46128</v>
      </c>
      <c r="E796" s="1" t="n">
        <v>46307</v>
      </c>
      <c r="F796" t="inlineStr">
        <is>
          <t>GÄVLEBORGS LÄN</t>
        </is>
      </c>
      <c r="G796" t="inlineStr">
        <is>
          <t>BOLLNÄS</t>
        </is>
      </c>
      <c r="I796" t="n">
        <v>8.9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46307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19333-2026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46133</v>
      </c>
      <c r="E798" s="1" t="n">
        <v>46307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19482-2026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46307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19396-2026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46307</v>
      </c>
      <c r="F800" t="inlineStr">
        <is>
          <t>GÄVLEBORGS LÄN</t>
        </is>
      </c>
      <c r="G800" t="inlineStr">
        <is>
          <t>BOLLNÄS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19507-2026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46307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46307</v>
      </c>
      <c r="F802" t="inlineStr">
        <is>
          <t>GÄVLEBORGS LÄN</t>
        </is>
      </c>
      <c r="G802" t="inlineStr">
        <is>
          <t>BOLLNÄS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46307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46307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46003</v>
      </c>
      <c r="E805" s="1" t="n">
        <v>46307</v>
      </c>
      <c r="F805" t="inlineStr">
        <is>
          <t>GÄVLEBORGS LÄN</t>
        </is>
      </c>
      <c r="G805" t="inlineStr">
        <is>
          <t>BOLLNÄS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46307</v>
      </c>
      <c r="F806" t="inlineStr">
        <is>
          <t>GÄVLEBORGS LÄN</t>
        </is>
      </c>
      <c r="G806" t="inlineStr">
        <is>
          <t>BOLLNÄS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46307</v>
      </c>
      <c r="F807" t="inlineStr">
        <is>
          <t>GÄVLEBORGS LÄN</t>
        </is>
      </c>
      <c r="G807" t="inlineStr">
        <is>
          <t>BOLLNÄS</t>
        </is>
      </c>
      <c r="I807" t="n">
        <v>7.6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19279-2026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46133</v>
      </c>
      <c r="E808" s="1" t="n">
        <v>46307</v>
      </c>
      <c r="F808" t="inlineStr">
        <is>
          <t>GÄVLEBORGS LÄN</t>
        </is>
      </c>
      <c r="G808" t="inlineStr">
        <is>
          <t>BOLLNÄS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46307</v>
      </c>
      <c r="F809" t="inlineStr">
        <is>
          <t>GÄVLEBORGS LÄN</t>
        </is>
      </c>
      <c r="G809" t="inlineStr">
        <is>
          <t>BOLLNÄS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46307</v>
      </c>
      <c r="F810" t="inlineStr">
        <is>
          <t>GÄVLEBORGS LÄN</t>
        </is>
      </c>
      <c r="G810" t="inlineStr">
        <is>
          <t>BOLLNÄS</t>
        </is>
      </c>
      <c r="I810" t="n">
        <v>10.4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19654-2026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46307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46307</v>
      </c>
      <c r="F812" t="inlineStr">
        <is>
          <t>GÄVLEBORGS LÄN</t>
        </is>
      </c>
      <c r="G812" t="inlineStr">
        <is>
          <t>BOLLNÄS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46307</v>
      </c>
      <c r="F813" t="inlineStr">
        <is>
          <t>GÄVLEBORGS LÄN</t>
        </is>
      </c>
      <c r="G813" t="inlineStr">
        <is>
          <t>BOLLNÄS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46307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19413-2026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46307</v>
      </c>
      <c r="F815" t="inlineStr">
        <is>
          <t>GÄVLEBORGS LÄN</t>
        </is>
      </c>
      <c r="G815" t="inlineStr">
        <is>
          <t>BOLLNÄS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19412-2026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46307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46307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46133</v>
      </c>
      <c r="E818" s="1" t="n">
        <v>46307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46307</v>
      </c>
      <c r="F819" t="inlineStr">
        <is>
          <t>GÄVLEBORGS LÄN</t>
        </is>
      </c>
      <c r="G819" t="inlineStr">
        <is>
          <t>BOLLNÄS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46307</v>
      </c>
      <c r="F820" t="inlineStr">
        <is>
          <t>GÄVLEBORGS LÄN</t>
        </is>
      </c>
      <c r="G820" t="inlineStr">
        <is>
          <t>BOLLNÄS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46307</v>
      </c>
      <c r="F821" t="inlineStr">
        <is>
          <t>GÄVLEBORGS LÄN</t>
        </is>
      </c>
      <c r="G821" t="inlineStr">
        <is>
          <t>BOLLNÄS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62272-2025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46006</v>
      </c>
      <c r="E822" s="1" t="n">
        <v>46307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46133</v>
      </c>
      <c r="E823" s="1" t="n">
        <v>46307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46133</v>
      </c>
      <c r="E824" s="1" t="n">
        <v>46307</v>
      </c>
      <c r="F824" t="inlineStr">
        <is>
          <t>GÄVLEBORGS LÄN</t>
        </is>
      </c>
      <c r="G824" t="inlineStr">
        <is>
          <t>BOLLNÄS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19391-2026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46133</v>
      </c>
      <c r="E825" s="1" t="n">
        <v>46307</v>
      </c>
      <c r="F825" t="inlineStr">
        <is>
          <t>GÄVLEBORGS LÄN</t>
        </is>
      </c>
      <c r="G825" t="inlineStr">
        <is>
          <t>BOLLNÄS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19403-2026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46307</v>
      </c>
      <c r="F826" t="inlineStr">
        <is>
          <t>GÄVLEBORGS LÄN</t>
        </is>
      </c>
      <c r="G826" t="inlineStr">
        <is>
          <t>BOLLNÄS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19404-2026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46133</v>
      </c>
      <c r="E827" s="1" t="n">
        <v>46307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46133</v>
      </c>
      <c r="E828" s="1" t="n">
        <v>46307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46307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19304-2026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46307</v>
      </c>
      <c r="F830" t="inlineStr">
        <is>
          <t>GÄVLEBORGS LÄN</t>
        </is>
      </c>
      <c r="G830" t="inlineStr">
        <is>
          <t>BOLLNÄS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14691-2026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46307</v>
      </c>
      <c r="F831" t="inlineStr">
        <is>
          <t>GÄVLEBORGS LÄN</t>
        </is>
      </c>
      <c r="G831" t="inlineStr">
        <is>
          <t>BOLLNÄS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46958-2024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45586</v>
      </c>
      <c r="E832" s="1" t="n">
        <v>46307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46052</v>
      </c>
      <c r="E833" s="1" t="n">
        <v>46307</v>
      </c>
      <c r="F833" t="inlineStr">
        <is>
          <t>GÄVLEBORGS LÄN</t>
        </is>
      </c>
      <c r="G833" t="inlineStr">
        <is>
          <t>BOLLNÄS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13554-2026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46307</v>
      </c>
      <c r="F834" t="inlineStr">
        <is>
          <t>GÄVLEBORGS LÄN</t>
        </is>
      </c>
      <c r="G834" t="inlineStr">
        <is>
          <t>BOLLNÄS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46307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46307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46307</v>
      </c>
      <c r="F837" t="inlineStr">
        <is>
          <t>GÄVLEBORGS LÄN</t>
        </is>
      </c>
      <c r="G837" t="inlineStr">
        <is>
          <t>BOLLNÄS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19921-2026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46136</v>
      </c>
      <c r="E838" s="1" t="n">
        <v>46307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öst AB</t>
        </is>
      </c>
      <c r="I838" t="n">
        <v>7.4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27558-2023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45097</v>
      </c>
      <c r="E839" s="1" t="n">
        <v>46307</v>
      </c>
      <c r="F839" t="inlineStr">
        <is>
          <t>GÄVLEBORGS LÄN</t>
        </is>
      </c>
      <c r="G839" t="inlineStr">
        <is>
          <t>BOLLNÄS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46136</v>
      </c>
      <c r="E840" s="1" t="n">
        <v>46307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20030-2026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46136</v>
      </c>
      <c r="E841" s="1" t="n">
        <v>46307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62355-2025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46007</v>
      </c>
      <c r="E842" s="1" t="n">
        <v>46307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20024-2026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46136</v>
      </c>
      <c r="E843" s="1" t="n">
        <v>46307</v>
      </c>
      <c r="F843" t="inlineStr">
        <is>
          <t>GÄVLEBORGS LÄN</t>
        </is>
      </c>
      <c r="G843" t="inlineStr">
        <is>
          <t>BOLLNÄS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16122-2026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46108</v>
      </c>
      <c r="E844" s="1" t="n">
        <v>46307</v>
      </c>
      <c r="F844" t="inlineStr">
        <is>
          <t>GÄVLEBORGS LÄN</t>
        </is>
      </c>
      <c r="G844" t="inlineStr">
        <is>
          <t>BOLLNÄS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19745-2026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46135</v>
      </c>
      <c r="E845" s="1" t="n">
        <v>46307</v>
      </c>
      <c r="F845" t="inlineStr">
        <is>
          <t>GÄVLEBORGS LÄN</t>
        </is>
      </c>
      <c r="G845" t="inlineStr">
        <is>
          <t>BOLLNÄS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19838-2026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46135</v>
      </c>
      <c r="E846" s="1" t="n">
        <v>46307</v>
      </c>
      <c r="F846" t="inlineStr">
        <is>
          <t>GÄVLEBORGS LÄN</t>
        </is>
      </c>
      <c r="G846" t="inlineStr">
        <is>
          <t>BOLLNÄS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10772-2026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46078</v>
      </c>
      <c r="E847" s="1" t="n">
        <v>46307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48301-2023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45205</v>
      </c>
      <c r="E848" s="1" t="n">
        <v>46307</v>
      </c>
      <c r="F848" t="inlineStr">
        <is>
          <t>GÄVLEBORGS LÄN</t>
        </is>
      </c>
      <c r="G848" t="inlineStr">
        <is>
          <t>BOLLNÄS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46027</v>
      </c>
      <c r="E849" s="1" t="n">
        <v>46307</v>
      </c>
      <c r="F849" t="inlineStr">
        <is>
          <t>GÄVLEBORGS LÄN</t>
        </is>
      </c>
      <c r="G849" t="inlineStr">
        <is>
          <t>BOLLNÄS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37194-2023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45155</v>
      </c>
      <c r="E850" s="1" t="n">
        <v>46307</v>
      </c>
      <c r="F850" t="inlineStr">
        <is>
          <t>GÄVLEBORGS LÄN</t>
        </is>
      </c>
      <c r="G850" t="inlineStr">
        <is>
          <t>BOLLNÄS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16660-2026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46307</v>
      </c>
      <c r="F851" t="inlineStr">
        <is>
          <t>GÄVLEBORGS LÄN</t>
        </is>
      </c>
      <c r="G851" t="inlineStr">
        <is>
          <t>BOLLNÄS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16944-2026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46307</v>
      </c>
      <c r="F852" t="inlineStr">
        <is>
          <t>GÄVLEBORGS LÄN</t>
        </is>
      </c>
      <c r="G852" t="inlineStr">
        <is>
          <t>BOLLNÄS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62656-2025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46008</v>
      </c>
      <c r="E853" s="1" t="n">
        <v>46307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71657-2021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44543</v>
      </c>
      <c r="E854" s="1" t="n">
        <v>46307</v>
      </c>
      <c r="F854" t="inlineStr">
        <is>
          <t>GÄVLEBORGS LÄN</t>
        </is>
      </c>
      <c r="G854" t="inlineStr">
        <is>
          <t>BOLLNÄS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16462-2026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46112</v>
      </c>
      <c r="E855" s="1" t="n">
        <v>46307</v>
      </c>
      <c r="F855" t="inlineStr">
        <is>
          <t>GÄVLEBORGS LÄN</t>
        </is>
      </c>
      <c r="G855" t="inlineStr">
        <is>
          <t>BOLLNÄS</t>
        </is>
      </c>
      <c r="I855" t="n">
        <v>11.8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18151-2024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45420</v>
      </c>
      <c r="E856" s="1" t="n">
        <v>46307</v>
      </c>
      <c r="F856" t="inlineStr">
        <is>
          <t>GÄVLEBORGS LÄN</t>
        </is>
      </c>
      <c r="G856" t="inlineStr">
        <is>
          <t>BOLLNÄS</t>
        </is>
      </c>
      <c r="I856" t="n">
        <v>7.2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63272-2025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46010</v>
      </c>
      <c r="E857" s="1" t="n">
        <v>46307</v>
      </c>
      <c r="F857" t="inlineStr">
        <is>
          <t>GÄVLEBORGS LÄN</t>
        </is>
      </c>
      <c r="G857" t="inlineStr">
        <is>
          <t>BOLLNÄS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5999-2026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46307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51259-2023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45219</v>
      </c>
      <c r="E859" s="1" t="n">
        <v>46307</v>
      </c>
      <c r="F859" t="inlineStr">
        <is>
          <t>GÄVLEBORGS LÄN</t>
        </is>
      </c>
      <c r="G859" t="inlineStr">
        <is>
          <t>BOLLNÄS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63312-2025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46307</v>
      </c>
      <c r="F860" t="inlineStr">
        <is>
          <t>GÄVLEBORGS LÄN</t>
        </is>
      </c>
      <c r="G860" t="inlineStr">
        <is>
          <t>BOLLNÄS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18438-2024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45425</v>
      </c>
      <c r="E861" s="1" t="n">
        <v>46307</v>
      </c>
      <c r="F861" t="inlineStr">
        <is>
          <t>GÄVLEBORGS LÄN</t>
        </is>
      </c>
      <c r="G861" t="inlineStr">
        <is>
          <t>BOLLNÄS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11799-2025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45727</v>
      </c>
      <c r="E862" s="1" t="n">
        <v>46307</v>
      </c>
      <c r="F862" t="inlineStr">
        <is>
          <t>GÄVLEBORGS LÄN</t>
        </is>
      </c>
      <c r="G862" t="inlineStr">
        <is>
          <t>BOLLNÄS</t>
        </is>
      </c>
      <c r="I862" t="n">
        <v>9.5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19746-2026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46135</v>
      </c>
      <c r="E863" s="1" t="n">
        <v>46307</v>
      </c>
      <c r="F863" t="inlineStr">
        <is>
          <t>GÄVLEBORGS LÄN</t>
        </is>
      </c>
      <c r="G863" t="inlineStr">
        <is>
          <t>BOLLNÄS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19748-2026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46307</v>
      </c>
      <c r="F864" t="inlineStr">
        <is>
          <t>GÄVLEBORGS LÄN</t>
        </is>
      </c>
      <c r="G864" t="inlineStr">
        <is>
          <t>BOLLNÄS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63200-2025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46010</v>
      </c>
      <c r="E865" s="1" t="n">
        <v>46307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63326-2025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46307</v>
      </c>
      <c r="F866" t="inlineStr">
        <is>
          <t>GÄVLEBORGS LÄN</t>
        </is>
      </c>
      <c r="G866" t="inlineStr">
        <is>
          <t>BOLLNÄS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19837-2026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46135</v>
      </c>
      <c r="E867" s="1" t="n">
        <v>46307</v>
      </c>
      <c r="F867" t="inlineStr">
        <is>
          <t>GÄVLEBORGS LÄN</t>
        </is>
      </c>
      <c r="G867" t="inlineStr">
        <is>
          <t>BOLLNÄS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19841-2026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46135</v>
      </c>
      <c r="E868" s="1" t="n">
        <v>46307</v>
      </c>
      <c r="F868" t="inlineStr">
        <is>
          <t>GÄVLEBORGS LÄN</t>
        </is>
      </c>
      <c r="G868" t="inlineStr">
        <is>
          <t>BOLLNÄS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63270-2025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46307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46307</v>
      </c>
      <c r="F870" t="inlineStr">
        <is>
          <t>GÄVLEBORGS LÄN</t>
        </is>
      </c>
      <c r="G870" t="inlineStr">
        <is>
          <t>BOLLNÄS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46135</v>
      </c>
      <c r="E871" s="1" t="n">
        <v>46307</v>
      </c>
      <c r="F871" t="inlineStr">
        <is>
          <t>GÄVLEBORGS LÄN</t>
        </is>
      </c>
      <c r="G871" t="inlineStr">
        <is>
          <t>BOLLNÄS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63214-2025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46307</v>
      </c>
      <c r="F872" t="inlineStr">
        <is>
          <t>GÄVLEBORGS LÄN</t>
        </is>
      </c>
      <c r="G872" t="inlineStr">
        <is>
          <t>BOLLNÄS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46307</v>
      </c>
      <c r="F873" t="inlineStr">
        <is>
          <t>GÄVLEBORGS LÄN</t>
        </is>
      </c>
      <c r="G873" t="inlineStr">
        <is>
          <t>BOLLNÄS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11989-2026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46085</v>
      </c>
      <c r="E874" s="1" t="n">
        <v>46307</v>
      </c>
      <c r="F874" t="inlineStr">
        <is>
          <t>GÄVLEBORGS LÄN</t>
        </is>
      </c>
      <c r="G874" t="inlineStr">
        <is>
          <t>BOLLNÄS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19747-2026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46135</v>
      </c>
      <c r="E875" s="1" t="n">
        <v>46307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63027-2025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46009</v>
      </c>
      <c r="E876" s="1" t="n">
        <v>46307</v>
      </c>
      <c r="F876" t="inlineStr">
        <is>
          <t>GÄVLEBORGS LÄN</t>
        </is>
      </c>
      <c r="G876" t="inlineStr">
        <is>
          <t>BOLLNÄS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4737-2026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46307</v>
      </c>
      <c r="F877" t="inlineStr">
        <is>
          <t>GÄVLEBORGS LÄN</t>
        </is>
      </c>
      <c r="G877" t="inlineStr">
        <is>
          <t>BOLLNÄS</t>
        </is>
      </c>
      <c r="I877" t="n">
        <v>18.3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7339-2026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46058</v>
      </c>
      <c r="E878" s="1" t="n">
        <v>46307</v>
      </c>
      <c r="F878" t="inlineStr">
        <is>
          <t>GÄVLEBORGS LÄN</t>
        </is>
      </c>
      <c r="G878" t="inlineStr">
        <is>
          <t>BOLLNÄS</t>
        </is>
      </c>
      <c r="I878" t="n">
        <v>12.1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46307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64109-2025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46013</v>
      </c>
      <c r="E880" s="1" t="n">
        <v>46307</v>
      </c>
      <c r="F880" t="inlineStr">
        <is>
          <t>GÄVLEBORGS LÄN</t>
        </is>
      </c>
      <c r="G880" t="inlineStr">
        <is>
          <t>BOLLNÄS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14623-2023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46307</v>
      </c>
      <c r="F881" t="inlineStr">
        <is>
          <t>GÄVLEBORGS LÄN</t>
        </is>
      </c>
      <c r="G881" t="inlineStr">
        <is>
          <t>BOLLNÄS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28080-2024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45476</v>
      </c>
      <c r="E882" s="1" t="n">
        <v>46307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7576-2026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46061</v>
      </c>
      <c r="E883" s="1" t="n">
        <v>46307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46056</v>
      </c>
      <c r="E884" s="1" t="n">
        <v>46307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7309-2026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46307</v>
      </c>
      <c r="F885" t="inlineStr">
        <is>
          <t>GÄVLEBORGS LÄN</t>
        </is>
      </c>
      <c r="G885" t="inlineStr">
        <is>
          <t>BOLLNÄS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46307</v>
      </c>
      <c r="F886" t="inlineStr">
        <is>
          <t>GÄVLEBORGS LÄN</t>
        </is>
      </c>
      <c r="G886" t="inlineStr">
        <is>
          <t>BOLLNÄS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20180-2026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46139</v>
      </c>
      <c r="E887" s="1" t="n">
        <v>46307</v>
      </c>
      <c r="F887" t="inlineStr">
        <is>
          <t>GÄVLEBORGS LÄN</t>
        </is>
      </c>
      <c r="G887" t="inlineStr">
        <is>
          <t>BOLLNÄS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20486-2026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46140</v>
      </c>
      <c r="E888" s="1" t="n">
        <v>46307</v>
      </c>
      <c r="F888" t="inlineStr">
        <is>
          <t>GÄVLEBORGS LÄN</t>
        </is>
      </c>
      <c r="G888" t="inlineStr">
        <is>
          <t>BOLLNÄS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57196-2025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45979</v>
      </c>
      <c r="E889" s="1" t="n">
        <v>46307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63876-2025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46020</v>
      </c>
      <c r="E890" s="1" t="n">
        <v>46307</v>
      </c>
      <c r="F890" t="inlineStr">
        <is>
          <t>GÄVLEBORGS LÄN</t>
        </is>
      </c>
      <c r="G890" t="inlineStr">
        <is>
          <t>BOLLNÄS</t>
        </is>
      </c>
      <c r="I890" t="n">
        <v>12.2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63870-2025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46020</v>
      </c>
      <c r="E891" s="1" t="n">
        <v>46307</v>
      </c>
      <c r="F891" t="inlineStr">
        <is>
          <t>GÄVLEBORGS LÄN</t>
        </is>
      </c>
      <c r="G891" t="inlineStr">
        <is>
          <t>BOLLNÄS</t>
        </is>
      </c>
      <c r="I891" t="n">
        <v>9.4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51983-2024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45607</v>
      </c>
      <c r="E892" s="1" t="n">
        <v>46307</v>
      </c>
      <c r="F892" t="inlineStr">
        <is>
          <t>GÄVLEBORGS LÄN</t>
        </is>
      </c>
      <c r="G892" t="inlineStr">
        <is>
          <t>BOLLNÄS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15146-2023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45016</v>
      </c>
      <c r="E893" s="1" t="n">
        <v>46307</v>
      </c>
      <c r="F893" t="inlineStr">
        <is>
          <t>GÄVLEBORGS LÄN</t>
        </is>
      </c>
      <c r="G893" t="inlineStr">
        <is>
          <t>BOLLNÄS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45716</v>
      </c>
      <c r="E894" s="1" t="n">
        <v>46307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5147-2026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46049</v>
      </c>
      <c r="E895" s="1" t="n">
        <v>46307</v>
      </c>
      <c r="F895" t="inlineStr">
        <is>
          <t>GÄVLEBORGS LÄN</t>
        </is>
      </c>
      <c r="G895" t="inlineStr">
        <is>
          <t>BOLLNÄS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8966-2026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46069</v>
      </c>
      <c r="E896" s="1" t="n">
        <v>46307</v>
      </c>
      <c r="F896" t="inlineStr">
        <is>
          <t>GÄVLEBORGS LÄN</t>
        </is>
      </c>
      <c r="G896" t="inlineStr">
        <is>
          <t>BOLLNÄS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15514-2026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46106</v>
      </c>
      <c r="E897" s="1" t="n">
        <v>46307</v>
      </c>
      <c r="F897" t="inlineStr">
        <is>
          <t>GÄVLEBORGS LÄN</t>
        </is>
      </c>
      <c r="G897" t="inlineStr">
        <is>
          <t>BOLLNÄS</t>
        </is>
      </c>
      <c r="I897" t="n">
        <v>7.5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11519-2026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46307</v>
      </c>
      <c r="F898" t="inlineStr">
        <is>
          <t>GÄVLEBORGS LÄN</t>
        </is>
      </c>
      <c r="G898" t="inlineStr">
        <is>
          <t>BOLLNÄS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30152-2022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44757</v>
      </c>
      <c r="E899" s="1" t="n">
        <v>46307</v>
      </c>
      <c r="F899" t="inlineStr">
        <is>
          <t>GÄVLEBORGS LÄN</t>
        </is>
      </c>
      <c r="G899" t="inlineStr">
        <is>
          <t>BOLLNÄS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9555-2026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46307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18334-2024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45422</v>
      </c>
      <c r="E901" s="1" t="n">
        <v>46307</v>
      </c>
      <c r="F901" t="inlineStr">
        <is>
          <t>GÄVLEBORGS LÄN</t>
        </is>
      </c>
      <c r="G901" t="inlineStr">
        <is>
          <t>BOLLNÄS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63976-2025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46021</v>
      </c>
      <c r="E902" s="1" t="n">
        <v>46307</v>
      </c>
      <c r="F902" t="inlineStr">
        <is>
          <t>GÄVLEBORGS LÄN</t>
        </is>
      </c>
      <c r="G902" t="inlineStr">
        <is>
          <t>BOLLNÄS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10447-2026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46077</v>
      </c>
      <c r="E903" s="1" t="n">
        <v>46307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46307</v>
      </c>
      <c r="F904" t="inlineStr">
        <is>
          <t>GÄVLEBORGS LÄN</t>
        </is>
      </c>
      <c r="G904" t="inlineStr">
        <is>
          <t>BOLLNÄS</t>
        </is>
      </c>
      <c r="I904" t="n">
        <v>34.4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4621-2026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46307</v>
      </c>
      <c r="F905" t="inlineStr">
        <is>
          <t>GÄVLEBORGS LÄN</t>
        </is>
      </c>
      <c r="G905" t="inlineStr">
        <is>
          <t>BOLLNÄS</t>
        </is>
      </c>
      <c r="I905" t="n">
        <v>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8560-2026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46065</v>
      </c>
      <c r="E906" s="1" t="n">
        <v>46307</v>
      </c>
      <c r="F906" t="inlineStr">
        <is>
          <t>GÄVLEBORGS LÄN</t>
        </is>
      </c>
      <c r="G906" t="inlineStr">
        <is>
          <t>BOLLNÄS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46036</v>
      </c>
      <c r="E907" s="1" t="n">
        <v>46307</v>
      </c>
      <c r="F907" t="inlineStr">
        <is>
          <t>GÄVLEBORGS LÄN</t>
        </is>
      </c>
      <c r="G907" t="inlineStr">
        <is>
          <t>BOLLNÄS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9495-2026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46307</v>
      </c>
      <c r="F908" t="inlineStr">
        <is>
          <t>GÄVLEBORGS LÄN</t>
        </is>
      </c>
      <c r="G908" t="inlineStr">
        <is>
          <t>BOLLNÄS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46068</v>
      </c>
      <c r="E909" s="1" t="n">
        <v>46307</v>
      </c>
      <c r="F909" t="inlineStr">
        <is>
          <t>GÄVLEBORGS LÄN</t>
        </is>
      </c>
      <c r="G909" t="inlineStr">
        <is>
          <t>BOLLNÄS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10413-2026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46307</v>
      </c>
      <c r="F910" t="inlineStr">
        <is>
          <t>GÄVLEBORGS LÄN</t>
        </is>
      </c>
      <c r="G910" t="inlineStr">
        <is>
          <t>BOLLNÄS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46024</v>
      </c>
      <c r="E911" s="1" t="n">
        <v>46307</v>
      </c>
      <c r="F911" t="inlineStr">
        <is>
          <t>GÄVLEBORGS LÄN</t>
        </is>
      </c>
      <c r="G911" t="inlineStr">
        <is>
          <t>BOLLNÄS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46024</v>
      </c>
      <c r="E912" s="1" t="n">
        <v>46307</v>
      </c>
      <c r="F912" t="inlineStr">
        <is>
          <t>GÄVLEBORGS LÄN</t>
        </is>
      </c>
      <c r="G912" t="inlineStr">
        <is>
          <t>BOLLNÄS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14632-2026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46101</v>
      </c>
      <c r="E913" s="1" t="n">
        <v>46307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8914-2026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46069</v>
      </c>
      <c r="E914" s="1" t="n">
        <v>46307</v>
      </c>
      <c r="F914" t="inlineStr">
        <is>
          <t>GÄVLEBORGS LÄN</t>
        </is>
      </c>
      <c r="G914" t="inlineStr">
        <is>
          <t>BOLLNÄS</t>
        </is>
      </c>
      <c r="I914" t="n">
        <v>37.3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12595-2026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46090</v>
      </c>
      <c r="E915" s="1" t="n">
        <v>46307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53298-2023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46307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53384-2023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46307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62825-2025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46008</v>
      </c>
      <c r="E918" s="1" t="n">
        <v>46307</v>
      </c>
      <c r="F918" t="inlineStr">
        <is>
          <t>GÄVLEBORGS LÄN</t>
        </is>
      </c>
      <c r="G918" t="inlineStr">
        <is>
          <t>BOLLNÄS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8008-2026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46063</v>
      </c>
      <c r="E919" s="1" t="n">
        <v>46307</v>
      </c>
      <c r="F919" t="inlineStr">
        <is>
          <t>GÄVLEBORGS LÄN</t>
        </is>
      </c>
      <c r="G919" t="inlineStr">
        <is>
          <t>BOLLNÄS</t>
        </is>
      </c>
      <c r="I919" t="n">
        <v>14.6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46307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49931-2023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46307</v>
      </c>
      <c r="F921" t="inlineStr">
        <is>
          <t>GÄVLEBORGS LÄN</t>
        </is>
      </c>
      <c r="G921" t="inlineStr">
        <is>
          <t>BOLLNÄS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15858-2026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46107</v>
      </c>
      <c r="E922" s="1" t="n">
        <v>46307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46027</v>
      </c>
      <c r="E923" s="1" t="n">
        <v>46307</v>
      </c>
      <c r="F923" t="inlineStr">
        <is>
          <t>GÄVLEBORGS LÄN</t>
        </is>
      </c>
      <c r="G923" t="inlineStr">
        <is>
          <t>BOLLNÄS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46029</v>
      </c>
      <c r="E924" s="1" t="n">
        <v>46307</v>
      </c>
      <c r="F924" t="inlineStr">
        <is>
          <t>GÄVLEBORGS LÄN</t>
        </is>
      </c>
      <c r="G924" t="inlineStr">
        <is>
          <t>BOLLNÄS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46307</v>
      </c>
      <c r="F925" t="inlineStr">
        <is>
          <t>GÄVLEBORGS LÄN</t>
        </is>
      </c>
      <c r="G925" t="inlineStr">
        <is>
          <t>BOLLNÄS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46307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46138</v>
      </c>
      <c r="E927" s="1" t="n">
        <v>46307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44967</v>
      </c>
      <c r="E928" s="1" t="n">
        <v>46307</v>
      </c>
      <c r="F928" t="inlineStr">
        <is>
          <t>GÄVLEBORGS LÄN</t>
        </is>
      </c>
      <c r="G928" t="inlineStr">
        <is>
          <t>BOLLNÄS</t>
        </is>
      </c>
      <c r="I928" t="n">
        <v>11.1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20263-2026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46139</v>
      </c>
      <c r="E929" s="1" t="n">
        <v>46307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46030</v>
      </c>
      <c r="E930" s="1" t="n">
        <v>46307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59085-2021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44490</v>
      </c>
      <c r="E931" s="1" t="n">
        <v>46307</v>
      </c>
      <c r="F931" t="inlineStr">
        <is>
          <t>GÄVLEBORGS LÄN</t>
        </is>
      </c>
      <c r="G931" t="inlineStr">
        <is>
          <t>BOLLNÄS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28179-2023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45099</v>
      </c>
      <c r="E932" s="1" t="n">
        <v>46307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14615-2026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46307</v>
      </c>
      <c r="F933" t="inlineStr">
        <is>
          <t>GÄVLEBORGS LÄN</t>
        </is>
      </c>
      <c r="G933" t="inlineStr">
        <is>
          <t>BOLLNÄS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10204-2026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46307</v>
      </c>
      <c r="F934" t="inlineStr">
        <is>
          <t>GÄVLEBORGS LÄN</t>
        </is>
      </c>
      <c r="G934" t="inlineStr">
        <is>
          <t>BOLLNÄS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46030</v>
      </c>
      <c r="E935" s="1" t="n">
        <v>46307</v>
      </c>
      <c r="F935" t="inlineStr">
        <is>
          <t>GÄVLEBORGS LÄN</t>
        </is>
      </c>
      <c r="G935" t="inlineStr">
        <is>
          <t>BOLLNÄS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46029</v>
      </c>
      <c r="E936" s="1" t="n">
        <v>46307</v>
      </c>
      <c r="F936" t="inlineStr">
        <is>
          <t>GÄVLEBORGS LÄN</t>
        </is>
      </c>
      <c r="G936" t="inlineStr">
        <is>
          <t>BOLLNÄS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45092</v>
      </c>
      <c r="E937" s="1" t="n">
        <v>46307</v>
      </c>
      <c r="F937" t="inlineStr">
        <is>
          <t>GÄVLEBORGS LÄN</t>
        </is>
      </c>
      <c r="G937" t="inlineStr">
        <is>
          <t>BOLLNÄS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46307</v>
      </c>
      <c r="F938" t="inlineStr">
        <is>
          <t>GÄVLEBORGS LÄN</t>
        </is>
      </c>
      <c r="G938" t="inlineStr">
        <is>
          <t>BOLLNÄS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46140</v>
      </c>
      <c r="E939" s="1" t="n">
        <v>46307</v>
      </c>
      <c r="F939" t="inlineStr">
        <is>
          <t>GÄVLEBORGS LÄN</t>
        </is>
      </c>
      <c r="G939" t="inlineStr">
        <is>
          <t>BOLLNÄS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40653-2023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45169</v>
      </c>
      <c r="E940" s="1" t="n">
        <v>46307</v>
      </c>
      <c r="F940" t="inlineStr">
        <is>
          <t>GÄVLEBORGS LÄN</t>
        </is>
      </c>
      <c r="G940" t="inlineStr">
        <is>
          <t>BOLLNÄS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46307</v>
      </c>
      <c r="F941" t="inlineStr">
        <is>
          <t>GÄVLEBORGS LÄN</t>
        </is>
      </c>
      <c r="G941" t="inlineStr">
        <is>
          <t>BOLLNÄS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27590-2023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45097</v>
      </c>
      <c r="E942" s="1" t="n">
        <v>46307</v>
      </c>
      <c r="F942" t="inlineStr">
        <is>
          <t>GÄVLEBORGS LÄN</t>
        </is>
      </c>
      <c r="G942" t="inlineStr">
        <is>
          <t>BOLLNÄS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46307</v>
      </c>
      <c r="F943" t="inlineStr">
        <is>
          <t>GÄVLEBORGS LÄN</t>
        </is>
      </c>
      <c r="G943" t="inlineStr">
        <is>
          <t>BOLLNÄS</t>
        </is>
      </c>
      <c r="I943" t="n">
        <v>16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46029</v>
      </c>
      <c r="E944" s="1" t="n">
        <v>46307</v>
      </c>
      <c r="F944" t="inlineStr">
        <is>
          <t>GÄVLEBORGS LÄN</t>
        </is>
      </c>
      <c r="G944" t="inlineStr">
        <is>
          <t>BOLLNÄS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46307</v>
      </c>
      <c r="F945" t="inlineStr">
        <is>
          <t>GÄVLEBORGS LÄN</t>
        </is>
      </c>
      <c r="G945" t="inlineStr">
        <is>
          <t>BOLLNÄS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14256-2026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46099</v>
      </c>
      <c r="E946" s="1" t="n">
        <v>46307</v>
      </c>
      <c r="F946" t="inlineStr">
        <is>
          <t>GÄVLEBORGS LÄN</t>
        </is>
      </c>
      <c r="G946" t="inlineStr">
        <is>
          <t>BOLLNÄS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46307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46140</v>
      </c>
      <c r="E948" s="1" t="n">
        <v>46307</v>
      </c>
      <c r="F948" t="inlineStr">
        <is>
          <t>GÄVLEBORGS LÄN</t>
        </is>
      </c>
      <c r="G948" t="inlineStr">
        <is>
          <t>BOLLNÄS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46307</v>
      </c>
      <c r="F949" t="inlineStr">
        <is>
          <t>GÄVLEBORGS LÄN</t>
        </is>
      </c>
      <c r="G949" t="inlineStr">
        <is>
          <t>BOLLNÄS</t>
        </is>
      </c>
      <c r="I949" t="n">
        <v>6.4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46307</v>
      </c>
      <c r="F950" t="inlineStr">
        <is>
          <t>GÄVLEBORGS LÄN</t>
        </is>
      </c>
      <c r="G950" t="inlineStr">
        <is>
          <t>BOLLNÄS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46307</v>
      </c>
      <c r="F951" t="inlineStr">
        <is>
          <t>GÄVLEBORGS LÄN</t>
        </is>
      </c>
      <c r="G951" t="inlineStr">
        <is>
          <t>BOLLNÄS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46307</v>
      </c>
      <c r="F952" t="inlineStr">
        <is>
          <t>GÄVLEBORGS LÄN</t>
        </is>
      </c>
      <c r="G952" t="inlineStr">
        <is>
          <t>BOLLNÄS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20609-2026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46140</v>
      </c>
      <c r="E953" s="1" t="n">
        <v>46307</v>
      </c>
      <c r="F953" t="inlineStr">
        <is>
          <t>GÄVLEBORGS LÄN</t>
        </is>
      </c>
      <c r="G953" t="inlineStr">
        <is>
          <t>BOLLNÄS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12945-2026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46092</v>
      </c>
      <c r="E954" s="1" t="n">
        <v>46307</v>
      </c>
      <c r="F954" t="inlineStr">
        <is>
          <t>GÄVLEBORGS LÄN</t>
        </is>
      </c>
      <c r="G954" t="inlineStr">
        <is>
          <t>BOLLNÄS</t>
        </is>
      </c>
      <c r="H954" t="inlineStr">
        <is>
          <t>Sveaskog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10198-2026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46076</v>
      </c>
      <c r="E955" s="1" t="n">
        <v>46307</v>
      </c>
      <c r="F955" t="inlineStr">
        <is>
          <t>GÄVLEBORGS LÄN</t>
        </is>
      </c>
      <c r="G955" t="inlineStr">
        <is>
          <t>BOLLNÄS</t>
        </is>
      </c>
      <c r="I955" t="n">
        <v>15.9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46307</v>
      </c>
      <c r="F956" t="inlineStr">
        <is>
          <t>GÄVLEBORGS LÄN</t>
        </is>
      </c>
      <c r="G956" t="inlineStr">
        <is>
          <t>BOLLNÄS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46307</v>
      </c>
      <c r="F957" t="inlineStr">
        <is>
          <t>GÄVLEBORGS LÄN</t>
        </is>
      </c>
      <c r="G957" t="inlineStr">
        <is>
          <t>BOLLNÄS</t>
        </is>
      </c>
      <c r="I957" t="n">
        <v>15.2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25632-2022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44732</v>
      </c>
      <c r="E958" s="1" t="n">
        <v>46307</v>
      </c>
      <c r="F958" t="inlineStr">
        <is>
          <t>GÄVLEBORGS LÄN</t>
        </is>
      </c>
      <c r="G958" t="inlineStr">
        <is>
          <t>BOLLNÄS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63268-2025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46307</v>
      </c>
      <c r="F959" t="inlineStr">
        <is>
          <t>GÄVLEBORGS LÄN</t>
        </is>
      </c>
      <c r="G959" t="inlineStr">
        <is>
          <t>BOLLNÄS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20483-2026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46140</v>
      </c>
      <c r="E960" s="1" t="n">
        <v>46307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46034</v>
      </c>
      <c r="E961" s="1" t="n">
        <v>46307</v>
      </c>
      <c r="F961" t="inlineStr">
        <is>
          <t>GÄVLEBORGS LÄN</t>
        </is>
      </c>
      <c r="G961" t="inlineStr">
        <is>
          <t>BOLLNÄS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49993-2024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45597</v>
      </c>
      <c r="E962" s="1" t="n">
        <v>46307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1502-2026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46307</v>
      </c>
      <c r="F963" t="inlineStr">
        <is>
          <t>GÄVLEBORGS LÄN</t>
        </is>
      </c>
      <c r="G963" t="inlineStr">
        <is>
          <t>BOLLNÄS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23930-2025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45795</v>
      </c>
      <c r="E964" s="1" t="n">
        <v>46307</v>
      </c>
      <c r="F964" t="inlineStr">
        <is>
          <t>GÄVLEBORGS LÄN</t>
        </is>
      </c>
      <c r="G964" t="inlineStr">
        <is>
          <t>BOLLNÄS</t>
        </is>
      </c>
      <c r="I964" t="n">
        <v>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36594-2023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45153</v>
      </c>
      <c r="E965" s="1" t="n">
        <v>46307</v>
      </c>
      <c r="F965" t="inlineStr">
        <is>
          <t>GÄVLEBORGS LÄN</t>
        </is>
      </c>
      <c r="G965" t="inlineStr">
        <is>
          <t>BOLLNÄS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46034</v>
      </c>
      <c r="E966" s="1" t="n">
        <v>46307</v>
      </c>
      <c r="F966" t="inlineStr">
        <is>
          <t>GÄVLEBORGS LÄN</t>
        </is>
      </c>
      <c r="G966" t="inlineStr">
        <is>
          <t>BOLLNÄS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20413-2026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46307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31574-2024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45506</v>
      </c>
      <c r="E968" s="1" t="n">
        <v>46307</v>
      </c>
      <c r="F968" t="inlineStr">
        <is>
          <t>GÄVLEBORGS LÄN</t>
        </is>
      </c>
      <c r="G968" t="inlineStr">
        <is>
          <t>BOLLNÄS</t>
        </is>
      </c>
      <c r="H968" t="inlineStr">
        <is>
          <t>Sveaskog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20219-2026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46139</v>
      </c>
      <c r="E969" s="1" t="n">
        <v>46307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öst AB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20257-2026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46139</v>
      </c>
      <c r="E970" s="1" t="n">
        <v>46307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20283-2026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46307</v>
      </c>
      <c r="F971" t="inlineStr">
        <is>
          <t>GÄVLEBORGS LÄN</t>
        </is>
      </c>
      <c r="G971" t="inlineStr">
        <is>
          <t>BOLLNÄS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46034</v>
      </c>
      <c r="E972" s="1" t="n">
        <v>46307</v>
      </c>
      <c r="F972" t="inlineStr">
        <is>
          <t>GÄVLEBORGS LÄN</t>
        </is>
      </c>
      <c r="G972" t="inlineStr">
        <is>
          <t>BOLLNÄS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46034</v>
      </c>
      <c r="E973" s="1" t="n">
        <v>46307</v>
      </c>
      <c r="F973" t="inlineStr">
        <is>
          <t>GÄVLEBORGS LÄN</t>
        </is>
      </c>
      <c r="G973" t="inlineStr">
        <is>
          <t>BOLLNÄS</t>
        </is>
      </c>
      <c r="I973" t="n">
        <v>11.8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46041</v>
      </c>
      <c r="E974" s="1" t="n">
        <v>46307</v>
      </c>
      <c r="F974" t="inlineStr">
        <is>
          <t>GÄVLEBORGS LÄN</t>
        </is>
      </c>
      <c r="G974" t="inlineStr">
        <is>
          <t>BOLLNÄS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1675-2026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46034</v>
      </c>
      <c r="E975" s="1" t="n">
        <v>46307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46034</v>
      </c>
      <c r="E976" s="1" t="n">
        <v>46307</v>
      </c>
      <c r="F976" t="inlineStr">
        <is>
          <t>GÄVLEBORGS LÄN</t>
        </is>
      </c>
      <c r="G976" t="inlineStr">
        <is>
          <t>BOLLNÄS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24551-2024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45460</v>
      </c>
      <c r="E977" s="1" t="n">
        <v>46307</v>
      </c>
      <c r="F977" t="inlineStr">
        <is>
          <t>GÄVLEBORGS LÄN</t>
        </is>
      </c>
      <c r="G977" t="inlineStr">
        <is>
          <t>BOLLNÄS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24742-2024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45460</v>
      </c>
      <c r="E978" s="1" t="n">
        <v>46307</v>
      </c>
      <c r="F978" t="inlineStr">
        <is>
          <t>GÄVLEBORGS LÄN</t>
        </is>
      </c>
      <c r="G978" t="inlineStr">
        <is>
          <t>BOLLNÄS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46035</v>
      </c>
      <c r="E979" s="1" t="n">
        <v>46307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11335-2026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46082</v>
      </c>
      <c r="E980" s="1" t="n">
        <v>46307</v>
      </c>
      <c r="F980" t="inlineStr">
        <is>
          <t>GÄVLEBORGS LÄN</t>
        </is>
      </c>
      <c r="G980" t="inlineStr">
        <is>
          <t>BOLLNÄS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29777-2025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45825</v>
      </c>
      <c r="E981" s="1" t="n">
        <v>46307</v>
      </c>
      <c r="F981" t="inlineStr">
        <is>
          <t>GÄVLEBORGS LÄN</t>
        </is>
      </c>
      <c r="G981" t="inlineStr">
        <is>
          <t>BOLLNÄS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29241-2022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44750</v>
      </c>
      <c r="E982" s="1" t="n">
        <v>46307</v>
      </c>
      <c r="F982" t="inlineStr">
        <is>
          <t>GÄVLEBORGS LÄN</t>
        </is>
      </c>
      <c r="G982" t="inlineStr">
        <is>
          <t>BOLLNÄS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46072</v>
      </c>
      <c r="E983" s="1" t="n">
        <v>46307</v>
      </c>
      <c r="F983" t="inlineStr">
        <is>
          <t>GÄVLEBORGS LÄN</t>
        </is>
      </c>
      <c r="G983" t="inlineStr">
        <is>
          <t>BOLLNÄS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46073</v>
      </c>
      <c r="E984" s="1" t="n">
        <v>46307</v>
      </c>
      <c r="F984" t="inlineStr">
        <is>
          <t>GÄVLEBORGS LÄN</t>
        </is>
      </c>
      <c r="G984" t="inlineStr">
        <is>
          <t>BOLLNÄS</t>
        </is>
      </c>
      <c r="I984" t="n">
        <v>12.2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63958-2025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46020</v>
      </c>
      <c r="E985" s="1" t="n">
        <v>46307</v>
      </c>
      <c r="F985" t="inlineStr">
        <is>
          <t>GÄVLEBORGS LÄN</t>
        </is>
      </c>
      <c r="G985" t="inlineStr">
        <is>
          <t>BOLLNÄS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1805-2026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46035</v>
      </c>
      <c r="E986" s="1" t="n">
        <v>46307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2143-2026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46036</v>
      </c>
      <c r="E987" s="1" t="n">
        <v>46307</v>
      </c>
      <c r="F987" t="inlineStr">
        <is>
          <t>GÄVLEBORGS LÄN</t>
        </is>
      </c>
      <c r="G987" t="inlineStr">
        <is>
          <t>BOLLNÄS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46036</v>
      </c>
      <c r="E988" s="1" t="n">
        <v>46307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46035</v>
      </c>
      <c r="E989" s="1" t="n">
        <v>46307</v>
      </c>
      <c r="F989" t="inlineStr">
        <is>
          <t>GÄVLEBORGS LÄN</t>
        </is>
      </c>
      <c r="G989" t="inlineStr">
        <is>
          <t>BOLLNÄS</t>
        </is>
      </c>
      <c r="I989" t="n">
        <v>9.6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1948-2026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46035</v>
      </c>
      <c r="E990" s="1" t="n">
        <v>46307</v>
      </c>
      <c r="F990" t="inlineStr">
        <is>
          <t>GÄVLEBORGS LÄN</t>
        </is>
      </c>
      <c r="G990" t="inlineStr">
        <is>
          <t>BOLLNÄS</t>
        </is>
      </c>
      <c r="I990" t="n">
        <v>13.2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51797-2023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45222</v>
      </c>
      <c r="E991" s="1" t="n">
        <v>46307</v>
      </c>
      <c r="F991" t="inlineStr">
        <is>
          <t>GÄVLEBORGS LÄN</t>
        </is>
      </c>
      <c r="G991" t="inlineStr">
        <is>
          <t>BOLLNÄS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46307</v>
      </c>
      <c r="F992" t="inlineStr">
        <is>
          <t>GÄVLEBORGS LÄN</t>
        </is>
      </c>
      <c r="G992" t="inlineStr">
        <is>
          <t>BOLLNÄS</t>
        </is>
      </c>
      <c r="I992" t="n">
        <v>24.2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46036</v>
      </c>
      <c r="E993" s="1" t="n">
        <v>46307</v>
      </c>
      <c r="F993" t="inlineStr">
        <is>
          <t>GÄVLEBORGS LÄN</t>
        </is>
      </c>
      <c r="G993" t="inlineStr">
        <is>
          <t>BOLLNÄS</t>
        </is>
      </c>
      <c r="I993" t="n">
        <v>7.3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7878-2026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46063</v>
      </c>
      <c r="E994" s="1" t="n">
        <v>46307</v>
      </c>
      <c r="F994" t="inlineStr">
        <is>
          <t>GÄVLEBORGS LÄN</t>
        </is>
      </c>
      <c r="G994" t="inlineStr">
        <is>
          <t>BOLLNÄS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13238-2026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46307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46035</v>
      </c>
      <c r="E996" s="1" t="n">
        <v>46307</v>
      </c>
      <c r="F996" t="inlineStr">
        <is>
          <t>GÄVLEBORGS LÄN</t>
        </is>
      </c>
      <c r="G996" t="inlineStr">
        <is>
          <t>BOLLNÄS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59237-2024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45637</v>
      </c>
      <c r="E997" s="1" t="n">
        <v>46307</v>
      </c>
      <c r="F997" t="inlineStr">
        <is>
          <t>GÄVLEBORGS LÄN</t>
        </is>
      </c>
      <c r="G997" t="inlineStr">
        <is>
          <t>BOLLNÄS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2748-2026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46307</v>
      </c>
      <c r="F998" t="inlineStr">
        <is>
          <t>GÄVLEBORGS LÄN</t>
        </is>
      </c>
      <c r="G998" t="inlineStr">
        <is>
          <t>BOLLNÄS</t>
        </is>
      </c>
      <c r="I998" t="n">
        <v>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46307</v>
      </c>
      <c r="F999" t="inlineStr">
        <is>
          <t>GÄVLEBORGS LÄN</t>
        </is>
      </c>
      <c r="G999" t="inlineStr">
        <is>
          <t>BOLLNÄS</t>
        </is>
      </c>
      <c r="I999" t="n">
        <v>3.8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840-2026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46030</v>
      </c>
      <c r="E1000" s="1" t="n">
        <v>46307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1047-2026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46030</v>
      </c>
      <c r="E1001" s="1" t="n">
        <v>46307</v>
      </c>
      <c r="F1001" t="inlineStr">
        <is>
          <t>GÄVLEBORGS LÄN</t>
        </is>
      </c>
      <c r="G1001" t="inlineStr">
        <is>
          <t>BOLLNÄS</t>
        </is>
      </c>
      <c r="I1001" t="n">
        <v>32.1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46027</v>
      </c>
      <c r="E1002" s="1" t="n">
        <v>46307</v>
      </c>
      <c r="F1002" t="inlineStr">
        <is>
          <t>GÄVLEBORGS LÄN</t>
        </is>
      </c>
      <c r="G1002" t="inlineStr">
        <is>
          <t>BOLLNÄS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46036</v>
      </c>
      <c r="E1003" s="1" t="n">
        <v>46307</v>
      </c>
      <c r="F1003" t="inlineStr">
        <is>
          <t>GÄVLEBORGS LÄN</t>
        </is>
      </c>
      <c r="G1003" t="inlineStr">
        <is>
          <t>BOLLNÄS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46307</v>
      </c>
      <c r="F1004" t="inlineStr">
        <is>
          <t>GÄVLEBORGS LÄN</t>
        </is>
      </c>
      <c r="G1004" t="inlineStr">
        <is>
          <t>BOLLNÄS</t>
        </is>
      </c>
      <c r="I1004" t="n">
        <v>12.6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46307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3322-2026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46041</v>
      </c>
      <c r="E1006" s="1" t="n">
        <v>46307</v>
      </c>
      <c r="F1006" t="inlineStr">
        <is>
          <t>GÄVLEBORGS LÄN</t>
        </is>
      </c>
      <c r="G1006" t="inlineStr">
        <is>
          <t>BOLLNÄS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46038</v>
      </c>
      <c r="E1007" s="1" t="n">
        <v>46307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2653-2026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46307</v>
      </c>
      <c r="F1008" t="inlineStr">
        <is>
          <t>GÄVLEBORGS LÄN</t>
        </is>
      </c>
      <c r="G1008" t="inlineStr">
        <is>
          <t>BOLLNÄS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46307</v>
      </c>
      <c r="F1009" t="inlineStr">
        <is>
          <t>GÄVLEBORGS LÄN</t>
        </is>
      </c>
      <c r="G1009" t="inlineStr">
        <is>
          <t>BOLLNÄS</t>
        </is>
      </c>
      <c r="I1009" t="n">
        <v>24.3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2743-2026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46038</v>
      </c>
      <c r="E1010" s="1" t="n">
        <v>46307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2737-2026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46307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46038</v>
      </c>
      <c r="E1012" s="1" t="n">
        <v>46307</v>
      </c>
      <c r="F1012" t="inlineStr">
        <is>
          <t>GÄVLEBORGS LÄN</t>
        </is>
      </c>
      <c r="G1012" t="inlineStr">
        <is>
          <t>BOLLNÄS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2739-2026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46038</v>
      </c>
      <c r="E1013" s="1" t="n">
        <v>46307</v>
      </c>
      <c r="F1013" t="inlineStr">
        <is>
          <t>GÄVLEBORGS LÄN</t>
        </is>
      </c>
      <c r="G1013" t="inlineStr">
        <is>
          <t>BOLLNÄS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3017-2026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46038</v>
      </c>
      <c r="E1014" s="1" t="n">
        <v>46307</v>
      </c>
      <c r="F1014" t="inlineStr">
        <is>
          <t>GÄVLEBORGS LÄN</t>
        </is>
      </c>
      <c r="G1014" t="inlineStr">
        <is>
          <t>BOLLNÄS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46038</v>
      </c>
      <c r="E1015" s="1" t="n">
        <v>46307</v>
      </c>
      <c r="F1015" t="inlineStr">
        <is>
          <t>GÄVLEBORGS LÄN</t>
        </is>
      </c>
      <c r="G1015" t="inlineStr">
        <is>
          <t>BOLLNÄS</t>
        </is>
      </c>
      <c r="I1015" t="n">
        <v>8.800000000000001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46029</v>
      </c>
      <c r="E1016" s="1" t="n">
        <v>46307</v>
      </c>
      <c r="F1016" t="inlineStr">
        <is>
          <t>GÄVLEBORGS LÄN</t>
        </is>
      </c>
      <c r="G1016" t="inlineStr">
        <is>
          <t>BOLLNÄS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46029</v>
      </c>
      <c r="E1017" s="1" t="n">
        <v>46307</v>
      </c>
      <c r="F1017" t="inlineStr">
        <is>
          <t>GÄVLEBORGS LÄN</t>
        </is>
      </c>
      <c r="G1017" t="inlineStr">
        <is>
          <t>BOLLNÄS</t>
        </is>
      </c>
      <c r="I1017" t="n">
        <v>17.7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46042</v>
      </c>
      <c r="E1018" s="1" t="n">
        <v>46307</v>
      </c>
      <c r="F1018" t="inlineStr">
        <is>
          <t>GÄVLEBORGS LÄN</t>
        </is>
      </c>
      <c r="G1018" t="inlineStr">
        <is>
          <t>BOLLNÄS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3121-2026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46307</v>
      </c>
      <c r="F1019" t="inlineStr">
        <is>
          <t>GÄVLEBORGS LÄN</t>
        </is>
      </c>
      <c r="G1019" t="inlineStr">
        <is>
          <t>BOLLNÄS</t>
        </is>
      </c>
      <c r="I1019" t="n">
        <v>8.300000000000001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46040</v>
      </c>
      <c r="E1020" s="1" t="n">
        <v>46307</v>
      </c>
      <c r="F1020" t="inlineStr">
        <is>
          <t>GÄVLEBORGS LÄN</t>
        </is>
      </c>
      <c r="G1020" t="inlineStr">
        <is>
          <t>BOLLNÄS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3468-2026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46307</v>
      </c>
      <c r="F1021" t="inlineStr">
        <is>
          <t>GÄVLEBORGS LÄN</t>
        </is>
      </c>
      <c r="G1021" t="inlineStr">
        <is>
          <t>BOLLNÄS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46307</v>
      </c>
      <c r="F1022" t="inlineStr">
        <is>
          <t>GÄVLEBORGS LÄN</t>
        </is>
      </c>
      <c r="G1022" t="inlineStr">
        <is>
          <t>BOLLNÄS</t>
        </is>
      </c>
      <c r="I1022" t="n">
        <v>9.300000000000001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46307</v>
      </c>
      <c r="F1023" t="inlineStr">
        <is>
          <t>GÄVLEBORGS LÄN</t>
        </is>
      </c>
      <c r="G1023" t="inlineStr">
        <is>
          <t>BOLLNÄS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4770-2026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46307</v>
      </c>
      <c r="F1024" t="inlineStr">
        <is>
          <t>GÄVLEBORGS LÄN</t>
        </is>
      </c>
      <c r="G1024" t="inlineStr">
        <is>
          <t>BOLLNÄS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46307</v>
      </c>
      <c r="F1025" t="inlineStr">
        <is>
          <t>GÄVLEBORGS LÄN</t>
        </is>
      </c>
      <c r="G1025" t="inlineStr">
        <is>
          <t>BOLLNÄS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8906-2026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46069</v>
      </c>
      <c r="E1026" s="1" t="n">
        <v>46307</v>
      </c>
      <c r="F1026" t="inlineStr">
        <is>
          <t>GÄVLEBORGS LÄN</t>
        </is>
      </c>
      <c r="G1026" t="inlineStr">
        <is>
          <t>BOLLNÄS</t>
        </is>
      </c>
      <c r="I1026" t="n">
        <v>9.300000000000001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46038</v>
      </c>
      <c r="E1027" s="1" t="n">
        <v>46307</v>
      </c>
      <c r="F1027" t="inlineStr">
        <is>
          <t>GÄVLEBORGS LÄN</t>
        </is>
      </c>
      <c r="G1027" t="inlineStr">
        <is>
          <t>BOLLNÄS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3487-2026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46042</v>
      </c>
      <c r="E1028" s="1" t="n">
        <v>46307</v>
      </c>
      <c r="F1028" t="inlineStr">
        <is>
          <t>GÄVLEBORGS LÄN</t>
        </is>
      </c>
      <c r="G1028" t="inlineStr">
        <is>
          <t>BOLLNÄS</t>
        </is>
      </c>
      <c r="I1028" t="n">
        <v>18.3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46307</v>
      </c>
      <c r="F1029" t="inlineStr">
        <is>
          <t>GÄVLEBORGS LÄN</t>
        </is>
      </c>
      <c r="G1029" t="inlineStr">
        <is>
          <t>BOLLNÄS</t>
        </is>
      </c>
      <c r="I1029" t="n">
        <v>18.3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46042</v>
      </c>
      <c r="E1030" s="1" t="n">
        <v>46307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3072-2026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46040</v>
      </c>
      <c r="E1031" s="1" t="n">
        <v>46307</v>
      </c>
      <c r="F1031" t="inlineStr">
        <is>
          <t>GÄVLEBORGS LÄN</t>
        </is>
      </c>
      <c r="G1031" t="inlineStr">
        <is>
          <t>BOLLNÄS</t>
        </is>
      </c>
      <c r="I1031" t="n">
        <v>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46307</v>
      </c>
      <c r="F1032" t="inlineStr">
        <is>
          <t>GÄVLEBORGS LÄN</t>
        </is>
      </c>
      <c r="G1032" t="inlineStr">
        <is>
          <t>BOLLNÄS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3099-2026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46041</v>
      </c>
      <c r="E1033" s="1" t="n">
        <v>46307</v>
      </c>
      <c r="F1033" t="inlineStr">
        <is>
          <t>GÄVLEBORGS LÄN</t>
        </is>
      </c>
      <c r="G1033" t="inlineStr">
        <is>
          <t>BOLLNÄS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46307</v>
      </c>
      <c r="F1034" t="inlineStr">
        <is>
          <t>GÄVLEBORGS LÄN</t>
        </is>
      </c>
      <c r="G1034" t="inlineStr">
        <is>
          <t>BOLLNÄS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46307</v>
      </c>
      <c r="F1035" t="inlineStr">
        <is>
          <t>GÄVLEBORGS LÄN</t>
        </is>
      </c>
      <c r="G1035" t="inlineStr">
        <is>
          <t>BOLLNÄS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3089-2026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46040</v>
      </c>
      <c r="E1036" s="1" t="n">
        <v>46307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46040</v>
      </c>
      <c r="E1037" s="1" t="n">
        <v>46307</v>
      </c>
      <c r="F1037" t="inlineStr">
        <is>
          <t>GÄVLEBORGS LÄN</t>
        </is>
      </c>
      <c r="G1037" t="inlineStr">
        <is>
          <t>BOLLNÄS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46040</v>
      </c>
      <c r="E1038" s="1" t="n">
        <v>46307</v>
      </c>
      <c r="F1038" t="inlineStr">
        <is>
          <t>GÄVLEBORGS LÄN</t>
        </is>
      </c>
      <c r="G1038" t="inlineStr">
        <is>
          <t>BOLLNÄS</t>
        </is>
      </c>
      <c r="I1038" t="n">
        <v>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3077-2026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46040</v>
      </c>
      <c r="E1039" s="1" t="n">
        <v>46307</v>
      </c>
      <c r="F1039" t="inlineStr">
        <is>
          <t>GÄVLEBORGS LÄN</t>
        </is>
      </c>
      <c r="G1039" t="inlineStr">
        <is>
          <t>BOLLNÄS</t>
        </is>
      </c>
      <c r="I1039" t="n">
        <v>31.3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46040</v>
      </c>
      <c r="E1040" s="1" t="n">
        <v>46307</v>
      </c>
      <c r="F1040" t="inlineStr">
        <is>
          <t>GÄVLEBORGS LÄN</t>
        </is>
      </c>
      <c r="G1040" t="inlineStr">
        <is>
          <t>BOLLNÄS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46045</v>
      </c>
      <c r="E1041" s="1" t="n">
        <v>46307</v>
      </c>
      <c r="F1041" t="inlineStr">
        <is>
          <t>GÄVLEBORGS LÄN</t>
        </is>
      </c>
      <c r="G1041" t="inlineStr">
        <is>
          <t>BOLLNÄS</t>
        </is>
      </c>
      <c r="I1041" t="n">
        <v>14.4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3074-2026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46040</v>
      </c>
      <c r="E1042" s="1" t="n">
        <v>46307</v>
      </c>
      <c r="F1042" t="inlineStr">
        <is>
          <t>GÄVLEBORGS LÄN</t>
        </is>
      </c>
      <c r="G1042" t="inlineStr">
        <is>
          <t>BOLLNÄS</t>
        </is>
      </c>
      <c r="I1042" t="n">
        <v>12.9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2513-2026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46307</v>
      </c>
      <c r="F1043" t="inlineStr">
        <is>
          <t>GÄVLEBORGS LÄN</t>
        </is>
      </c>
      <c r="G1043" t="inlineStr">
        <is>
          <t>BOLLNÄS</t>
        </is>
      </c>
      <c r="I1043" t="n">
        <v>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1389-2026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46031</v>
      </c>
      <c r="E1044" s="1" t="n">
        <v>46307</v>
      </c>
      <c r="F1044" t="inlineStr">
        <is>
          <t>GÄVLEBORGS LÄN</t>
        </is>
      </c>
      <c r="G1044" t="inlineStr">
        <is>
          <t>BOLLNÄS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5653-2026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46051</v>
      </c>
      <c r="E1045" s="1" t="n">
        <v>46307</v>
      </c>
      <c r="F1045" t="inlineStr">
        <is>
          <t>GÄVLEBORGS LÄN</t>
        </is>
      </c>
      <c r="G1045" t="inlineStr">
        <is>
          <t>BOLLNÄS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46307</v>
      </c>
      <c r="F1046" t="inlineStr">
        <is>
          <t>GÄVLEBORGS LÄN</t>
        </is>
      </c>
      <c r="G1046" t="inlineStr">
        <is>
          <t>BOLLNÄS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46307</v>
      </c>
      <c r="F1047" t="inlineStr">
        <is>
          <t>GÄVLEBORGS LÄN</t>
        </is>
      </c>
      <c r="G1047" t="inlineStr">
        <is>
          <t>BOLLNÄS</t>
        </is>
      </c>
      <c r="I1047" t="n">
        <v>34.3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46040</v>
      </c>
      <c r="E1048" s="1" t="n">
        <v>46307</v>
      </c>
      <c r="F1048" t="inlineStr">
        <is>
          <t>GÄVLEBORGS LÄN</t>
        </is>
      </c>
      <c r="G1048" t="inlineStr">
        <is>
          <t>BOLLNÄS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46041</v>
      </c>
      <c r="E1049" s="1" t="n">
        <v>46307</v>
      </c>
      <c r="F1049" t="inlineStr">
        <is>
          <t>GÄVLEBORGS LÄN</t>
        </is>
      </c>
      <c r="G1049" t="inlineStr">
        <is>
          <t>BOLLNÄS</t>
        </is>
      </c>
      <c r="I1049" t="n">
        <v>18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12243-2026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46307</v>
      </c>
      <c r="F1050" t="inlineStr">
        <is>
          <t>GÄVLEBORGS LÄN</t>
        </is>
      </c>
      <c r="G1050" t="inlineStr">
        <is>
          <t>BOLLNÄS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4176-2026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46307</v>
      </c>
      <c r="F1051" t="inlineStr">
        <is>
          <t>GÄVLEBORGS LÄN</t>
        </is>
      </c>
      <c r="G1051" t="inlineStr">
        <is>
          <t>BOLLNÄS</t>
        </is>
      </c>
      <c r="I1051" t="n">
        <v>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46044</v>
      </c>
      <c r="E1052" s="1" t="n">
        <v>46307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12342-2026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46087</v>
      </c>
      <c r="E1053" s="1" t="n">
        <v>46307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Kyrkan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46307</v>
      </c>
      <c r="F1054" t="inlineStr">
        <is>
          <t>GÄVLEBORGS LÄN</t>
        </is>
      </c>
      <c r="G1054" t="inlineStr">
        <is>
          <t>BOLLNÄS</t>
        </is>
      </c>
      <c r="I1054" t="n">
        <v>7.6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28477-2025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45819</v>
      </c>
      <c r="E1055" s="1" t="n">
        <v>46307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46043</v>
      </c>
      <c r="E1056" s="1" t="n">
        <v>46307</v>
      </c>
      <c r="F1056" t="inlineStr">
        <is>
          <t>GÄVLEBORGS LÄN</t>
        </is>
      </c>
      <c r="G1056" t="inlineStr">
        <is>
          <t>BOLLNÄS</t>
        </is>
      </c>
      <c r="I1056" t="n">
        <v>7.5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40453-2024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45555</v>
      </c>
      <c r="E1057" s="1" t="n">
        <v>46307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5577-2026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46307</v>
      </c>
      <c r="F1058" t="inlineStr">
        <is>
          <t>GÄVLEBORGS LÄN</t>
        </is>
      </c>
      <c r="G1058" t="inlineStr">
        <is>
          <t>BOLLNÄS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2064-2026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46035</v>
      </c>
      <c r="E1059" s="1" t="n">
        <v>46307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22.7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46307</v>
      </c>
      <c r="F1060" t="inlineStr">
        <is>
          <t>GÄVLEBORGS LÄN</t>
        </is>
      </c>
      <c r="G1060" t="inlineStr">
        <is>
          <t>BOLLNÄS</t>
        </is>
      </c>
      <c r="I1060" t="n">
        <v>36.1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46307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20447-2026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46307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825-2026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46030</v>
      </c>
      <c r="E1063" s="1" t="n">
        <v>46307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15150-2023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45016</v>
      </c>
      <c r="E1064" s="1" t="n">
        <v>46307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5996-2026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46307</v>
      </c>
      <c r="F1065" t="inlineStr">
        <is>
          <t>GÄVLEBORGS LÄN</t>
        </is>
      </c>
      <c r="G1065" t="inlineStr">
        <is>
          <t>BOLLNÄS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46307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8.6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46307</v>
      </c>
      <c r="F1067" t="inlineStr">
        <is>
          <t>GÄVLEBORGS LÄN</t>
        </is>
      </c>
      <c r="G1067" t="inlineStr">
        <is>
          <t>BOLLNÄS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46307</v>
      </c>
      <c r="F1068" t="inlineStr">
        <is>
          <t>GÄVLEBORGS LÄN</t>
        </is>
      </c>
      <c r="G1068" t="inlineStr">
        <is>
          <t>BOLLNÄS</t>
        </is>
      </c>
      <c r="I1068" t="n">
        <v>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4103-2026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46044</v>
      </c>
      <c r="E1069" s="1" t="n">
        <v>46307</v>
      </c>
      <c r="F1069" t="inlineStr">
        <is>
          <t>GÄVLEBORGS LÄN</t>
        </is>
      </c>
      <c r="G1069" t="inlineStr">
        <is>
          <t>BOLLNÄS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6783-2026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46057</v>
      </c>
      <c r="E1070" s="1" t="n">
        <v>46307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46739-2024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45583</v>
      </c>
      <c r="E1071" s="1" t="n">
        <v>46307</v>
      </c>
      <c r="F1071" t="inlineStr">
        <is>
          <t>GÄVLEBORGS LÄN</t>
        </is>
      </c>
      <c r="G1071" t="inlineStr">
        <is>
          <t>BOLLNÄS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3888-2026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46043</v>
      </c>
      <c r="E1072" s="1" t="n">
        <v>46307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6850-2026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46307</v>
      </c>
      <c r="F1073" t="inlineStr">
        <is>
          <t>GÄVLEBORGS LÄN</t>
        </is>
      </c>
      <c r="G1073" t="inlineStr">
        <is>
          <t>BOLLNÄS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20268-2026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46307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46043</v>
      </c>
      <c r="E1075" s="1" t="n">
        <v>46307</v>
      </c>
      <c r="F1075" t="inlineStr">
        <is>
          <t>GÄVLEBORGS LÄN</t>
        </is>
      </c>
      <c r="G1075" t="inlineStr">
        <is>
          <t>BOLLNÄS</t>
        </is>
      </c>
      <c r="I1075" t="n">
        <v>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6479-2026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46056</v>
      </c>
      <c r="E1076" s="1" t="n">
        <v>46307</v>
      </c>
      <c r="F1076" t="inlineStr">
        <is>
          <t>GÄVLEBORGS LÄN</t>
        </is>
      </c>
      <c r="G1076" t="inlineStr">
        <is>
          <t>BOLLNÄS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20189-2026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46139</v>
      </c>
      <c r="E1077" s="1" t="n">
        <v>46307</v>
      </c>
      <c r="F1077" t="inlineStr">
        <is>
          <t>GÄVLEBORGS LÄN</t>
        </is>
      </c>
      <c r="G1077" t="inlineStr">
        <is>
          <t>BOLLNÄS</t>
        </is>
      </c>
      <c r="I1077" t="n">
        <v>11.7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35071-2023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45145</v>
      </c>
      <c r="E1078" s="1" t="n">
        <v>46307</v>
      </c>
      <c r="F1078" t="inlineStr">
        <is>
          <t>GÄVLEBORGS LÄN</t>
        </is>
      </c>
      <c r="G1078" t="inlineStr">
        <is>
          <t>BOLLNÄS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46307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46043</v>
      </c>
      <c r="E1080" s="1" t="n">
        <v>46307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46029</v>
      </c>
      <c r="E1081" s="1" t="n">
        <v>46307</v>
      </c>
      <c r="F1081" t="inlineStr">
        <is>
          <t>GÄVLEBORGS LÄN</t>
        </is>
      </c>
      <c r="G1081" t="inlineStr">
        <is>
          <t>BOLLNÄS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46044</v>
      </c>
      <c r="E1082" s="1" t="n">
        <v>46307</v>
      </c>
      <c r="F1082" t="inlineStr">
        <is>
          <t>GÄVLEBORGS LÄN</t>
        </is>
      </c>
      <c r="G1082" t="inlineStr">
        <is>
          <t>BOLLNÄS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10727-2026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46078</v>
      </c>
      <c r="E1083" s="1" t="n">
        <v>46307</v>
      </c>
      <c r="F1083" t="inlineStr">
        <is>
          <t>GÄVLEBORGS LÄN</t>
        </is>
      </c>
      <c r="G1083" t="inlineStr">
        <is>
          <t>BOLLNÄS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20271-2026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46139</v>
      </c>
      <c r="E1084" s="1" t="n">
        <v>46307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Kyrkan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46307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8938-2026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46069</v>
      </c>
      <c r="E1086" s="1" t="n">
        <v>46307</v>
      </c>
      <c r="F1086" t="inlineStr">
        <is>
          <t>GÄVLEBORGS LÄN</t>
        </is>
      </c>
      <c r="G1086" t="inlineStr">
        <is>
          <t>BOLLNÄS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10978-2026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46079</v>
      </c>
      <c r="E1087" s="1" t="n">
        <v>46307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11656-2026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46307</v>
      </c>
      <c r="F1088" t="inlineStr">
        <is>
          <t>GÄVLEBORGS LÄN</t>
        </is>
      </c>
      <c r="G1088" t="inlineStr">
        <is>
          <t>BOLLNÄS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37983-2025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45881</v>
      </c>
      <c r="E1089" s="1" t="n">
        <v>46307</v>
      </c>
      <c r="F1089" t="inlineStr">
        <is>
          <t>GÄVLEBORGS LÄN</t>
        </is>
      </c>
      <c r="G1089" t="inlineStr">
        <is>
          <t>BOLLNÄS</t>
        </is>
      </c>
      <c r="I1089" t="n">
        <v>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8528-2026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46065</v>
      </c>
      <c r="E1090" s="1" t="n">
        <v>46307</v>
      </c>
      <c r="F1090" t="inlineStr">
        <is>
          <t>GÄVLEBORGS LÄN</t>
        </is>
      </c>
      <c r="G1090" t="inlineStr">
        <is>
          <t>BOLLNÄS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8916-2026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46069</v>
      </c>
      <c r="E1091" s="1" t="n">
        <v>46307</v>
      </c>
      <c r="F1091" t="inlineStr">
        <is>
          <t>GÄVLEBORGS LÄN</t>
        </is>
      </c>
      <c r="G1091" t="inlineStr">
        <is>
          <t>BOLLNÄS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9801-2026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46072</v>
      </c>
      <c r="E1092" s="1" t="n">
        <v>46307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Sveaskog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46073</v>
      </c>
      <c r="E1093" s="1" t="n">
        <v>46307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4127-2026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46307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20611-2026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46140</v>
      </c>
      <c r="E1095" s="1" t="n">
        <v>46307</v>
      </c>
      <c r="F1095" t="inlineStr">
        <is>
          <t>GÄVLEBORGS LÄN</t>
        </is>
      </c>
      <c r="G1095" t="inlineStr">
        <is>
          <t>BOLLNÄS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4445-2026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46045</v>
      </c>
      <c r="E1096" s="1" t="n">
        <v>46307</v>
      </c>
      <c r="F1096" t="inlineStr">
        <is>
          <t>GÄVLEBORGS LÄN</t>
        </is>
      </c>
      <c r="G1096" t="inlineStr">
        <is>
          <t>BOLLNÄS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46079</v>
      </c>
      <c r="E1097" s="1" t="n">
        <v>46307</v>
      </c>
      <c r="F1097" t="inlineStr">
        <is>
          <t>GÄVLEBORGS LÄN</t>
        </is>
      </c>
      <c r="G1097" t="inlineStr">
        <is>
          <t>BOLLNÄS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7144-2026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46058</v>
      </c>
      <c r="E1098" s="1" t="n">
        <v>46307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15147-2023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45016</v>
      </c>
      <c r="E1099" s="1" t="n">
        <v>46307</v>
      </c>
      <c r="F1099" t="inlineStr">
        <is>
          <t>GÄVLEBORGS LÄN</t>
        </is>
      </c>
      <c r="G1099" t="inlineStr">
        <is>
          <t>BOLLNÄS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4452-2026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46307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46307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20177-2026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46307</v>
      </c>
      <c r="F1102" t="inlineStr">
        <is>
          <t>GÄVLEBORGS LÄN</t>
        </is>
      </c>
      <c r="G1102" t="inlineStr">
        <is>
          <t>BOLLNÄS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46048</v>
      </c>
      <c r="E1103" s="1" t="n">
        <v>46307</v>
      </c>
      <c r="F1103" t="inlineStr">
        <is>
          <t>GÄVLEBORGS LÄN</t>
        </is>
      </c>
      <c r="G1103" t="inlineStr">
        <is>
          <t>BOLLNÄS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4763-2026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46048</v>
      </c>
      <c r="E1104" s="1" t="n">
        <v>46307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46307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3105-2026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46307</v>
      </c>
      <c r="F1106" t="inlineStr">
        <is>
          <t>GÄVLEBORGS LÄN</t>
        </is>
      </c>
      <c r="G1106" t="inlineStr">
        <is>
          <t>BOLLNÄS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45639-2023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45194</v>
      </c>
      <c r="E1107" s="1" t="n">
        <v>46307</v>
      </c>
      <c r="F1107" t="inlineStr">
        <is>
          <t>GÄVLEBORGS LÄN</t>
        </is>
      </c>
      <c r="G1107" t="inlineStr">
        <is>
          <t>BOLLNÄS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33086-2022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44785</v>
      </c>
      <c r="E1108" s="1" t="n">
        <v>46307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4931-2026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46307</v>
      </c>
      <c r="F1109" t="inlineStr">
        <is>
          <t>GÄVLEBORGS LÄN</t>
        </is>
      </c>
      <c r="G1109" t="inlineStr">
        <is>
          <t>BOLLNÄS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51306-2023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45219</v>
      </c>
      <c r="E1110" s="1" t="n">
        <v>46307</v>
      </c>
      <c r="F1110" t="inlineStr">
        <is>
          <t>GÄVLEBORGS LÄN</t>
        </is>
      </c>
      <c r="G1110" t="inlineStr">
        <is>
          <t>BOLLNÄS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2311-2024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45310</v>
      </c>
      <c r="E1111" s="1" t="n">
        <v>46307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Övriga statliga verk och myndigheter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46038</v>
      </c>
      <c r="E1112" s="1" t="n">
        <v>46307</v>
      </c>
      <c r="F1112" t="inlineStr">
        <is>
          <t>GÄVLEBORGS LÄN</t>
        </is>
      </c>
      <c r="G1112" t="inlineStr">
        <is>
          <t>BOLLNÄS</t>
        </is>
      </c>
      <c r="I1112" t="n">
        <v>8.6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46034</v>
      </c>
      <c r="E1113" s="1" t="n">
        <v>46307</v>
      </c>
      <c r="F1113" t="inlineStr">
        <is>
          <t>GÄVLEBORGS LÄN</t>
        </is>
      </c>
      <c r="G1113" t="inlineStr">
        <is>
          <t>BOLLNÄS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15826-2026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46307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8268-2026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46064</v>
      </c>
      <c r="E1115" s="1" t="n">
        <v>46307</v>
      </c>
      <c r="F1115" t="inlineStr">
        <is>
          <t>GÄVLEBORGS LÄN</t>
        </is>
      </c>
      <c r="G1115" t="inlineStr">
        <is>
          <t>BOLLNÄS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10225-2026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46076</v>
      </c>
      <c r="E1116" s="1" t="n">
        <v>46307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15374-2026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46307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4.7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15519-2026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46106</v>
      </c>
      <c r="E1118" s="1" t="n">
        <v>46307</v>
      </c>
      <c r="F1118" t="inlineStr">
        <is>
          <t>GÄVLEBORGS LÄN</t>
        </is>
      </c>
      <c r="G1118" t="inlineStr">
        <is>
          <t>BOLLNÄS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46307</v>
      </c>
      <c r="F1119" t="inlineStr">
        <is>
          <t>GÄVLEBORGS LÄN</t>
        </is>
      </c>
      <c r="G1119" t="inlineStr">
        <is>
          <t>BOLLNÄS</t>
        </is>
      </c>
      <c r="I1119" t="n">
        <v>10.8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46307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46307</v>
      </c>
      <c r="F1121" t="inlineStr">
        <is>
          <t>GÄVLEBORGS LÄN</t>
        </is>
      </c>
      <c r="G1121" t="inlineStr">
        <is>
          <t>BOLLNÄS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20028-2026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46307</v>
      </c>
      <c r="F1122" t="inlineStr">
        <is>
          <t>GÄVLEBORGS LÄN</t>
        </is>
      </c>
      <c r="G1122" t="inlineStr">
        <is>
          <t>BOLLNÄS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8148-2026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46064</v>
      </c>
      <c r="E1123" s="1" t="n">
        <v>46307</v>
      </c>
      <c r="F1123" t="inlineStr">
        <is>
          <t>GÄVLEBORGS LÄN</t>
        </is>
      </c>
      <c r="G1123" t="inlineStr">
        <is>
          <t>BOLLNÄS</t>
        </is>
      </c>
      <c r="I1123" t="n">
        <v>23.9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46045</v>
      </c>
      <c r="E1124" s="1" t="n">
        <v>46307</v>
      </c>
      <c r="F1124" t="inlineStr">
        <is>
          <t>GÄVLEBORGS LÄN</t>
        </is>
      </c>
      <c r="G1124" t="inlineStr">
        <is>
          <t>BOLLNÄS</t>
        </is>
      </c>
      <c r="I1124" t="n">
        <v>3.9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20227-2026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46307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öst AB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20236-2026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46307</v>
      </c>
      <c r="F1126" t="inlineStr">
        <is>
          <t>GÄVLEBORGS LÄN</t>
        </is>
      </c>
      <c r="G1126" t="inlineStr">
        <is>
          <t>BOLLNÄS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46098</v>
      </c>
      <c r="E1127" s="1" t="n">
        <v>46307</v>
      </c>
      <c r="F1127" t="inlineStr">
        <is>
          <t>GÄVLEBORGS LÄN</t>
        </is>
      </c>
      <c r="G1127" t="inlineStr">
        <is>
          <t>BOLLNÄS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46307</v>
      </c>
      <c r="F1128" t="inlineStr">
        <is>
          <t>GÄVLEBORGS LÄN</t>
        </is>
      </c>
      <c r="G1128" t="inlineStr">
        <is>
          <t>BOLLNÄS</t>
        </is>
      </c>
      <c r="I1128" t="n">
        <v>5.5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20176-2026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46307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Kyrkan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20186-2026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46139</v>
      </c>
      <c r="E1130" s="1" t="n">
        <v>46307</v>
      </c>
      <c r="F1130" t="inlineStr">
        <is>
          <t>GÄVLEBORGS LÄN</t>
        </is>
      </c>
      <c r="G1130" t="inlineStr">
        <is>
          <t>BOLLNÄS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14870-2026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46104</v>
      </c>
      <c r="E1131" s="1" t="n">
        <v>46307</v>
      </c>
      <c r="F1131" t="inlineStr">
        <is>
          <t>GÄVLEBORGS LÄN</t>
        </is>
      </c>
      <c r="G1131" t="inlineStr">
        <is>
          <t>BOLLNÄS</t>
        </is>
      </c>
      <c r="I1131" t="n">
        <v>5.8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46048</v>
      </c>
      <c r="E1132" s="1" t="n">
        <v>46307</v>
      </c>
      <c r="F1132" t="inlineStr">
        <is>
          <t>GÄVLEBORGS LÄN</t>
        </is>
      </c>
      <c r="G1132" t="inlineStr">
        <is>
          <t>BOLLNÄS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14783-2026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46101</v>
      </c>
      <c r="E1133" s="1" t="n">
        <v>46307</v>
      </c>
      <c r="F1133" t="inlineStr">
        <is>
          <t>GÄVLEBORGS LÄN</t>
        </is>
      </c>
      <c r="G1133" t="inlineStr">
        <is>
          <t>BOLLNÄS</t>
        </is>
      </c>
      <c r="I1133" t="n">
        <v>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20422-2026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46140</v>
      </c>
      <c r="E1134" s="1" t="n">
        <v>46307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20426-2026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46140</v>
      </c>
      <c r="E1135" s="1" t="n">
        <v>46307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46043</v>
      </c>
      <c r="E1136" s="1" t="n">
        <v>46307</v>
      </c>
      <c r="F1136" t="inlineStr">
        <is>
          <t>GÄVLEBORGS LÄN</t>
        </is>
      </c>
      <c r="G1136" t="inlineStr">
        <is>
          <t>BOLLNÄS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4241-2026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46307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8204-2026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46064</v>
      </c>
      <c r="E1138" s="1" t="n">
        <v>46307</v>
      </c>
      <c r="F1138" t="inlineStr">
        <is>
          <t>GÄVLEBORGS LÄN</t>
        </is>
      </c>
      <c r="G1138" t="inlineStr">
        <is>
          <t>BOLLNÄS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46307</v>
      </c>
      <c r="F1139" t="inlineStr">
        <is>
          <t>GÄVLEBORGS LÄN</t>
        </is>
      </c>
      <c r="G1139" t="inlineStr">
        <is>
          <t>BOLLNÄS</t>
        </is>
      </c>
      <c r="I1139" t="n">
        <v>17.2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46045</v>
      </c>
      <c r="E1140" s="1" t="n">
        <v>46307</v>
      </c>
      <c r="F1140" t="inlineStr">
        <is>
          <t>GÄVLEBORGS LÄN</t>
        </is>
      </c>
      <c r="G1140" t="inlineStr">
        <is>
          <t>BOLLNÄS</t>
        </is>
      </c>
      <c r="I1140" t="n">
        <v>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4851-2026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46048</v>
      </c>
      <c r="E1141" s="1" t="n">
        <v>46307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Kyrkan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13808-2026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46098</v>
      </c>
      <c r="E1142" s="1" t="n">
        <v>46307</v>
      </c>
      <c r="F1142" t="inlineStr">
        <is>
          <t>GÄVLEBORGS LÄN</t>
        </is>
      </c>
      <c r="G1142" t="inlineStr">
        <is>
          <t>BOLLNÄS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11164-2026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46307</v>
      </c>
      <c r="F1143" t="inlineStr">
        <is>
          <t>GÄVLEBORGS LÄN</t>
        </is>
      </c>
      <c r="G1143" t="inlineStr">
        <is>
          <t>BOLLNÄS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20247-2026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46307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46307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50544-2023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45217</v>
      </c>
      <c r="E1146" s="1" t="n">
        <v>46307</v>
      </c>
      <c r="F1146" t="inlineStr">
        <is>
          <t>GÄVLEBORGS LÄN</t>
        </is>
      </c>
      <c r="G1146" t="inlineStr">
        <is>
          <t>BOLLNÄS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20308-2026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46307</v>
      </c>
      <c r="F1147" t="inlineStr">
        <is>
          <t>GÄVLEBORGS LÄN</t>
        </is>
      </c>
      <c r="G1147" t="inlineStr">
        <is>
          <t>BOLLNÄS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3353-2026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46042</v>
      </c>
      <c r="E1148" s="1" t="n">
        <v>46307</v>
      </c>
      <c r="F1148" t="inlineStr">
        <is>
          <t>GÄVLEBORGS LÄN</t>
        </is>
      </c>
      <c r="G1148" t="inlineStr">
        <is>
          <t>BOLLNÄS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13914-2026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46098</v>
      </c>
      <c r="E1149" s="1" t="n">
        <v>46307</v>
      </c>
      <c r="F1149" t="inlineStr">
        <is>
          <t>GÄVLEBORGS LÄN</t>
        </is>
      </c>
      <c r="G1149" t="inlineStr">
        <is>
          <t>BOLLNÄS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20531-2026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46307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2345-2024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45310</v>
      </c>
      <c r="E1151" s="1" t="n">
        <v>46307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4458-2026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46307</v>
      </c>
      <c r="F1152" t="inlineStr">
        <is>
          <t>GÄVLEBORGS LÄN</t>
        </is>
      </c>
      <c r="G1152" t="inlineStr">
        <is>
          <t>BOLLNÄS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4449-2026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46307</v>
      </c>
      <c r="F1153" t="inlineStr">
        <is>
          <t>GÄVLEBORGS LÄN</t>
        </is>
      </c>
      <c r="G1153" t="inlineStr">
        <is>
          <t>BOLLNÄS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19623-2026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46307</v>
      </c>
      <c r="F1154" t="inlineStr">
        <is>
          <t>GÄVLEBORGS LÄN</t>
        </is>
      </c>
      <c r="G1154" t="inlineStr">
        <is>
          <t>BOLLNÄS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4288-2026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46307</v>
      </c>
      <c r="F1155" t="inlineStr">
        <is>
          <t>GÄVLEBORGS LÄN</t>
        </is>
      </c>
      <c r="G1155" t="inlineStr">
        <is>
          <t>BOLLNÄS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7408-2026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46059</v>
      </c>
      <c r="E1156" s="1" t="n">
        <v>46307</v>
      </c>
      <c r="F1156" t="inlineStr">
        <is>
          <t>GÄVLEBORGS LÄN</t>
        </is>
      </c>
      <c r="G1156" t="inlineStr">
        <is>
          <t>BOLLNÄS</t>
        </is>
      </c>
      <c r="I1156" t="n">
        <v>10.8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4693-2026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46048</v>
      </c>
      <c r="E1157" s="1" t="n">
        <v>46307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54908-2025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45967</v>
      </c>
      <c r="E1158" s="1" t="n">
        <v>46307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20192-2026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46307</v>
      </c>
      <c r="F1159" t="inlineStr">
        <is>
          <t>GÄVLEBORGS LÄN</t>
        </is>
      </c>
      <c r="G1159" t="inlineStr">
        <is>
          <t>BOLLNÄS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46050</v>
      </c>
      <c r="E1160" s="1" t="n">
        <v>46307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5876-2026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46052</v>
      </c>
      <c r="E1161" s="1" t="n">
        <v>46307</v>
      </c>
      <c r="F1161" t="inlineStr">
        <is>
          <t>GÄVLEBORGS LÄN</t>
        </is>
      </c>
      <c r="G1161" t="inlineStr">
        <is>
          <t>BOLLNÄS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46049</v>
      </c>
      <c r="E1162" s="1" t="n">
        <v>46307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46049</v>
      </c>
      <c r="E1163" s="1" t="n">
        <v>46307</v>
      </c>
      <c r="F1163" t="inlineStr">
        <is>
          <t>GÄVLEBORGS LÄN</t>
        </is>
      </c>
      <c r="G1163" t="inlineStr">
        <is>
          <t>BOLLNÄS</t>
        </is>
      </c>
      <c r="I1163" t="n">
        <v>5.8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4944-2026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46049</v>
      </c>
      <c r="E1164" s="1" t="n">
        <v>46307</v>
      </c>
      <c r="F1164" t="inlineStr">
        <is>
          <t>GÄVLEBORGS LÄN</t>
        </is>
      </c>
      <c r="G1164" t="inlineStr">
        <is>
          <t>BOLLNÄS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4952-2026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46049</v>
      </c>
      <c r="E1165" s="1" t="n">
        <v>46307</v>
      </c>
      <c r="F1165" t="inlineStr">
        <is>
          <t>GÄVLEBORGS LÄN</t>
        </is>
      </c>
      <c r="G1165" t="inlineStr">
        <is>
          <t>BOLLNÄS</t>
        </is>
      </c>
      <c r="I1165" t="n">
        <v>6.3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46049</v>
      </c>
      <c r="E1166" s="1" t="n">
        <v>46307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15163-2026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46105</v>
      </c>
      <c r="E1167" s="1" t="n">
        <v>46307</v>
      </c>
      <c r="F1167" t="inlineStr">
        <is>
          <t>GÄVLEBORGS LÄN</t>
        </is>
      </c>
      <c r="G1167" t="inlineStr">
        <is>
          <t>BOLLNÄS</t>
        </is>
      </c>
      <c r="I1167" t="n">
        <v>10.4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20767-2026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46307</v>
      </c>
      <c r="F1168" t="inlineStr">
        <is>
          <t>GÄVLEBORGS LÄN</t>
        </is>
      </c>
      <c r="G1168" t="inlineStr">
        <is>
          <t>BOLLNÄS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20770-2026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46141</v>
      </c>
      <c r="E1169" s="1" t="n">
        <v>46307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46049</v>
      </c>
      <c r="E1170" s="1" t="n">
        <v>46307</v>
      </c>
      <c r="F1170" t="inlineStr">
        <is>
          <t>GÄVLEBORGS LÄN</t>
        </is>
      </c>
      <c r="G1170" t="inlineStr">
        <is>
          <t>BOLLNÄS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9719-2026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46072</v>
      </c>
      <c r="E1171" s="1" t="n">
        <v>46307</v>
      </c>
      <c r="F1171" t="inlineStr">
        <is>
          <t>GÄVLEBORGS LÄN</t>
        </is>
      </c>
      <c r="G1171" t="inlineStr">
        <is>
          <t>BOLLNÄS</t>
        </is>
      </c>
      <c r="I1171" t="n">
        <v>3.1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41730-2023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45176</v>
      </c>
      <c r="E1172" s="1" t="n">
        <v>46307</v>
      </c>
      <c r="F1172" t="inlineStr">
        <is>
          <t>GÄVLEBORGS LÄN</t>
        </is>
      </c>
      <c r="G1172" t="inlineStr">
        <is>
          <t>BOLLNÄS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728-2026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46029</v>
      </c>
      <c r="E1173" s="1" t="n">
        <v>46307</v>
      </c>
      <c r="F1173" t="inlineStr">
        <is>
          <t>GÄVLEBORGS LÄN</t>
        </is>
      </c>
      <c r="G1173" t="inlineStr">
        <is>
          <t>BOLLNÄS</t>
        </is>
      </c>
      <c r="I1173" t="n">
        <v>12.9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5396-2026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46307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46087</v>
      </c>
      <c r="E1175" s="1" t="n">
        <v>46307</v>
      </c>
      <c r="F1175" t="inlineStr">
        <is>
          <t>GÄVLEBORGS LÄN</t>
        </is>
      </c>
      <c r="G1175" t="inlineStr">
        <is>
          <t>BOLLNÄS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12372-2026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46307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20678-2026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46307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11545-2026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46307</v>
      </c>
      <c r="F1178" t="inlineStr">
        <is>
          <t>GÄVLEBORGS LÄN</t>
        </is>
      </c>
      <c r="G1178" t="inlineStr">
        <is>
          <t>BOLLNÄS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46050</v>
      </c>
      <c r="E1179" s="1" t="n">
        <v>46307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Kyrkan</t>
        </is>
      </c>
      <c r="I1179" t="n">
        <v>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46307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11293-2026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46080</v>
      </c>
      <c r="E1181" s="1" t="n">
        <v>46307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12659-2026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46091</v>
      </c>
      <c r="E1182" s="1" t="n">
        <v>46307</v>
      </c>
      <c r="F1182" t="inlineStr">
        <is>
          <t>GÄVLEBORGS LÄN</t>
        </is>
      </c>
      <c r="G1182" t="inlineStr">
        <is>
          <t>BOLLNÄS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46307</v>
      </c>
      <c r="F1183" t="inlineStr">
        <is>
          <t>GÄVLEBORGS LÄN</t>
        </is>
      </c>
      <c r="G1183" t="inlineStr">
        <is>
          <t>BOLLNÄS</t>
        </is>
      </c>
      <c r="I1183" t="n">
        <v>6.2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46050</v>
      </c>
      <c r="E1184" s="1" t="n">
        <v>46307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12643-2026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46091</v>
      </c>
      <c r="E1185" s="1" t="n">
        <v>46307</v>
      </c>
      <c r="F1185" t="inlineStr">
        <is>
          <t>GÄVLEBORGS LÄN</t>
        </is>
      </c>
      <c r="G1185" t="inlineStr">
        <is>
          <t>BOLLNÄS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46307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46307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Sveaskog</t>
        </is>
      </c>
      <c r="I1187" t="n">
        <v>7.1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46307</v>
      </c>
      <c r="F1188" t="inlineStr">
        <is>
          <t>GÄVLEBORGS LÄN</t>
        </is>
      </c>
      <c r="G1188" t="inlineStr">
        <is>
          <t>BOLLNÄS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20865-2026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46307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20878-2026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46142</v>
      </c>
      <c r="E1190" s="1" t="n">
        <v>46307</v>
      </c>
      <c r="F1190" t="inlineStr">
        <is>
          <t>GÄVLEBORGS LÄN</t>
        </is>
      </c>
      <c r="G1190" t="inlineStr">
        <is>
          <t>BOLLNÄS</t>
        </is>
      </c>
      <c r="I1190" t="n">
        <v>4.3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54974-2022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44886</v>
      </c>
      <c r="E1191" s="1" t="n">
        <v>46307</v>
      </c>
      <c r="F1191" t="inlineStr">
        <is>
          <t>GÄVLEBORGS LÄN</t>
        </is>
      </c>
      <c r="G1191" t="inlineStr">
        <is>
          <t>BOLLNÄS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50053-2022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44865</v>
      </c>
      <c r="E1192" s="1" t="n">
        <v>46307</v>
      </c>
      <c r="F1192" t="inlineStr">
        <is>
          <t>GÄVLEBORGS LÄN</t>
        </is>
      </c>
      <c r="G1192" t="inlineStr">
        <is>
          <t>BOLLNÄS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46049</v>
      </c>
      <c r="E1193" s="1" t="n">
        <v>46307</v>
      </c>
      <c r="F1193" t="inlineStr">
        <is>
          <t>GÄVLEBORGS LÄN</t>
        </is>
      </c>
      <c r="G1193" t="inlineStr">
        <is>
          <t>BOLLNÄS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5571-2026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46050</v>
      </c>
      <c r="E1194" s="1" t="n">
        <v>46307</v>
      </c>
      <c r="F1194" t="inlineStr">
        <is>
          <t>GÄVLEBORGS LÄN</t>
        </is>
      </c>
      <c r="G1194" t="inlineStr">
        <is>
          <t>BOLLNÄS</t>
        </is>
      </c>
      <c r="I1194" t="n">
        <v>5.4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12014-2026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46085</v>
      </c>
      <c r="E1195" s="1" t="n">
        <v>46307</v>
      </c>
      <c r="F1195" t="inlineStr">
        <is>
          <t>GÄVLEBORGS LÄN</t>
        </is>
      </c>
      <c r="G1195" t="inlineStr">
        <is>
          <t>BOLLNÄS</t>
        </is>
      </c>
      <c r="I1195" t="n">
        <v>4.9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5449-2026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46307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20869-2026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46142</v>
      </c>
      <c r="E1197" s="1" t="n">
        <v>46307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20872-2026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46142</v>
      </c>
      <c r="E1198" s="1" t="n">
        <v>46307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20766-2026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46307</v>
      </c>
      <c r="F1199" t="inlineStr">
        <is>
          <t>GÄVLEBORGS LÄN</t>
        </is>
      </c>
      <c r="G1199" t="inlineStr">
        <is>
          <t>BOLLNÄS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5356-2026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46050</v>
      </c>
      <c r="E1200" s="1" t="n">
        <v>46307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5255-2026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46050</v>
      </c>
      <c r="E1201" s="1" t="n">
        <v>46307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8844-2026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46307</v>
      </c>
      <c r="F1202" t="inlineStr">
        <is>
          <t>GÄVLEBORGS LÄN</t>
        </is>
      </c>
      <c r="G1202" t="inlineStr">
        <is>
          <t>BOLLNÄS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10394-2026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46077</v>
      </c>
      <c r="E1203" s="1" t="n">
        <v>46307</v>
      </c>
      <c r="F1203" t="inlineStr">
        <is>
          <t>GÄVLEBORGS LÄN</t>
        </is>
      </c>
      <c r="G1203" t="inlineStr">
        <is>
          <t>BOLLNÄS</t>
        </is>
      </c>
      <c r="I1203" t="n">
        <v>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46049</v>
      </c>
      <c r="E1204" s="1" t="n">
        <v>46307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46094</v>
      </c>
      <c r="E1205" s="1" t="n">
        <v>46307</v>
      </c>
      <c r="F1205" t="inlineStr">
        <is>
          <t>GÄVLEBORGS LÄN</t>
        </is>
      </c>
      <c r="G1205" t="inlineStr">
        <is>
          <t>BOLLNÄS</t>
        </is>
      </c>
      <c r="I1205" t="n">
        <v>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6063-2026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46307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6476-2026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46056</v>
      </c>
      <c r="E1207" s="1" t="n">
        <v>46307</v>
      </c>
      <c r="F1207" t="inlineStr">
        <is>
          <t>GÄVLEBORGS LÄN</t>
        </is>
      </c>
      <c r="G1207" t="inlineStr">
        <is>
          <t>BOLLNÄS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46056</v>
      </c>
      <c r="E1208" s="1" t="n">
        <v>46307</v>
      </c>
      <c r="F1208" t="inlineStr">
        <is>
          <t>GÄVLEBORGS LÄN</t>
        </is>
      </c>
      <c r="G1208" t="inlineStr">
        <is>
          <t>BOLLNÄS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46052</v>
      </c>
      <c r="E1209" s="1" t="n">
        <v>46307</v>
      </c>
      <c r="F1209" t="inlineStr">
        <is>
          <t>GÄVLEBORGS LÄN</t>
        </is>
      </c>
      <c r="G1209" t="inlineStr">
        <is>
          <t>BOLLNÄS</t>
        </is>
      </c>
      <c r="I1209" t="n">
        <v>2.8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20038-2026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46136</v>
      </c>
      <c r="E1210" s="1" t="n">
        <v>46307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öst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6017-2026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46307</v>
      </c>
      <c r="F1211" t="inlineStr">
        <is>
          <t>GÄVLEBORGS LÄN</t>
        </is>
      </c>
      <c r="G1211" t="inlineStr">
        <is>
          <t>BOLLNÄS</t>
        </is>
      </c>
      <c r="I1211" t="n">
        <v>28.2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19392-2026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46133</v>
      </c>
      <c r="E1212" s="1" t="n">
        <v>46307</v>
      </c>
      <c r="F1212" t="inlineStr">
        <is>
          <t>GÄVLEBORGS LÄN</t>
        </is>
      </c>
      <c r="G1212" t="inlineStr">
        <is>
          <t>BOLLNÄS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5660-2026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46307</v>
      </c>
      <c r="F1213" t="inlineStr">
        <is>
          <t>GÄVLEBORGS LÄN</t>
        </is>
      </c>
      <c r="G1213" t="inlineStr">
        <is>
          <t>BOLLNÄS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4986-2026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46049</v>
      </c>
      <c r="E1214" s="1" t="n">
        <v>46307</v>
      </c>
      <c r="F1214" t="inlineStr">
        <is>
          <t>GÄVLEBORGS LÄN</t>
        </is>
      </c>
      <c r="G1214" t="inlineStr">
        <is>
          <t>BOLLNÄS</t>
        </is>
      </c>
      <c r="I1214" t="n">
        <v>3.3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5072-2026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46049</v>
      </c>
      <c r="E1215" s="1" t="n">
        <v>46307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46307</v>
      </c>
      <c r="F1216" t="inlineStr">
        <is>
          <t>GÄVLEBORGS LÄN</t>
        </is>
      </c>
      <c r="G1216" t="inlineStr">
        <is>
          <t>BOLLNÄS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3898-2026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46043</v>
      </c>
      <c r="E1217" s="1" t="n">
        <v>46307</v>
      </c>
      <c r="F1217" t="inlineStr">
        <is>
          <t>GÄVLEBORGS LÄN</t>
        </is>
      </c>
      <c r="G1217" t="inlineStr">
        <is>
          <t>BOLLNÄS</t>
        </is>
      </c>
      <c r="I1217" t="n">
        <v>3.6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46052</v>
      </c>
      <c r="E1218" s="1" t="n">
        <v>46307</v>
      </c>
      <c r="F1218" t="inlineStr">
        <is>
          <t>GÄVLEBORGS LÄN</t>
        </is>
      </c>
      <c r="G1218" t="inlineStr">
        <is>
          <t>BOLLNÄS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46052</v>
      </c>
      <c r="E1219" s="1" t="n">
        <v>46307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46307</v>
      </c>
      <c r="F1220" t="inlineStr">
        <is>
          <t>GÄVLEBORGS LÄN</t>
        </is>
      </c>
      <c r="G1220" t="inlineStr">
        <is>
          <t>BOLLNÄS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46045</v>
      </c>
      <c r="E1221" s="1" t="n">
        <v>46307</v>
      </c>
      <c r="F1221" t="inlineStr">
        <is>
          <t>GÄVLEBORGS LÄN</t>
        </is>
      </c>
      <c r="G1221" t="inlineStr">
        <is>
          <t>BOLLNÄS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9254-2026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46070</v>
      </c>
      <c r="E1222" s="1" t="n">
        <v>46307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46024</v>
      </c>
      <c r="E1223" s="1" t="n">
        <v>46307</v>
      </c>
      <c r="F1223" t="inlineStr">
        <is>
          <t>GÄVLEBORGS LÄN</t>
        </is>
      </c>
      <c r="G1223" t="inlineStr">
        <is>
          <t>BOLLNÄS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10824-2026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46307</v>
      </c>
      <c r="F1224" t="inlineStr">
        <is>
          <t>GÄVLEBORGS LÄN</t>
        </is>
      </c>
      <c r="G1224" t="inlineStr">
        <is>
          <t>BOLLNÄS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20679-2026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46141</v>
      </c>
      <c r="E1225" s="1" t="n">
        <v>46307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46027</v>
      </c>
      <c r="E1226" s="1" t="n">
        <v>46307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46050</v>
      </c>
      <c r="E1227" s="1" t="n">
        <v>46307</v>
      </c>
      <c r="F1227" t="inlineStr">
        <is>
          <t>GÄVLEBORGS LÄN</t>
        </is>
      </c>
      <c r="G1227" t="inlineStr">
        <is>
          <t>BOLLNÄS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6026-2026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46307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5651-2026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46307</v>
      </c>
      <c r="F1229" t="inlineStr">
        <is>
          <t>GÄVLEBORGS LÄN</t>
        </is>
      </c>
      <c r="G1229" t="inlineStr">
        <is>
          <t>BOLLNÄS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46052</v>
      </c>
      <c r="E1230" s="1" t="n">
        <v>46307</v>
      </c>
      <c r="F1230" t="inlineStr">
        <is>
          <t>GÄVLEBORGS LÄN</t>
        </is>
      </c>
      <c r="G1230" t="inlineStr">
        <is>
          <t>BOLLNÄS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5777-2026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46307</v>
      </c>
      <c r="F1231" t="inlineStr">
        <is>
          <t>GÄVLEBORGS LÄN</t>
        </is>
      </c>
      <c r="G1231" t="inlineStr">
        <is>
          <t>BOLLNÄS</t>
        </is>
      </c>
      <c r="I1231" t="n">
        <v>12.3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46100</v>
      </c>
      <c r="E1232" s="1" t="n">
        <v>46307</v>
      </c>
      <c r="F1232" t="inlineStr">
        <is>
          <t>GÄVLEBORGS LÄN</t>
        </is>
      </c>
      <c r="G1232" t="inlineStr">
        <is>
          <t>BOLLNÄS</t>
        </is>
      </c>
      <c r="I1232" t="n">
        <v>22.8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5581-2026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46051</v>
      </c>
      <c r="E1233" s="1" t="n">
        <v>46307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46051</v>
      </c>
      <c r="E1234" s="1" t="n">
        <v>46307</v>
      </c>
      <c r="F1234" t="inlineStr">
        <is>
          <t>GÄVLEBORGS LÄN</t>
        </is>
      </c>
      <c r="G1234" t="inlineStr">
        <is>
          <t>BOLLNÄS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46051</v>
      </c>
      <c r="E1235" s="1" t="n">
        <v>46307</v>
      </c>
      <c r="F1235" t="inlineStr">
        <is>
          <t>GÄVLEBORGS LÄN</t>
        </is>
      </c>
      <c r="G1235" t="inlineStr">
        <is>
          <t>BOLLNÄS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5824-2026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46052</v>
      </c>
      <c r="E1236" s="1" t="n">
        <v>46307</v>
      </c>
      <c r="F1236" t="inlineStr">
        <is>
          <t>GÄVLEBORGS LÄN</t>
        </is>
      </c>
      <c r="G1236" t="inlineStr">
        <is>
          <t>BOLLNÄS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6012-2026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46052</v>
      </c>
      <c r="E1237" s="1" t="n">
        <v>46307</v>
      </c>
      <c r="F1237" t="inlineStr">
        <is>
          <t>GÄVLEBORGS LÄN</t>
        </is>
      </c>
      <c r="G1237" t="inlineStr">
        <is>
          <t>BOLLNÄS</t>
        </is>
      </c>
      <c r="I1237" t="n">
        <v>10.2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46052</v>
      </c>
      <c r="E1238" s="1" t="n">
        <v>46307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5674-2026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46051</v>
      </c>
      <c r="E1239" s="1" t="n">
        <v>46307</v>
      </c>
      <c r="F1239" t="inlineStr">
        <is>
          <t>GÄVLEBORGS LÄN</t>
        </is>
      </c>
      <c r="G1239" t="inlineStr">
        <is>
          <t>BOLLNÄS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46051</v>
      </c>
      <c r="E1240" s="1" t="n">
        <v>46307</v>
      </c>
      <c r="F1240" t="inlineStr">
        <is>
          <t>GÄVLEBORGS LÄN</t>
        </is>
      </c>
      <c r="G1240" t="inlineStr">
        <is>
          <t>BOLLNÄS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6433-2026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46307</v>
      </c>
      <c r="F1241" t="inlineStr">
        <is>
          <t>GÄVLEBORGS LÄN</t>
        </is>
      </c>
      <c r="G1241" t="inlineStr">
        <is>
          <t>BOLLNÄS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6528-2026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46056</v>
      </c>
      <c r="E1242" s="1" t="n">
        <v>46307</v>
      </c>
      <c r="F1242" t="inlineStr">
        <is>
          <t>GÄVLEBORGS LÄN</t>
        </is>
      </c>
      <c r="G1242" t="inlineStr">
        <is>
          <t>BOLLNÄS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6546-2026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46307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6317-2026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46055</v>
      </c>
      <c r="E1244" s="1" t="n">
        <v>46307</v>
      </c>
      <c r="F1244" t="inlineStr">
        <is>
          <t>GÄVLEBORGS LÄN</t>
        </is>
      </c>
      <c r="G1244" t="inlineStr">
        <is>
          <t>BOLLNÄS</t>
        </is>
      </c>
      <c r="I1244" t="n">
        <v>16.2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46307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5.9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46055</v>
      </c>
      <c r="E1246" s="1" t="n">
        <v>46307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6387-2026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46307</v>
      </c>
      <c r="F1247" t="inlineStr">
        <is>
          <t>GÄVLEBORGS LÄN</t>
        </is>
      </c>
      <c r="G1247" t="inlineStr">
        <is>
          <t>BOLLNÄS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6376-2026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46055</v>
      </c>
      <c r="E1248" s="1" t="n">
        <v>46307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8.699999999999999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46307</v>
      </c>
      <c r="F1249" t="inlineStr">
        <is>
          <t>GÄVLEBORGS LÄN</t>
        </is>
      </c>
      <c r="G1249" t="inlineStr">
        <is>
          <t>BOLLNÄS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46307</v>
      </c>
      <c r="F1250" t="inlineStr">
        <is>
          <t>GÄVLEBORGS LÄN</t>
        </is>
      </c>
      <c r="G1250" t="inlineStr">
        <is>
          <t>BOLLNÄS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46307</v>
      </c>
      <c r="F1251" t="inlineStr">
        <is>
          <t>GÄVLEBORGS LÄN</t>
        </is>
      </c>
      <c r="G1251" t="inlineStr">
        <is>
          <t>BOLLNÄS</t>
        </is>
      </c>
      <c r="I1251" t="n">
        <v>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6554-2026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46307</v>
      </c>
      <c r="F1252" t="inlineStr">
        <is>
          <t>GÄVLEBORGS LÄN</t>
        </is>
      </c>
      <c r="G1252" t="inlineStr">
        <is>
          <t>BOLLNÄS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6436-2026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46307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46055</v>
      </c>
      <c r="E1254" s="1" t="n">
        <v>46307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Kyrkan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6482-2026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46307</v>
      </c>
      <c r="F1255" t="inlineStr">
        <is>
          <t>GÄVLEBORGS LÄN</t>
        </is>
      </c>
      <c r="G1255" t="inlineStr">
        <is>
          <t>BOLLNÄS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46056</v>
      </c>
      <c r="E1256" s="1" t="n">
        <v>46307</v>
      </c>
      <c r="F1256" t="inlineStr">
        <is>
          <t>GÄVLEBORGS LÄN</t>
        </is>
      </c>
      <c r="G1256" t="inlineStr">
        <is>
          <t>BOLLNÄS</t>
        </is>
      </c>
      <c r="I1256" t="n">
        <v>18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46307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6153-2026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46055</v>
      </c>
      <c r="E1258" s="1" t="n">
        <v>46307</v>
      </c>
      <c r="F1258" t="inlineStr">
        <is>
          <t>GÄVLEBORGS LÄN</t>
        </is>
      </c>
      <c r="G1258" t="inlineStr">
        <is>
          <t>BOLLNÄS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6172-2026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46307</v>
      </c>
      <c r="F1259" t="inlineStr">
        <is>
          <t>GÄVLEBORGS LÄN</t>
        </is>
      </c>
      <c r="G1259" t="inlineStr">
        <is>
          <t>BOLLNÄS</t>
        </is>
      </c>
      <c r="I1259" t="n">
        <v>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6492-2026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46307</v>
      </c>
      <c r="F1260" t="inlineStr">
        <is>
          <t>GÄVLEBORGS LÄN</t>
        </is>
      </c>
      <c r="G1260" t="inlineStr">
        <is>
          <t>BOLLNÄS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46307</v>
      </c>
      <c r="F1261" t="inlineStr">
        <is>
          <t>GÄVLEBORGS LÄN</t>
        </is>
      </c>
      <c r="G1261" t="inlineStr">
        <is>
          <t>BOLLNÄS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6296-2026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46307</v>
      </c>
      <c r="F1262" t="inlineStr">
        <is>
          <t>GÄVLEBORGS LÄN</t>
        </is>
      </c>
      <c r="G1262" t="inlineStr">
        <is>
          <t>BOLLNÄS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10228-2026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46307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46041</v>
      </c>
      <c r="E1264" s="1" t="n">
        <v>46307</v>
      </c>
      <c r="F1264" t="inlineStr">
        <is>
          <t>GÄVLEBORGS LÄN</t>
        </is>
      </c>
      <c r="G1264" t="inlineStr">
        <is>
          <t>BOLLNÄS</t>
        </is>
      </c>
      <c r="I1264" t="n">
        <v>6.7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6441-2026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46307</v>
      </c>
      <c r="F1265" t="inlineStr">
        <is>
          <t>GÄVLEBORGS LÄN</t>
        </is>
      </c>
      <c r="G1265" t="inlineStr">
        <is>
          <t>BOLLNÄS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6557-2026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46056</v>
      </c>
      <c r="E1266" s="1" t="n">
        <v>46307</v>
      </c>
      <c r="F1266" t="inlineStr">
        <is>
          <t>GÄVLEBORGS LÄN</t>
        </is>
      </c>
      <c r="G1266" t="inlineStr">
        <is>
          <t>BOLLNÄS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6571-2026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46056</v>
      </c>
      <c r="E1267" s="1" t="n">
        <v>46307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6666-2026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46307</v>
      </c>
      <c r="F1268" t="inlineStr">
        <is>
          <t>GÄVLEBORGS LÄN</t>
        </is>
      </c>
      <c r="G1268" t="inlineStr">
        <is>
          <t>BOLLNÄS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6784-2026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46057</v>
      </c>
      <c r="E1269" s="1" t="n">
        <v>46307</v>
      </c>
      <c r="F1269" t="inlineStr">
        <is>
          <t>GÄVLEBORGS LÄN</t>
        </is>
      </c>
      <c r="G1269" t="inlineStr">
        <is>
          <t>BOLLNÄS</t>
        </is>
      </c>
      <c r="I1269" t="n">
        <v>21.8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7261-2026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46058</v>
      </c>
      <c r="E1270" s="1" t="n">
        <v>46307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7094-2026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46058</v>
      </c>
      <c r="E1271" s="1" t="n">
        <v>46307</v>
      </c>
      <c r="F1271" t="inlineStr">
        <is>
          <t>GÄVLEBORGS LÄN</t>
        </is>
      </c>
      <c r="G1271" t="inlineStr">
        <is>
          <t>BOLLNÄS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6853-2026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46307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7139-2026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46307</v>
      </c>
      <c r="F1273" t="inlineStr">
        <is>
          <t>GÄVLEBORGS LÄN</t>
        </is>
      </c>
      <c r="G1273" t="inlineStr">
        <is>
          <t>BOLLNÄS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6770-2026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46307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7203-2026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46058</v>
      </c>
      <c r="E1275" s="1" t="n">
        <v>46307</v>
      </c>
      <c r="F1275" t="inlineStr">
        <is>
          <t>GÄVLEBORGS LÄN</t>
        </is>
      </c>
      <c r="G1275" t="inlineStr">
        <is>
          <t>BOLLNÄS</t>
        </is>
      </c>
      <c r="I1275" t="n">
        <v>4.3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7095-2026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46058</v>
      </c>
      <c r="E1276" s="1" t="n">
        <v>46307</v>
      </c>
      <c r="F1276" t="inlineStr">
        <is>
          <t>GÄVLEBORGS LÄN</t>
        </is>
      </c>
      <c r="G1276" t="inlineStr">
        <is>
          <t>BOLLNÄS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6769-2026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46057</v>
      </c>
      <c r="E1277" s="1" t="n">
        <v>46307</v>
      </c>
      <c r="F1277" t="inlineStr">
        <is>
          <t>GÄVLEBORGS LÄN</t>
        </is>
      </c>
      <c r="G1277" t="inlineStr">
        <is>
          <t>BOLLNÄS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6773-2026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46057</v>
      </c>
      <c r="E1278" s="1" t="n">
        <v>46307</v>
      </c>
      <c r="F1278" t="inlineStr">
        <is>
          <t>GÄVLEBORGS LÄN</t>
        </is>
      </c>
      <c r="G1278" t="inlineStr">
        <is>
          <t>BOLLNÄS</t>
        </is>
      </c>
      <c r="I1278" t="n">
        <v>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6759-2026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46307</v>
      </c>
      <c r="F1279" t="inlineStr">
        <is>
          <t>GÄVLEBORGS LÄN</t>
        </is>
      </c>
      <c r="G1279" t="inlineStr">
        <is>
          <t>BOLLNÄS</t>
        </is>
      </c>
      <c r="I1279" t="n">
        <v>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6917-2026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46057</v>
      </c>
      <c r="E1280" s="1" t="n">
        <v>46307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6760-2026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46307</v>
      </c>
      <c r="F1281" t="inlineStr">
        <is>
          <t>GÄVLEBORGS LÄN</t>
        </is>
      </c>
      <c r="G1281" t="inlineStr">
        <is>
          <t>BOLLNÄS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7217-2026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46058</v>
      </c>
      <c r="E1282" s="1" t="n">
        <v>46307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6920-2026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46057</v>
      </c>
      <c r="E1283" s="1" t="n">
        <v>46307</v>
      </c>
      <c r="F1283" t="inlineStr">
        <is>
          <t>GÄVLEBORGS LÄN</t>
        </is>
      </c>
      <c r="G1283" t="inlineStr">
        <is>
          <t>BOLLNÄS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7411-2026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46059</v>
      </c>
      <c r="E1284" s="1" t="n">
        <v>46307</v>
      </c>
      <c r="F1284" t="inlineStr">
        <is>
          <t>GÄVLEBORGS LÄN</t>
        </is>
      </c>
      <c r="G1284" t="inlineStr">
        <is>
          <t>BOLLNÄS</t>
        </is>
      </c>
      <c r="I1284" t="n">
        <v>3.8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9755-2026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46072</v>
      </c>
      <c r="E1285" s="1" t="n">
        <v>46307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Sveaskog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9731-2026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46307</v>
      </c>
      <c r="F1286" t="inlineStr">
        <is>
          <t>GÄVLEBORGS LÄN</t>
        </is>
      </c>
      <c r="G1286" t="inlineStr">
        <is>
          <t>BOLLNÄS</t>
        </is>
      </c>
      <c r="I1286" t="n">
        <v>13.7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7336-2026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46058</v>
      </c>
      <c r="E1287" s="1" t="n">
        <v>46307</v>
      </c>
      <c r="F1287" t="inlineStr">
        <is>
          <t>GÄVLEBORGS LÄN</t>
        </is>
      </c>
      <c r="G1287" t="inlineStr">
        <is>
          <t>BOLLNÄS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46052</v>
      </c>
      <c r="E1288" s="1" t="n">
        <v>46307</v>
      </c>
      <c r="F1288" t="inlineStr">
        <is>
          <t>GÄVLEBORGS LÄN</t>
        </is>
      </c>
      <c r="G1288" t="inlineStr">
        <is>
          <t>BOLLNÄS</t>
        </is>
      </c>
      <c r="I1288" t="n">
        <v>16.8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8185-2026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46064</v>
      </c>
      <c r="E1289" s="1" t="n">
        <v>46307</v>
      </c>
      <c r="F1289" t="inlineStr">
        <is>
          <t>GÄVLEBORGS LÄN</t>
        </is>
      </c>
      <c r="G1289" t="inlineStr">
        <is>
          <t>BOLLNÄS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20954-2026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46142</v>
      </c>
      <c r="E1290" s="1" t="n">
        <v>46307</v>
      </c>
      <c r="F1290" t="inlineStr">
        <is>
          <t>GÄVLEBORGS LÄN</t>
        </is>
      </c>
      <c r="G1290" t="inlineStr">
        <is>
          <t>BOLLNÄS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13625-2026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46097</v>
      </c>
      <c r="E1291" s="1" t="n">
        <v>46307</v>
      </c>
      <c r="F1291" t="inlineStr">
        <is>
          <t>GÄVLEBORGS LÄN</t>
        </is>
      </c>
      <c r="G1291" t="inlineStr">
        <is>
          <t>BOLLNÄS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7569-2026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46060</v>
      </c>
      <c r="E1292" s="1" t="n">
        <v>46307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11344-2026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46307</v>
      </c>
      <c r="F1293" t="inlineStr">
        <is>
          <t>GÄVLEBORGS LÄN</t>
        </is>
      </c>
      <c r="G1293" t="inlineStr">
        <is>
          <t>BOLLNÄS</t>
        </is>
      </c>
      <c r="I1293" t="n">
        <v>1.6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13613-2026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46097</v>
      </c>
      <c r="E1294" s="1" t="n">
        <v>46307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7.1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15391-2026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46106</v>
      </c>
      <c r="E1295" s="1" t="n">
        <v>46307</v>
      </c>
      <c r="F1295" t="inlineStr">
        <is>
          <t>GÄVLEBORGS LÄN</t>
        </is>
      </c>
      <c r="G1295" t="inlineStr">
        <is>
          <t>BOLLNÄS</t>
        </is>
      </c>
      <c r="I1295" t="n">
        <v>3.8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8045-2026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46063</v>
      </c>
      <c r="E1296" s="1" t="n">
        <v>46307</v>
      </c>
      <c r="F1296" t="inlineStr">
        <is>
          <t>GÄVLEBORGS LÄN</t>
        </is>
      </c>
      <c r="G1296" t="inlineStr">
        <is>
          <t>BOLLNÄS</t>
        </is>
      </c>
      <c r="I1296" t="n">
        <v>25.1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20859-2026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46142</v>
      </c>
      <c r="E1297" s="1" t="n">
        <v>46307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14611-2026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46101</v>
      </c>
      <c r="E1298" s="1" t="n">
        <v>46307</v>
      </c>
      <c r="F1298" t="inlineStr">
        <is>
          <t>GÄVLEBORGS LÄN</t>
        </is>
      </c>
      <c r="G1298" t="inlineStr">
        <is>
          <t>BOLLNÄS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651-2026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46029</v>
      </c>
      <c r="E1299" s="1" t="n">
        <v>46307</v>
      </c>
      <c r="F1299" t="inlineStr">
        <is>
          <t>GÄVLEBORGS LÄN</t>
        </is>
      </c>
      <c r="G1299" t="inlineStr">
        <is>
          <t>BOLLNÄS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7660-2026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46062</v>
      </c>
      <c r="E1300" s="1" t="n">
        <v>46307</v>
      </c>
      <c r="F1300" t="inlineStr">
        <is>
          <t>GÄVLEBORGS LÄN</t>
        </is>
      </c>
      <c r="G1300" t="inlineStr">
        <is>
          <t>BOLLNÄS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46043</v>
      </c>
      <c r="E1301" s="1" t="n">
        <v>46307</v>
      </c>
      <c r="F1301" t="inlineStr">
        <is>
          <t>GÄVLEBORGS LÄN</t>
        </is>
      </c>
      <c r="G1301" t="inlineStr">
        <is>
          <t>BOLLNÄS</t>
        </is>
      </c>
      <c r="I1301" t="n">
        <v>5.4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20868-2026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46142</v>
      </c>
      <c r="E1302" s="1" t="n">
        <v>46307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11546-2026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46084</v>
      </c>
      <c r="E1303" s="1" t="n">
        <v>46307</v>
      </c>
      <c r="F1303" t="inlineStr">
        <is>
          <t>GÄVLEBORGS LÄN</t>
        </is>
      </c>
      <c r="G1303" t="inlineStr">
        <is>
          <t>BOLLNÄS</t>
        </is>
      </c>
      <c r="I1303" t="n">
        <v>3.3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7616-2026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46062</v>
      </c>
      <c r="E1304" s="1" t="n">
        <v>46307</v>
      </c>
      <c r="F1304" t="inlineStr">
        <is>
          <t>GÄVLEBORGS LÄN</t>
        </is>
      </c>
      <c r="G1304" t="inlineStr">
        <is>
          <t>BOLLNÄS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7642-2026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46062</v>
      </c>
      <c r="E1305" s="1" t="n">
        <v>46307</v>
      </c>
      <c r="F1305" t="inlineStr">
        <is>
          <t>GÄVLEBORGS LÄN</t>
        </is>
      </c>
      <c r="G1305" t="inlineStr">
        <is>
          <t>BOLLNÄS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20963-2026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46142</v>
      </c>
      <c r="E1306" s="1" t="n">
        <v>46307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4960-2026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46049</v>
      </c>
      <c r="E1307" s="1" t="n">
        <v>46307</v>
      </c>
      <c r="F1307" t="inlineStr">
        <is>
          <t>GÄVLEBORGS LÄN</t>
        </is>
      </c>
      <c r="G1307" t="inlineStr">
        <is>
          <t>BOLLNÄS</t>
        </is>
      </c>
      <c r="I1307" t="n">
        <v>4.6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5808-2026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46307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Kommuner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7798-2026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46062</v>
      </c>
      <c r="E1309" s="1" t="n">
        <v>46307</v>
      </c>
      <c r="F1309" t="inlineStr">
        <is>
          <t>GÄVLEBORGS LÄN</t>
        </is>
      </c>
      <c r="G1309" t="inlineStr">
        <is>
          <t>BOLLNÄS</t>
        </is>
      </c>
      <c r="I1309" t="n">
        <v>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7618-2026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46062</v>
      </c>
      <c r="E1310" s="1" t="n">
        <v>46307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7621-2026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46062</v>
      </c>
      <c r="E1311" s="1" t="n">
        <v>46307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20827-2026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46307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46141</v>
      </c>
      <c r="E1313" s="1" t="n">
        <v>46307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20620-2026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46141</v>
      </c>
      <c r="E1314" s="1" t="n">
        <v>46307</v>
      </c>
      <c r="F1314" t="inlineStr">
        <is>
          <t>GÄVLEBORGS LÄN</t>
        </is>
      </c>
      <c r="G1314" t="inlineStr">
        <is>
          <t>BOLLNÄS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12142-2026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46086</v>
      </c>
      <c r="E1315" s="1" t="n">
        <v>46307</v>
      </c>
      <c r="F1315" t="inlineStr">
        <is>
          <t>GÄVLEBORGS LÄN</t>
        </is>
      </c>
      <c r="G1315" t="inlineStr">
        <is>
          <t>BOLLNÄS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2807-2026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46038</v>
      </c>
      <c r="E1316" s="1" t="n">
        <v>46307</v>
      </c>
      <c r="F1316" t="inlineStr">
        <is>
          <t>GÄVLEBORGS LÄN</t>
        </is>
      </c>
      <c r="G1316" t="inlineStr">
        <is>
          <t>BOLLNÄS</t>
        </is>
      </c>
      <c r="I1316" t="n">
        <v>5.4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8218-2026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46307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14772-2026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46101</v>
      </c>
      <c r="E1318" s="1" t="n">
        <v>46307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Kommuner</t>
        </is>
      </c>
      <c r="I1318" t="n">
        <v>3.5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46029</v>
      </c>
      <c r="E1319" s="1" t="n">
        <v>46307</v>
      </c>
      <c r="F1319" t="inlineStr">
        <is>
          <t>GÄVLEBORGS LÄN</t>
        </is>
      </c>
      <c r="G1319" t="inlineStr">
        <is>
          <t>BOLLNÄS</t>
        </is>
      </c>
      <c r="I1319" t="n">
        <v>4.7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8010-2026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46063</v>
      </c>
      <c r="E1320" s="1" t="n">
        <v>46307</v>
      </c>
      <c r="F1320" t="inlineStr">
        <is>
          <t>GÄVLEBORGS LÄN</t>
        </is>
      </c>
      <c r="G1320" t="inlineStr">
        <is>
          <t>BOLLNÄS</t>
        </is>
      </c>
      <c r="I1320" t="n">
        <v>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4907-2026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46048</v>
      </c>
      <c r="E1321" s="1" t="n">
        <v>46307</v>
      </c>
      <c r="F1321" t="inlineStr">
        <is>
          <t>GÄVLEBORGS LÄN</t>
        </is>
      </c>
      <c r="G1321" t="inlineStr">
        <is>
          <t>BOLLNÄS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6325-2026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46307</v>
      </c>
      <c r="F1322" t="inlineStr">
        <is>
          <t>GÄVLEBORGS LÄN</t>
        </is>
      </c>
      <c r="G1322" t="inlineStr">
        <is>
          <t>BOLLNÄS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21040-2026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46307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13327-2026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46094</v>
      </c>
      <c r="E1324" s="1" t="n">
        <v>46307</v>
      </c>
      <c r="F1324" t="inlineStr">
        <is>
          <t>GÄVLEBORGS LÄN</t>
        </is>
      </c>
      <c r="G1324" t="inlineStr">
        <is>
          <t>BOLLNÄS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8166-2026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46064</v>
      </c>
      <c r="E1325" s="1" t="n">
        <v>46307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8174-2026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46064</v>
      </c>
      <c r="E1326" s="1" t="n">
        <v>46307</v>
      </c>
      <c r="F1326" t="inlineStr">
        <is>
          <t>GÄVLEBORGS LÄN</t>
        </is>
      </c>
      <c r="G1326" t="inlineStr">
        <is>
          <t>BOLLNÄS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20731-2026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46141</v>
      </c>
      <c r="E1327" s="1" t="n">
        <v>46307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Kyrkan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7919-2026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46307</v>
      </c>
      <c r="F1328" t="inlineStr">
        <is>
          <t>GÄVLEBORGS LÄN</t>
        </is>
      </c>
      <c r="G1328" t="inlineStr">
        <is>
          <t>BOLLNÄS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8070-2026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46063</v>
      </c>
      <c r="E1329" s="1" t="n">
        <v>46307</v>
      </c>
      <c r="F1329" t="inlineStr">
        <is>
          <t>GÄVLEBORGS LÄN</t>
        </is>
      </c>
      <c r="G1329" t="inlineStr">
        <is>
          <t>BOLLNÄS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21104-2026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46146</v>
      </c>
      <c r="E1330" s="1" t="n">
        <v>46307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46037</v>
      </c>
      <c r="E1331" s="1" t="n">
        <v>46307</v>
      </c>
      <c r="F1331" t="inlineStr">
        <is>
          <t>GÄVLEBORGS LÄN</t>
        </is>
      </c>
      <c r="G1331" t="inlineStr">
        <is>
          <t>BOLLNÄS</t>
        </is>
      </c>
      <c r="I1331" t="n">
        <v>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8012-2026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46063</v>
      </c>
      <c r="E1332" s="1" t="n">
        <v>46307</v>
      </c>
      <c r="F1332" t="inlineStr">
        <is>
          <t>GÄVLEBORGS LÄN</t>
        </is>
      </c>
      <c r="G1332" t="inlineStr">
        <is>
          <t>BOLLNÄS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8181-2026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46064</v>
      </c>
      <c r="E1333" s="1" t="n">
        <v>46307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8184-2026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46064</v>
      </c>
      <c r="E1334" s="1" t="n">
        <v>46307</v>
      </c>
      <c r="F1334" t="inlineStr">
        <is>
          <t>GÄVLEBORGS LÄN</t>
        </is>
      </c>
      <c r="G1334" t="inlineStr">
        <is>
          <t>BOLLNÄS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46038</v>
      </c>
      <c r="E1335" s="1" t="n">
        <v>46307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21133-2026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46146</v>
      </c>
      <c r="E1336" s="1" t="n">
        <v>46307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8660-2026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46066</v>
      </c>
      <c r="E1337" s="1" t="n">
        <v>46307</v>
      </c>
      <c r="F1337" t="inlineStr">
        <is>
          <t>GÄVLEBORGS LÄN</t>
        </is>
      </c>
      <c r="G1337" t="inlineStr">
        <is>
          <t>BOLLNÄS</t>
        </is>
      </c>
      <c r="I1337" t="n">
        <v>13.7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12607-2026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46091</v>
      </c>
      <c r="E1338" s="1" t="n">
        <v>46307</v>
      </c>
      <c r="F1338" t="inlineStr">
        <is>
          <t>GÄVLEBORGS LÄN</t>
        </is>
      </c>
      <c r="G1338" t="inlineStr">
        <is>
          <t>BOLLNÄS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20032-2026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46136</v>
      </c>
      <c r="E1339" s="1" t="n">
        <v>46307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öst AB</t>
        </is>
      </c>
      <c r="I1339" t="n">
        <v>20.5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20762-2026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46307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21101-2026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46146</v>
      </c>
      <c r="E1341" s="1" t="n">
        <v>46307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21036-2026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46146</v>
      </c>
      <c r="E1342" s="1" t="n">
        <v>46307</v>
      </c>
      <c r="F1342" t="inlineStr">
        <is>
          <t>GÄVLEBORGS LÄN</t>
        </is>
      </c>
      <c r="G1342" t="inlineStr">
        <is>
          <t>BOLLNÄS</t>
        </is>
      </c>
      <c r="I1342" t="n">
        <v>4.1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8670-2026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46307</v>
      </c>
      <c r="F1343" t="inlineStr">
        <is>
          <t>GÄVLEBORGS LÄN</t>
        </is>
      </c>
      <c r="G1343" t="inlineStr">
        <is>
          <t>BOLLNÄS</t>
        </is>
      </c>
      <c r="I1343" t="n">
        <v>12.2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8700-2026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46307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21038-2026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46146</v>
      </c>
      <c r="E1345" s="1" t="n">
        <v>46307</v>
      </c>
      <c r="F1345" t="inlineStr">
        <is>
          <t>GÄVLEBORGS LÄN</t>
        </is>
      </c>
      <c r="G1345" t="inlineStr">
        <is>
          <t>BOLLNÄS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8761-2026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46066</v>
      </c>
      <c r="E1346" s="1" t="n">
        <v>46307</v>
      </c>
      <c r="F1346" t="inlineStr">
        <is>
          <t>GÄVLEBORGS LÄN</t>
        </is>
      </c>
      <c r="G1346" t="inlineStr">
        <is>
          <t>BOLLNÄS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8710-2026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46066</v>
      </c>
      <c r="E1347" s="1" t="n">
        <v>46307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21399-2026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46307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8799-2026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46066</v>
      </c>
      <c r="E1349" s="1" t="n">
        <v>46307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Sveaskog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21474-2026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46148</v>
      </c>
      <c r="E1350" s="1" t="n">
        <v>46307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21521-2026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46307</v>
      </c>
      <c r="F1351" t="inlineStr">
        <is>
          <t>GÄVLEBORGS LÄN</t>
        </is>
      </c>
      <c r="G1351" t="inlineStr">
        <is>
          <t>BOLLNÄS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8397-2026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46307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8793-2026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46066</v>
      </c>
      <c r="E1353" s="1" t="n">
        <v>46307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Sveaskog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21572-2026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46148</v>
      </c>
      <c r="E1354" s="1" t="n">
        <v>46307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8702-2026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46066</v>
      </c>
      <c r="E1355" s="1" t="n">
        <v>46307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21510-2026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46148</v>
      </c>
      <c r="E1356" s="1" t="n">
        <v>46307</v>
      </c>
      <c r="F1356" t="inlineStr">
        <is>
          <t>GÄVLEBORGS LÄN</t>
        </is>
      </c>
      <c r="G1356" t="inlineStr">
        <is>
          <t>BOLLNÄS</t>
        </is>
      </c>
      <c r="I1356" t="n">
        <v>4.3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8406-2026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46307</v>
      </c>
      <c r="F1357" t="inlineStr">
        <is>
          <t>GÄVLEBORGS LÄN</t>
        </is>
      </c>
      <c r="G1357" t="inlineStr">
        <is>
          <t>BOLLNÄS</t>
        </is>
      </c>
      <c r="I1357" t="n">
        <v>4.7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10805-2026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46307</v>
      </c>
      <c r="F1358" t="inlineStr">
        <is>
          <t>GÄVLEBORGS LÄN</t>
        </is>
      </c>
      <c r="G1358" t="inlineStr">
        <is>
          <t>BOLLNÄS</t>
        </is>
      </c>
      <c r="I1358" t="n">
        <v>9.6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21241-2026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46307</v>
      </c>
      <c r="F1359" t="inlineStr">
        <is>
          <t>GÄVLEBORGS LÄN</t>
        </is>
      </c>
      <c r="G1359" t="inlineStr">
        <is>
          <t>BOLLNÄS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21485-2026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46148</v>
      </c>
      <c r="E1360" s="1" t="n">
        <v>46307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46148</v>
      </c>
      <c r="E1361" s="1" t="n">
        <v>46307</v>
      </c>
      <c r="F1361" t="inlineStr">
        <is>
          <t>GÄVLEBORGS LÄN</t>
        </is>
      </c>
      <c r="G1361" t="inlineStr">
        <is>
          <t>BOLLNÄS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21242-2026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46147</v>
      </c>
      <c r="E1362" s="1" t="n">
        <v>46307</v>
      </c>
      <c r="F1362" t="inlineStr">
        <is>
          <t>GÄVLEBORGS LÄN</t>
        </is>
      </c>
      <c r="G1362" t="inlineStr">
        <is>
          <t>BOLLNÄS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46307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21299-2026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46147</v>
      </c>
      <c r="E1364" s="1" t="n">
        <v>46307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21300-2026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46147</v>
      </c>
      <c r="E1365" s="1" t="n">
        <v>46307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9085-2026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46069</v>
      </c>
      <c r="E1366" s="1" t="n">
        <v>46307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Kommuner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9177-2026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46307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9178-2026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46070</v>
      </c>
      <c r="E1368" s="1" t="n">
        <v>46307</v>
      </c>
      <c r="F1368" t="inlineStr">
        <is>
          <t>GÄVLEBORGS LÄN</t>
        </is>
      </c>
      <c r="G1368" t="inlineStr">
        <is>
          <t>BOLLNÄS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9022-2026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46069</v>
      </c>
      <c r="E1369" s="1" t="n">
        <v>46307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9323-2026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46070</v>
      </c>
      <c r="E1370" s="1" t="n">
        <v>46307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21309-2026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46147</v>
      </c>
      <c r="E1371" s="1" t="n">
        <v>46307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21313-2026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46147</v>
      </c>
      <c r="E1372" s="1" t="n">
        <v>46307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21600-2026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46307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9239-2026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46070</v>
      </c>
      <c r="E1374" s="1" t="n">
        <v>46307</v>
      </c>
      <c r="F1374" t="inlineStr">
        <is>
          <t>GÄVLEBORGS LÄN</t>
        </is>
      </c>
      <c r="G1374" t="inlineStr">
        <is>
          <t>BOLLNÄS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21614-2026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46149</v>
      </c>
      <c r="E1375" s="1" t="n">
        <v>46307</v>
      </c>
      <c r="F1375" t="inlineStr">
        <is>
          <t>GÄVLEBORGS LÄN</t>
        </is>
      </c>
      <c r="G1375" t="inlineStr">
        <is>
          <t>BOLLNÄS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21681-2026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46149</v>
      </c>
      <c r="E1376" s="1" t="n">
        <v>46307</v>
      </c>
      <c r="F1376" t="inlineStr">
        <is>
          <t>GÄVLEBORGS LÄN</t>
        </is>
      </c>
      <c r="G1376" t="inlineStr">
        <is>
          <t>BOLLNÄS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9059-2026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46069</v>
      </c>
      <c r="E1377" s="1" t="n">
        <v>46307</v>
      </c>
      <c r="F1377" t="inlineStr">
        <is>
          <t>GÄVLEBORGS LÄN</t>
        </is>
      </c>
      <c r="G1377" t="inlineStr">
        <is>
          <t>BOLLNÄS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46150</v>
      </c>
      <c r="E1378" s="1" t="n">
        <v>46307</v>
      </c>
      <c r="F1378" t="inlineStr">
        <is>
          <t>GÄVLEBORGS LÄN</t>
        </is>
      </c>
      <c r="G1378" t="inlineStr">
        <is>
          <t>BOLLNÄS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21698-2026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46149</v>
      </c>
      <c r="E1379" s="1" t="n">
        <v>46307</v>
      </c>
      <c r="F1379" t="inlineStr">
        <is>
          <t>GÄVLEBORGS LÄN</t>
        </is>
      </c>
      <c r="G1379" t="inlineStr">
        <is>
          <t>BOLLNÄS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9235-2026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46070</v>
      </c>
      <c r="E1380" s="1" t="n">
        <v>46307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9237-2026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46070</v>
      </c>
      <c r="E1381" s="1" t="n">
        <v>46307</v>
      </c>
      <c r="F1381" t="inlineStr">
        <is>
          <t>GÄVLEBORGS LÄN</t>
        </is>
      </c>
      <c r="G1381" t="inlineStr">
        <is>
          <t>BOLLNÄS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21767-2026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46150</v>
      </c>
      <c r="E1382" s="1" t="n">
        <v>46307</v>
      </c>
      <c r="F1382" t="inlineStr">
        <is>
          <t>GÄVLEBORGS LÄN</t>
        </is>
      </c>
      <c r="G1382" t="inlineStr">
        <is>
          <t>BOLLNÄS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21793-2026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46150</v>
      </c>
      <c r="E1383" s="1" t="n">
        <v>46307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9184-2026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46070</v>
      </c>
      <c r="E1384" s="1" t="n">
        <v>46307</v>
      </c>
      <c r="F1384" t="inlineStr">
        <is>
          <t>GÄVLEBORGS LÄN</t>
        </is>
      </c>
      <c r="G1384" t="inlineStr">
        <is>
          <t>BOLLNÄS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9188-2026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46070</v>
      </c>
      <c r="E1385" s="1" t="n">
        <v>46307</v>
      </c>
      <c r="F1385" t="inlineStr">
        <is>
          <t>GÄVLEBORGS LÄN</t>
        </is>
      </c>
      <c r="G1385" t="inlineStr">
        <is>
          <t>BOLLNÄS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9230-2026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46307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46307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9242-2026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46070</v>
      </c>
      <c r="E1388" s="1" t="n">
        <v>46307</v>
      </c>
      <c r="F1388" t="inlineStr">
        <is>
          <t>GÄVLEBORGS LÄN</t>
        </is>
      </c>
      <c r="G1388" t="inlineStr">
        <is>
          <t>BOLLNÄS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9213-2026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46070</v>
      </c>
      <c r="E1389" s="1" t="n">
        <v>46307</v>
      </c>
      <c r="F1389" t="inlineStr">
        <is>
          <t>GÄVLEBORGS LÄN</t>
        </is>
      </c>
      <c r="G1389" t="inlineStr">
        <is>
          <t>BOLLNÄS</t>
        </is>
      </c>
      <c r="I1389" t="n">
        <v>4.4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21741-2026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46307</v>
      </c>
      <c r="F1390" t="inlineStr">
        <is>
          <t>GÄVLEBORGS LÄN</t>
        </is>
      </c>
      <c r="G1390" t="inlineStr">
        <is>
          <t>BOLLNÄS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21764-2026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46150</v>
      </c>
      <c r="E1391" s="1" t="n">
        <v>46307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46068</v>
      </c>
      <c r="E1392" s="1" t="n">
        <v>46307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21633-2026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46307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9307-2026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46070</v>
      </c>
      <c r="E1394" s="1" t="n">
        <v>46307</v>
      </c>
      <c r="F1394" t="inlineStr">
        <is>
          <t>GÄVLEBORGS LÄN</t>
        </is>
      </c>
      <c r="G1394" t="inlineStr">
        <is>
          <t>BOLLNÄS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9308-2026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46070</v>
      </c>
      <c r="E1395" s="1" t="n">
        <v>46307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46029</v>
      </c>
      <c r="E1396" s="1" t="n">
        <v>46307</v>
      </c>
      <c r="F1396" t="inlineStr">
        <is>
          <t>GÄVLEBORGS LÄN</t>
        </is>
      </c>
      <c r="G1396" t="inlineStr">
        <is>
          <t>BOLLNÄS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9004-2026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46069</v>
      </c>
      <c r="E1397" s="1" t="n">
        <v>46307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9043-2026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46069</v>
      </c>
      <c r="E1398" s="1" t="n">
        <v>46307</v>
      </c>
      <c r="F1398" t="inlineStr">
        <is>
          <t>GÄVLEBORGS LÄN</t>
        </is>
      </c>
      <c r="G1398" t="inlineStr">
        <is>
          <t>BOLLNÄS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21637-2026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46307</v>
      </c>
      <c r="F1399" t="inlineStr">
        <is>
          <t>GÄVLEBORGS LÄN</t>
        </is>
      </c>
      <c r="G1399" t="inlineStr">
        <is>
          <t>BOLLNÄS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21920-2026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46307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9355-2026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46070</v>
      </c>
      <c r="E1401" s="1" t="n">
        <v>46307</v>
      </c>
      <c r="F1401" t="inlineStr">
        <is>
          <t>GÄVLEBORGS LÄN</t>
        </is>
      </c>
      <c r="G1401" t="inlineStr">
        <is>
          <t>BOLLNÄS</t>
        </is>
      </c>
      <c r="I1401" t="n">
        <v>7.7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21715-2026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46307</v>
      </c>
      <c r="F1402" t="inlineStr">
        <is>
          <t>GÄVLEBORGS LÄN</t>
        </is>
      </c>
      <c r="G1402" t="inlineStr">
        <is>
          <t>BOLLNÄS</t>
        </is>
      </c>
      <c r="I1402" t="n">
        <v>5.3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9298-2026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46070</v>
      </c>
      <c r="E1403" s="1" t="n">
        <v>46307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46307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7100-2026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46058</v>
      </c>
      <c r="E1405" s="1" t="n">
        <v>46307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9529-2026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46071</v>
      </c>
      <c r="E1406" s="1" t="n">
        <v>46307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9533-2026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46071</v>
      </c>
      <c r="E1407" s="1" t="n">
        <v>46307</v>
      </c>
      <c r="F1407" t="inlineStr">
        <is>
          <t>GÄVLEBORGS LÄN</t>
        </is>
      </c>
      <c r="G1407" t="inlineStr">
        <is>
          <t>BOLLNÄS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9608-2026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46071</v>
      </c>
      <c r="E1408" s="1" t="n">
        <v>46307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9652-2026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46307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9385-2026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46071</v>
      </c>
      <c r="E1410" s="1" t="n">
        <v>46307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Kyrkan</t>
        </is>
      </c>
      <c r="I1410" t="n">
        <v>4.5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9386-2026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46071</v>
      </c>
      <c r="E1411" s="1" t="n">
        <v>46307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Kyrkan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9526-2026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46071</v>
      </c>
      <c r="E1412" s="1" t="n">
        <v>46307</v>
      </c>
      <c r="F1412" t="inlineStr">
        <is>
          <t>GÄVLEBORGS LÄN</t>
        </is>
      </c>
      <c r="G1412" t="inlineStr">
        <is>
          <t>BOLLNÄS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22058-2026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46307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9812-2026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46072</v>
      </c>
      <c r="E1414" s="1" t="n">
        <v>46307</v>
      </c>
      <c r="F1414" t="inlineStr">
        <is>
          <t>GÄVLEBORGS LÄN</t>
        </is>
      </c>
      <c r="G1414" t="inlineStr">
        <is>
          <t>BOLLNÄS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9545-2026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46071</v>
      </c>
      <c r="E1415" s="1" t="n">
        <v>46307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Sveaskog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9827-2026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46072</v>
      </c>
      <c r="E1416" s="1" t="n">
        <v>46307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Sveaskog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11561-2026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46084</v>
      </c>
      <c r="E1417" s="1" t="n">
        <v>46307</v>
      </c>
      <c r="F1417" t="inlineStr">
        <is>
          <t>GÄVLEBORGS LÄN</t>
        </is>
      </c>
      <c r="G1417" t="inlineStr">
        <is>
          <t>BOLLNÄS</t>
        </is>
      </c>
      <c r="I1417" t="n">
        <v>8.199999999999999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9523-2026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46071</v>
      </c>
      <c r="E1418" s="1" t="n">
        <v>46307</v>
      </c>
      <c r="F1418" t="inlineStr">
        <is>
          <t>GÄVLEBORGS LÄN</t>
        </is>
      </c>
      <c r="G1418" t="inlineStr">
        <is>
          <t>BOLLNÄS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16453-2026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46112</v>
      </c>
      <c r="E1419" s="1" t="n">
        <v>46307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4.9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4955-2026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46307</v>
      </c>
      <c r="F1420" t="inlineStr">
        <is>
          <t>GÄVLEBORGS LÄN</t>
        </is>
      </c>
      <c r="G1420" t="inlineStr">
        <is>
          <t>BOLLNÄS</t>
        </is>
      </c>
      <c r="I1420" t="n">
        <v>7.1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9616-2026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46072</v>
      </c>
      <c r="E1421" s="1" t="n">
        <v>46307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12763-2026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46091</v>
      </c>
      <c r="E1422" s="1" t="n">
        <v>46307</v>
      </c>
      <c r="F1422" t="inlineStr">
        <is>
          <t>GÄVLEBORGS LÄN</t>
        </is>
      </c>
      <c r="G1422" t="inlineStr">
        <is>
          <t>BOLLNÄS</t>
        </is>
      </c>
      <c r="I1422" t="n">
        <v>3.3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46072</v>
      </c>
      <c r="E1423" s="1" t="n">
        <v>46307</v>
      </c>
      <c r="F1423" t="inlineStr">
        <is>
          <t>GÄVLEBORGS LÄN</t>
        </is>
      </c>
      <c r="G1423" t="inlineStr">
        <is>
          <t>BOLLNÄS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6473-2026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46056</v>
      </c>
      <c r="E1424" s="1" t="n">
        <v>46307</v>
      </c>
      <c r="F1424" t="inlineStr">
        <is>
          <t>GÄVLEBORGS LÄN</t>
        </is>
      </c>
      <c r="G1424" t="inlineStr">
        <is>
          <t>BOLLNÄS</t>
        </is>
      </c>
      <c r="I1424" t="n">
        <v>7.3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20451-2026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46140</v>
      </c>
      <c r="E1425" s="1" t="n">
        <v>46307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46075</v>
      </c>
      <c r="E1426" s="1" t="n">
        <v>46307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46114</v>
      </c>
      <c r="E1427" s="1" t="n">
        <v>46307</v>
      </c>
      <c r="F1427" t="inlineStr">
        <is>
          <t>GÄVLEBORGS LÄN</t>
        </is>
      </c>
      <c r="G1427" t="inlineStr">
        <is>
          <t>BOLLNÄS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16971-2026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46114</v>
      </c>
      <c r="E1428" s="1" t="n">
        <v>46307</v>
      </c>
      <c r="F1428" t="inlineStr">
        <is>
          <t>GÄVLEBORGS LÄN</t>
        </is>
      </c>
      <c r="G1428" t="inlineStr">
        <is>
          <t>BOLLNÄS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8203-2026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46307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10124-2026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46075</v>
      </c>
      <c r="E1430" s="1" t="n">
        <v>46307</v>
      </c>
      <c r="F1430" t="inlineStr">
        <is>
          <t>GÄVLEBORGS LÄN</t>
        </is>
      </c>
      <c r="G1430" t="inlineStr">
        <is>
          <t>BOLLNÄS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16964-2026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46114</v>
      </c>
      <c r="E1431" s="1" t="n">
        <v>46307</v>
      </c>
      <c r="F1431" t="inlineStr">
        <is>
          <t>GÄVLEBORGS LÄN</t>
        </is>
      </c>
      <c r="G1431" t="inlineStr">
        <is>
          <t>BOLLNÄS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16965-2026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46307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10062-2026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46073</v>
      </c>
      <c r="E1433" s="1" t="n">
        <v>46307</v>
      </c>
      <c r="F1433" t="inlineStr">
        <is>
          <t>GÄVLEBORGS LÄN</t>
        </is>
      </c>
      <c r="G1433" t="inlineStr">
        <is>
          <t>BOLLNÄS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10120-2026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46075</v>
      </c>
      <c r="E1434" s="1" t="n">
        <v>46307</v>
      </c>
      <c r="F1434" t="inlineStr">
        <is>
          <t>GÄVLEBORGS LÄN</t>
        </is>
      </c>
      <c r="G1434" t="inlineStr">
        <is>
          <t>BOLLNÄS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46077</v>
      </c>
      <c r="E1435" s="1" t="n">
        <v>46307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10455-2026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46077</v>
      </c>
      <c r="E1436" s="1" t="n">
        <v>46307</v>
      </c>
      <c r="F1436" t="inlineStr">
        <is>
          <t>GÄVLEBORGS LÄN</t>
        </is>
      </c>
      <c r="G1436" t="inlineStr">
        <is>
          <t>BOLLNÄS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8156-2026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46064</v>
      </c>
      <c r="E1437" s="1" t="n">
        <v>46307</v>
      </c>
      <c r="F1437" t="inlineStr">
        <is>
          <t>GÄVLEBORGS LÄN</t>
        </is>
      </c>
      <c r="G1437" t="inlineStr">
        <is>
          <t>BOLLNÄS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16049-2026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46108</v>
      </c>
      <c r="E1438" s="1" t="n">
        <v>46307</v>
      </c>
      <c r="F1438" t="inlineStr">
        <is>
          <t>GÄVLEBORGS LÄN</t>
        </is>
      </c>
      <c r="G1438" t="inlineStr">
        <is>
          <t>BOLLNÄS</t>
        </is>
      </c>
      <c r="I1438" t="n">
        <v>13.8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22179-2026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46153</v>
      </c>
      <c r="E1439" s="1" t="n">
        <v>46307</v>
      </c>
      <c r="F1439" t="inlineStr">
        <is>
          <t>GÄVLEBORGS LÄN</t>
        </is>
      </c>
      <c r="G1439" t="inlineStr">
        <is>
          <t>BOLLNÄS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1542-2026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46307</v>
      </c>
      <c r="F1440" t="inlineStr">
        <is>
          <t>GÄVLEBORGS LÄN</t>
        </is>
      </c>
      <c r="G1440" t="inlineStr">
        <is>
          <t>BOLLNÄS</t>
        </is>
      </c>
      <c r="I1440" t="n">
        <v>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1546-2026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46034</v>
      </c>
      <c r="E1441" s="1" t="n">
        <v>46307</v>
      </c>
      <c r="F1441" t="inlineStr">
        <is>
          <t>GÄVLEBORGS LÄN</t>
        </is>
      </c>
      <c r="G1441" t="inlineStr">
        <is>
          <t>BOLLNÄS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9612-2026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46072</v>
      </c>
      <c r="E1442" s="1" t="n">
        <v>46307</v>
      </c>
      <c r="F1442" t="inlineStr">
        <is>
          <t>GÄVLEBORGS LÄN</t>
        </is>
      </c>
      <c r="G1442" t="inlineStr">
        <is>
          <t>BOLLNÄS</t>
        </is>
      </c>
      <c r="I1442" t="n">
        <v>7.9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15812-2026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46107</v>
      </c>
      <c r="E1443" s="1" t="n">
        <v>46307</v>
      </c>
      <c r="F1443" t="inlineStr">
        <is>
          <t>GÄVLEBORGS LÄN</t>
        </is>
      </c>
      <c r="G1443" t="inlineStr">
        <is>
          <t>BOLLNÄS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22195-2026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46153</v>
      </c>
      <c r="E1444" s="1" t="n">
        <v>46307</v>
      </c>
      <c r="F1444" t="inlineStr">
        <is>
          <t>GÄVLEBORGS LÄN</t>
        </is>
      </c>
      <c r="G1444" t="inlineStr">
        <is>
          <t>BOLLNÄS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22206-2026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46153</v>
      </c>
      <c r="E1445" s="1" t="n">
        <v>46307</v>
      </c>
      <c r="F1445" t="inlineStr">
        <is>
          <t>GÄVLEBORGS LÄN</t>
        </is>
      </c>
      <c r="G1445" t="inlineStr">
        <is>
          <t>BOLLNÄS</t>
        </is>
      </c>
      <c r="I1445" t="n">
        <v>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9336-2026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46070</v>
      </c>
      <c r="E1446" s="1" t="n">
        <v>46307</v>
      </c>
      <c r="F1446" t="inlineStr">
        <is>
          <t>GÄVLEBORGS LÄN</t>
        </is>
      </c>
      <c r="G1446" t="inlineStr">
        <is>
          <t>BOLLNÄS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10259-2026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46076</v>
      </c>
      <c r="E1447" s="1" t="n">
        <v>46307</v>
      </c>
      <c r="F1447" t="inlineStr">
        <is>
          <t>GÄVLEBORGS LÄN</t>
        </is>
      </c>
      <c r="G1447" t="inlineStr">
        <is>
          <t>BOLLNÄS</t>
        </is>
      </c>
      <c r="I1447" t="n">
        <v>5.4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22187-2026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46153</v>
      </c>
      <c r="E1448" s="1" t="n">
        <v>46307</v>
      </c>
      <c r="F1448" t="inlineStr">
        <is>
          <t>GÄVLEBORGS LÄN</t>
        </is>
      </c>
      <c r="G1448" t="inlineStr">
        <is>
          <t>BOLLNÄS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46076</v>
      </c>
      <c r="E1449" s="1" t="n">
        <v>46307</v>
      </c>
      <c r="F1449" t="inlineStr">
        <is>
          <t>GÄVLEBORGS LÄN</t>
        </is>
      </c>
      <c r="G1449" t="inlineStr">
        <is>
          <t>BOLLNÄS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10367-2026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46076</v>
      </c>
      <c r="E1450" s="1" t="n">
        <v>46307</v>
      </c>
      <c r="F1450" t="inlineStr">
        <is>
          <t>GÄVLEBORGS LÄN</t>
        </is>
      </c>
      <c r="G1450" t="inlineStr">
        <is>
          <t>BOLLNÄS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9965-2026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46073</v>
      </c>
      <c r="E1451" s="1" t="n">
        <v>46307</v>
      </c>
      <c r="F1451" t="inlineStr">
        <is>
          <t>GÄVLEBORGS LÄN</t>
        </is>
      </c>
      <c r="G1451" t="inlineStr">
        <is>
          <t>BOLLNÄS</t>
        </is>
      </c>
      <c r="I1451" t="n">
        <v>17.2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22305-2026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46307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10055-2026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46073</v>
      </c>
      <c r="E1453" s="1" t="n">
        <v>46307</v>
      </c>
      <c r="F1453" t="inlineStr">
        <is>
          <t>GÄVLEBORGS LÄN</t>
        </is>
      </c>
      <c r="G1453" t="inlineStr">
        <is>
          <t>BOLLNÄS</t>
        </is>
      </c>
      <c r="I1453" t="n">
        <v>8.699999999999999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22316-2026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46154</v>
      </c>
      <c r="E1454" s="1" t="n">
        <v>46307</v>
      </c>
      <c r="F1454" t="inlineStr">
        <is>
          <t>GÄVLEBORGS LÄN</t>
        </is>
      </c>
      <c r="G1454" t="inlineStr">
        <is>
          <t>BOLLNÄS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13596-2026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46097</v>
      </c>
      <c r="E1455" s="1" t="n">
        <v>46307</v>
      </c>
      <c r="F1455" t="inlineStr">
        <is>
          <t>GÄVLEBORGS LÄN</t>
        </is>
      </c>
      <c r="G1455" t="inlineStr">
        <is>
          <t>BOLLNÄS</t>
        </is>
      </c>
      <c r="I1455" t="n">
        <v>3.3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10316-2026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46076</v>
      </c>
      <c r="E1456" s="1" t="n">
        <v>46307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22394-2026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46307</v>
      </c>
      <c r="F1457" t="inlineStr">
        <is>
          <t>GÄVLEBORGS LÄN</t>
        </is>
      </c>
      <c r="G1457" t="inlineStr">
        <is>
          <t>BOLLNÄS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22254-2026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46307</v>
      </c>
      <c r="F1458" t="inlineStr">
        <is>
          <t>GÄVLEBORGS LÄN</t>
        </is>
      </c>
      <c r="G1458" t="inlineStr">
        <is>
          <t>BOLLNÄS</t>
        </is>
      </c>
      <c r="I1458" t="n">
        <v>5.8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13680-2026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46307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6.1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10505-2026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46077</v>
      </c>
      <c r="E1460" s="1" t="n">
        <v>46307</v>
      </c>
      <c r="F1460" t="inlineStr">
        <is>
          <t>GÄVLEBORGS LÄN</t>
        </is>
      </c>
      <c r="G1460" t="inlineStr">
        <is>
          <t>BOLLNÄS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  <c r="Z1460">
        <f>HYPERLINK("https://klasma.github.io/Logging_2183/knärot/A 10505-2026 karta knärot.png", "A 10505-2026")</f>
        <v/>
      </c>
      <c r="AA1460">
        <f>HYPERLINK("https://klasma.github.io/Logging_2183/klagomål/A 10505-2026 FSC-klagomål.docx", "A 10505-2026")</f>
        <v/>
      </c>
      <c r="AB1460">
        <f>HYPERLINK("https://klasma.github.io/Logging_2183/klagomålsmail/A 10505-2026 FSC-klagomål mail.docx", "A 10505-2026")</f>
        <v/>
      </c>
      <c r="AC1460">
        <f>HYPERLINK("https://klasma.github.io/Logging_2183/tillsyn/A 10505-2026 tillsynsbegäran.docx", "A 10505-2026")</f>
        <v/>
      </c>
      <c r="AD1460">
        <f>HYPERLINK("https://klasma.github.io/Logging_2183/tillsynsmail/A 10505-2026 tillsynsbegäran mail.docx", "A 10505-2026")</f>
        <v/>
      </c>
    </row>
    <row r="1461" ht="15" customHeight="1">
      <c r="A1461" t="inlineStr">
        <is>
          <t>A 22002-2026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46307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10683-2026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46078</v>
      </c>
      <c r="E1462" s="1" t="n">
        <v>46307</v>
      </c>
      <c r="F1462" t="inlineStr">
        <is>
          <t>GÄVLEBORGS LÄN</t>
        </is>
      </c>
      <c r="G1462" t="inlineStr">
        <is>
          <t>BOLLNÄS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10687-2026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46078</v>
      </c>
      <c r="E1463" s="1" t="n">
        <v>46307</v>
      </c>
      <c r="F1463" t="inlineStr">
        <is>
          <t>GÄVLEBORGS LÄN</t>
        </is>
      </c>
      <c r="G1463" t="inlineStr">
        <is>
          <t>BOLLNÄS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10652-2026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46078</v>
      </c>
      <c r="E1464" s="1" t="n">
        <v>46307</v>
      </c>
      <c r="F1464" t="inlineStr">
        <is>
          <t>GÄVLEBORGS LÄN</t>
        </is>
      </c>
      <c r="G1464" t="inlineStr">
        <is>
          <t>BOLLNÄS</t>
        </is>
      </c>
      <c r="I1464" t="n">
        <v>11.6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46307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10890-2026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46307</v>
      </c>
      <c r="F1466" t="inlineStr">
        <is>
          <t>GÄVLEBORGS LÄN</t>
        </is>
      </c>
      <c r="G1466" t="inlineStr">
        <is>
          <t>BOLLNÄS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11128-2026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46079</v>
      </c>
      <c r="E1467" s="1" t="n">
        <v>46307</v>
      </c>
      <c r="F1467" t="inlineStr">
        <is>
          <t>GÄVLEBORGS LÄN</t>
        </is>
      </c>
      <c r="G1467" t="inlineStr">
        <is>
          <t>BOLLNÄS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11131-2026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46079</v>
      </c>
      <c r="E1468" s="1" t="n">
        <v>46307</v>
      </c>
      <c r="F1468" t="inlineStr">
        <is>
          <t>GÄVLEBORGS LÄN</t>
        </is>
      </c>
      <c r="G1468" t="inlineStr">
        <is>
          <t>BOLLNÄS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46307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46307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10828-2026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46078</v>
      </c>
      <c r="E1471" s="1" t="n">
        <v>46307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10923-2026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46079</v>
      </c>
      <c r="E1472" s="1" t="n">
        <v>46307</v>
      </c>
      <c r="F1472" t="inlineStr">
        <is>
          <t>GÄVLEBORGS LÄN</t>
        </is>
      </c>
      <c r="G1472" t="inlineStr">
        <is>
          <t>BOLLNÄS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10811-2026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46078</v>
      </c>
      <c r="E1473" s="1" t="n">
        <v>46307</v>
      </c>
      <c r="F1473" t="inlineStr">
        <is>
          <t>GÄVLEBORGS LÄN</t>
        </is>
      </c>
      <c r="G1473" t="inlineStr">
        <is>
          <t>BOLLNÄS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11133-2026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46079</v>
      </c>
      <c r="E1474" s="1" t="n">
        <v>46307</v>
      </c>
      <c r="F1474" t="inlineStr">
        <is>
          <t>GÄVLEBORGS LÄN</t>
        </is>
      </c>
      <c r="G1474" t="inlineStr">
        <is>
          <t>BOLLNÄS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10956-2026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46079</v>
      </c>
      <c r="E1475" s="1" t="n">
        <v>46307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9420-2026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46071</v>
      </c>
      <c r="E1476" s="1" t="n">
        <v>46307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12487-2026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46090</v>
      </c>
      <c r="E1477" s="1" t="n">
        <v>46307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Holmen skog AB</t>
        </is>
      </c>
      <c r="I1477" t="n">
        <v>8.199999999999999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11118-2026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46079</v>
      </c>
      <c r="E1478" s="1" t="n">
        <v>46307</v>
      </c>
      <c r="F1478" t="inlineStr">
        <is>
          <t>GÄVLEBORGS LÄN</t>
        </is>
      </c>
      <c r="G1478" t="inlineStr">
        <is>
          <t>BOLLNÄS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10810-2026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46078</v>
      </c>
      <c r="E1479" s="1" t="n">
        <v>46307</v>
      </c>
      <c r="F1479" t="inlineStr">
        <is>
          <t>GÄVLEBORGS LÄN</t>
        </is>
      </c>
      <c r="G1479" t="inlineStr">
        <is>
          <t>BOLLNÄS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10748-2026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46078</v>
      </c>
      <c r="E1480" s="1" t="n">
        <v>46307</v>
      </c>
      <c r="F1480" t="inlineStr">
        <is>
          <t>GÄVLEBORGS LÄN</t>
        </is>
      </c>
      <c r="G1480" t="inlineStr">
        <is>
          <t>BOLLNÄS</t>
        </is>
      </c>
      <c r="I1480" t="n">
        <v>5.8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12869-2026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46092</v>
      </c>
      <c r="E1481" s="1" t="n">
        <v>46307</v>
      </c>
      <c r="F1481" t="inlineStr">
        <is>
          <t>GÄVLEBORGS LÄN</t>
        </is>
      </c>
      <c r="G1481" t="inlineStr">
        <is>
          <t>BOLLNÄS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12992-2026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46092</v>
      </c>
      <c r="E1482" s="1" t="n">
        <v>46307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22065-2026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46153</v>
      </c>
      <c r="E1483" s="1" t="n">
        <v>46307</v>
      </c>
      <c r="F1483" t="inlineStr">
        <is>
          <t>GÄVLEBORGS LÄN</t>
        </is>
      </c>
      <c r="G1483" t="inlineStr">
        <is>
          <t>BOLLNÄS</t>
        </is>
      </c>
      <c r="I1483" t="n">
        <v>1.5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10857-2026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46078</v>
      </c>
      <c r="E1484" s="1" t="n">
        <v>46307</v>
      </c>
      <c r="F1484" t="inlineStr">
        <is>
          <t>GÄVLEBORGS LÄN</t>
        </is>
      </c>
      <c r="G1484" t="inlineStr">
        <is>
          <t>BOLLNÄS</t>
        </is>
      </c>
      <c r="I1484" t="n">
        <v>6.4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10736-2026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46078</v>
      </c>
      <c r="E1485" s="1" t="n">
        <v>46307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10830-2026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46078</v>
      </c>
      <c r="E1486" s="1" t="n">
        <v>46307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11019-2026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46079</v>
      </c>
      <c r="E1487" s="1" t="n">
        <v>46307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10724-2026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46078</v>
      </c>
      <c r="E1488" s="1" t="n">
        <v>46307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10834-2026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46078</v>
      </c>
      <c r="E1489" s="1" t="n">
        <v>46307</v>
      </c>
      <c r="F1489" t="inlineStr">
        <is>
          <t>GÄVLEBORGS LÄN</t>
        </is>
      </c>
      <c r="G1489" t="inlineStr">
        <is>
          <t>BOLLNÄS</t>
        </is>
      </c>
      <c r="I1489" t="n">
        <v>4.7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10880-2026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46078</v>
      </c>
      <c r="E1490" s="1" t="n">
        <v>46307</v>
      </c>
      <c r="F1490" t="inlineStr">
        <is>
          <t>GÄVLEBORGS LÄN</t>
        </is>
      </c>
      <c r="G1490" t="inlineStr">
        <is>
          <t>BOLLNÄS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11309-2026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46080</v>
      </c>
      <c r="E1491" s="1" t="n">
        <v>46307</v>
      </c>
      <c r="F1491" t="inlineStr">
        <is>
          <t>GÄVLEBORGS LÄN</t>
        </is>
      </c>
      <c r="G1491" t="inlineStr">
        <is>
          <t>BOLLNÄS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11367-2026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46083</v>
      </c>
      <c r="E1492" s="1" t="n">
        <v>46307</v>
      </c>
      <c r="F1492" t="inlineStr">
        <is>
          <t>GÄVLEBORGS LÄN</t>
        </is>
      </c>
      <c r="G1492" t="inlineStr">
        <is>
          <t>BOLLNÄS</t>
        </is>
      </c>
      <c r="I1492" t="n">
        <v>6.6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11371-2026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46083</v>
      </c>
      <c r="E1493" s="1" t="n">
        <v>46307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13540-2026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46094</v>
      </c>
      <c r="E1494" s="1" t="n">
        <v>46307</v>
      </c>
      <c r="F1494" t="inlineStr">
        <is>
          <t>GÄVLEBORGS LÄN</t>
        </is>
      </c>
      <c r="G1494" t="inlineStr">
        <is>
          <t>BOLLNÄS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21503-2026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46148</v>
      </c>
      <c r="E1495" s="1" t="n">
        <v>46307</v>
      </c>
      <c r="F1495" t="inlineStr">
        <is>
          <t>GÄVLEBORGS LÄN</t>
        </is>
      </c>
      <c r="G1495" t="inlineStr">
        <is>
          <t>BOLLNÄS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57887-2025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45981</v>
      </c>
      <c r="E1496" s="1" t="n">
        <v>46307</v>
      </c>
      <c r="F1496" t="inlineStr">
        <is>
          <t>GÄVLEBORGS LÄN</t>
        </is>
      </c>
      <c r="G1496" t="inlineStr">
        <is>
          <t>BOLLNÄS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11345-2026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46082</v>
      </c>
      <c r="E1497" s="1" t="n">
        <v>46307</v>
      </c>
      <c r="F1497" t="inlineStr">
        <is>
          <t>GÄVLEBORGS LÄN</t>
        </is>
      </c>
      <c r="G1497" t="inlineStr">
        <is>
          <t>BOLLNÄS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11366-2026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46083</v>
      </c>
      <c r="E1498" s="1" t="n">
        <v>46307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11294-2026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46080</v>
      </c>
      <c r="E1499" s="1" t="n">
        <v>46307</v>
      </c>
      <c r="F1499" t="inlineStr">
        <is>
          <t>GÄVLEBORGS LÄN</t>
        </is>
      </c>
      <c r="G1499" t="inlineStr">
        <is>
          <t>BOLLNÄS</t>
        </is>
      </c>
      <c r="I1499" t="n">
        <v>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22303-2026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46154</v>
      </c>
      <c r="E1500" s="1" t="n">
        <v>46307</v>
      </c>
      <c r="F1500" t="inlineStr">
        <is>
          <t>GÄVLEBORGS LÄN</t>
        </is>
      </c>
      <c r="G1500" t="inlineStr">
        <is>
          <t>BOLLNÄS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22311-2026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46154</v>
      </c>
      <c r="E1501" s="1" t="n">
        <v>46307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11241-2026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46080</v>
      </c>
      <c r="E1502" s="1" t="n">
        <v>46307</v>
      </c>
      <c r="F1502" t="inlineStr">
        <is>
          <t>GÄVLEBORGS LÄN</t>
        </is>
      </c>
      <c r="G1502" t="inlineStr">
        <is>
          <t>BOLLNÄS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11308-2026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46080</v>
      </c>
      <c r="E1503" s="1" t="n">
        <v>46307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6001-2026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46307</v>
      </c>
      <c r="F1504" t="inlineStr">
        <is>
          <t>GÄVLEBORGS LÄN</t>
        </is>
      </c>
      <c r="G1504" t="inlineStr">
        <is>
          <t>BOLLNÄS</t>
        </is>
      </c>
      <c r="I1504" t="n">
        <v>6.3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11166-2026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46080</v>
      </c>
      <c r="E1505" s="1" t="n">
        <v>46307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11343-2026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46082</v>
      </c>
      <c r="E1506" s="1" t="n">
        <v>46307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46307</v>
      </c>
      <c r="F1507" t="inlineStr">
        <is>
          <t>GÄVLEBORGS LÄN</t>
        </is>
      </c>
      <c r="G1507" t="inlineStr">
        <is>
          <t>BOLLNÄS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11547-2026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46084</v>
      </c>
      <c r="E1508" s="1" t="n">
        <v>46307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11680-2026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46084</v>
      </c>
      <c r="E1509" s="1" t="n">
        <v>46307</v>
      </c>
      <c r="F1509" t="inlineStr">
        <is>
          <t>GÄVLEBORGS LÄN</t>
        </is>
      </c>
      <c r="G1509" t="inlineStr">
        <is>
          <t>BOLLNÄS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11550-2026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46084</v>
      </c>
      <c r="E1510" s="1" t="n">
        <v>46307</v>
      </c>
      <c r="F1510" t="inlineStr">
        <is>
          <t>GÄVLEBORGS LÄN</t>
        </is>
      </c>
      <c r="G1510" t="inlineStr">
        <is>
          <t>BOLLNÄS</t>
        </is>
      </c>
      <c r="I1510" t="n">
        <v>14.1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11931-2026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46085</v>
      </c>
      <c r="E1511" s="1" t="n">
        <v>46307</v>
      </c>
      <c r="F1511" t="inlineStr">
        <is>
          <t>GÄVLEBORGS LÄN</t>
        </is>
      </c>
      <c r="G1511" t="inlineStr">
        <is>
          <t>BOLLNÄS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22549-2026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46307</v>
      </c>
      <c r="F1512" t="inlineStr">
        <is>
          <t>GÄVLEBORGS LÄN</t>
        </is>
      </c>
      <c r="G1512" t="inlineStr">
        <is>
          <t>BOLLNÄS</t>
        </is>
      </c>
      <c r="I1512" t="n">
        <v>10.8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12001-2026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46085</v>
      </c>
      <c r="E1513" s="1" t="n">
        <v>46307</v>
      </c>
      <c r="F1513" t="inlineStr">
        <is>
          <t>GÄVLEBORGS LÄN</t>
        </is>
      </c>
      <c r="G1513" t="inlineStr">
        <is>
          <t>BOLLNÄS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12007-2026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46085</v>
      </c>
      <c r="E1514" s="1" t="n">
        <v>46307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22494-2026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46307</v>
      </c>
      <c r="F1515" t="inlineStr">
        <is>
          <t>GÄVLEBORGS LÄN</t>
        </is>
      </c>
      <c r="G1515" t="inlineStr">
        <is>
          <t>BOLLNÄS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11881-2026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46085</v>
      </c>
      <c r="E1516" s="1" t="n">
        <v>46307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11948-2026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46085</v>
      </c>
      <c r="E1517" s="1" t="n">
        <v>46307</v>
      </c>
      <c r="F1517" t="inlineStr">
        <is>
          <t>GÄVLEBORGS LÄN</t>
        </is>
      </c>
      <c r="G1517" t="inlineStr">
        <is>
          <t>BOLLNÄS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12006-2026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46085</v>
      </c>
      <c r="E1518" s="1" t="n">
        <v>46307</v>
      </c>
      <c r="F1518" t="inlineStr">
        <is>
          <t>GÄVLEBORGS LÄN</t>
        </is>
      </c>
      <c r="G1518" t="inlineStr">
        <is>
          <t>BOLLNÄS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22599-2026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46155</v>
      </c>
      <c r="E1519" s="1" t="n">
        <v>46307</v>
      </c>
      <c r="F1519" t="inlineStr">
        <is>
          <t>GÄVLEBORGS LÄN</t>
        </is>
      </c>
      <c r="G1519" t="inlineStr">
        <is>
          <t>BOLLNÄS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22540-2026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46155</v>
      </c>
      <c r="E1520" s="1" t="n">
        <v>46307</v>
      </c>
      <c r="F1520" t="inlineStr">
        <is>
          <t>GÄVLEBORGS LÄN</t>
        </is>
      </c>
      <c r="G1520" t="inlineStr">
        <is>
          <t>BOLLNÄS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22532-2026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46307</v>
      </c>
      <c r="F1521" t="inlineStr">
        <is>
          <t>GÄVLEBORGS LÄN</t>
        </is>
      </c>
      <c r="G1521" t="inlineStr">
        <is>
          <t>BOLLNÄS</t>
        </is>
      </c>
      <c r="I1521" t="n">
        <v>10.6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22510-2026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46155</v>
      </c>
      <c r="E1522" s="1" t="n">
        <v>46307</v>
      </c>
      <c r="F1522" t="inlineStr">
        <is>
          <t>GÄVLEBORGS LÄN</t>
        </is>
      </c>
      <c r="G1522" t="inlineStr">
        <is>
          <t>BOLLNÄS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22513-2026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46307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22554-2026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46155</v>
      </c>
      <c r="E1524" s="1" t="n">
        <v>46307</v>
      </c>
      <c r="F1524" t="inlineStr">
        <is>
          <t>GÄVLEBORGS LÄN</t>
        </is>
      </c>
      <c r="G1524" t="inlineStr">
        <is>
          <t>BOLLNÄS</t>
        </is>
      </c>
      <c r="I1524" t="n">
        <v>29.4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12325-2026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46087</v>
      </c>
      <c r="E1525" s="1" t="n">
        <v>46307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14271-2026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46099</v>
      </c>
      <c r="E1526" s="1" t="n">
        <v>46307</v>
      </c>
      <c r="F1526" t="inlineStr">
        <is>
          <t>GÄVLEBORGS LÄN</t>
        </is>
      </c>
      <c r="G1526" t="inlineStr">
        <is>
          <t>BOLLNÄS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46029</v>
      </c>
      <c r="E1527" s="1" t="n">
        <v>46307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12207-2026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46087</v>
      </c>
      <c r="E1528" s="1" t="n">
        <v>46307</v>
      </c>
      <c r="F1528" t="inlineStr">
        <is>
          <t>GÄVLEBORGS LÄN</t>
        </is>
      </c>
      <c r="G1528" t="inlineStr">
        <is>
          <t>BOLLNÄS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12220-2026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46087</v>
      </c>
      <c r="E1529" s="1" t="n">
        <v>46307</v>
      </c>
      <c r="F1529" t="inlineStr">
        <is>
          <t>GÄVLEBORGS LÄN</t>
        </is>
      </c>
      <c r="G1529" t="inlineStr">
        <is>
          <t>BOLLNÄS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12449-2026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46090</v>
      </c>
      <c r="E1530" s="1" t="n">
        <v>46307</v>
      </c>
      <c r="F1530" t="inlineStr">
        <is>
          <t>GÄVLEBORGS LÄN</t>
        </is>
      </c>
      <c r="G1530" t="inlineStr">
        <is>
          <t>BOLLNÄS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12378-2026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46307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8.6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20036-2026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46136</v>
      </c>
      <c r="E1532" s="1" t="n">
        <v>46307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öst AB</t>
        </is>
      </c>
      <c r="I1532" t="n">
        <v>23.8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12549-2026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46307</v>
      </c>
      <c r="F1533" t="inlineStr">
        <is>
          <t>GÄVLEBORGS LÄN</t>
        </is>
      </c>
      <c r="G1533" t="inlineStr">
        <is>
          <t>BOLLNÄS</t>
        </is>
      </c>
      <c r="I1533" t="n">
        <v>7.5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12649-2026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46091</v>
      </c>
      <c r="E1534" s="1" t="n">
        <v>46307</v>
      </c>
      <c r="F1534" t="inlineStr">
        <is>
          <t>GÄVLEBORGS LÄN</t>
        </is>
      </c>
      <c r="G1534" t="inlineStr">
        <is>
          <t>BOLLNÄS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12454-2026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46090</v>
      </c>
      <c r="E1535" s="1" t="n">
        <v>46307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12360-2026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46088</v>
      </c>
      <c r="E1536" s="1" t="n">
        <v>46307</v>
      </c>
      <c r="F1536" t="inlineStr">
        <is>
          <t>GÄVLEBORGS LÄN</t>
        </is>
      </c>
      <c r="G1536" t="inlineStr">
        <is>
          <t>BOLLNÄS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16365-2026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46111</v>
      </c>
      <c r="E1537" s="1" t="n">
        <v>46307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12728-2026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46091</v>
      </c>
      <c r="E1538" s="1" t="n">
        <v>46307</v>
      </c>
      <c r="F1538" t="inlineStr">
        <is>
          <t>GÄVLEBORGS LÄN</t>
        </is>
      </c>
      <c r="G1538" t="inlineStr">
        <is>
          <t>BOLLNÄS</t>
        </is>
      </c>
      <c r="I1538" t="n">
        <v>5.9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12359-2026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46088</v>
      </c>
      <c r="E1539" s="1" t="n">
        <v>46307</v>
      </c>
      <c r="F1539" t="inlineStr">
        <is>
          <t>GÄVLEBORGS LÄN</t>
        </is>
      </c>
      <c r="G1539" t="inlineStr">
        <is>
          <t>BOLLNÄS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22815-2026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46160</v>
      </c>
      <c r="E1540" s="1" t="n">
        <v>46307</v>
      </c>
      <c r="F1540" t="inlineStr">
        <is>
          <t>GÄVLEBORGS LÄN</t>
        </is>
      </c>
      <c r="G1540" t="inlineStr">
        <is>
          <t>BOLLNÄS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12451-2026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46090</v>
      </c>
      <c r="E1541" s="1" t="n">
        <v>46307</v>
      </c>
      <c r="F1541" t="inlineStr">
        <is>
          <t>GÄVLEBORGS LÄN</t>
        </is>
      </c>
      <c r="G1541" t="inlineStr">
        <is>
          <t>BOLLNÄS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22905-2026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46160</v>
      </c>
      <c r="E1542" s="1" t="n">
        <v>46307</v>
      </c>
      <c r="F1542" t="inlineStr">
        <is>
          <t>GÄVLEBORGS LÄN</t>
        </is>
      </c>
      <c r="G1542" t="inlineStr">
        <is>
          <t>BOLLNÄS</t>
        </is>
      </c>
      <c r="I1542" t="n">
        <v>12.3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22761-2026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46157</v>
      </c>
      <c r="E1543" s="1" t="n">
        <v>46307</v>
      </c>
      <c r="F1543" t="inlineStr">
        <is>
          <t>GÄVLEBORGS LÄN</t>
        </is>
      </c>
      <c r="G1543" t="inlineStr">
        <is>
          <t>BOLLNÄS</t>
        </is>
      </c>
      <c r="I1543" t="n">
        <v>6.1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22982-2026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46160</v>
      </c>
      <c r="E1544" s="1" t="n">
        <v>46307</v>
      </c>
      <c r="F1544" t="inlineStr">
        <is>
          <t>GÄVLEBORGS LÄN</t>
        </is>
      </c>
      <c r="G1544" t="inlineStr">
        <is>
          <t>BOLLNÄS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22985-2026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46160</v>
      </c>
      <c r="E1545" s="1" t="n">
        <v>46307</v>
      </c>
      <c r="F1545" t="inlineStr">
        <is>
          <t>GÄVLEBORGS LÄN</t>
        </is>
      </c>
      <c r="G1545" t="inlineStr">
        <is>
          <t>BOLLNÄS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22746-2026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46157</v>
      </c>
      <c r="E1546" s="1" t="n">
        <v>46307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12959-2026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46092</v>
      </c>
      <c r="E1547" s="1" t="n">
        <v>46307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13026-2026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46092</v>
      </c>
      <c r="E1548" s="1" t="n">
        <v>46307</v>
      </c>
      <c r="F1548" t="inlineStr">
        <is>
          <t>GÄVLEBORGS LÄN</t>
        </is>
      </c>
      <c r="G1548" t="inlineStr">
        <is>
          <t>BOLLNÄS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13052-2026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46093</v>
      </c>
      <c r="E1549" s="1" t="n">
        <v>46307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28.3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23084-2026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46307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13131-2026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46093</v>
      </c>
      <c r="E1551" s="1" t="n">
        <v>46307</v>
      </c>
      <c r="F1551" t="inlineStr">
        <is>
          <t>GÄVLEBORGS LÄN</t>
        </is>
      </c>
      <c r="G1551" t="inlineStr">
        <is>
          <t>BOLLNÄS</t>
        </is>
      </c>
      <c r="I1551" t="n">
        <v>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13207-2026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46093</v>
      </c>
      <c r="E1552" s="1" t="n">
        <v>46307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13083-2026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46093</v>
      </c>
      <c r="E1553" s="1" t="n">
        <v>46307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4.2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23083-2026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46161</v>
      </c>
      <c r="E1554" s="1" t="n">
        <v>46307</v>
      </c>
      <c r="F1554" t="inlineStr">
        <is>
          <t>GÄVLEBORGS LÄN</t>
        </is>
      </c>
      <c r="G1554" t="inlineStr">
        <is>
          <t>BOLLNÄS</t>
        </is>
      </c>
      <c r="I1554" t="n">
        <v>3.4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12995-2026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46092</v>
      </c>
      <c r="E1555" s="1" t="n">
        <v>46307</v>
      </c>
      <c r="F1555" t="inlineStr">
        <is>
          <t>GÄVLEBORGS LÄN</t>
        </is>
      </c>
      <c r="G1555" t="inlineStr">
        <is>
          <t>BOLLNÄS</t>
        </is>
      </c>
      <c r="I1555" t="n">
        <v>5.5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23387-2026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46162</v>
      </c>
      <c r="E1556" s="1" t="n">
        <v>46307</v>
      </c>
      <c r="F1556" t="inlineStr">
        <is>
          <t>GÄVLEBORGS LÄN</t>
        </is>
      </c>
      <c r="G1556" t="inlineStr">
        <is>
          <t>BOLLNÄS</t>
        </is>
      </c>
      <c r="I1556" t="n">
        <v>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13088-2026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46093</v>
      </c>
      <c r="E1557" s="1" t="n">
        <v>46307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32.8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12895-2026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46092</v>
      </c>
      <c r="E1558" s="1" t="n">
        <v>46307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6.6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13132-2026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46093</v>
      </c>
      <c r="E1559" s="1" t="n">
        <v>46307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13201-2026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46093</v>
      </c>
      <c r="E1560" s="1" t="n">
        <v>46307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17.4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22448-2026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46155</v>
      </c>
      <c r="E1561" s="1" t="n">
        <v>46307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13460-2026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46093</v>
      </c>
      <c r="E1562" s="1" t="n">
        <v>46307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13173-2026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46093</v>
      </c>
      <c r="E1563" s="1" t="n">
        <v>46307</v>
      </c>
      <c r="F1563" t="inlineStr">
        <is>
          <t>GÄVLEBORGS LÄN</t>
        </is>
      </c>
      <c r="G1563" t="inlineStr">
        <is>
          <t>BOLLNÄS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13231-2026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46093</v>
      </c>
      <c r="E1564" s="1" t="n">
        <v>46307</v>
      </c>
      <c r="F1564" t="inlineStr">
        <is>
          <t>GÄVLEBORGS LÄN</t>
        </is>
      </c>
      <c r="G1564" t="inlineStr">
        <is>
          <t>BOLLNÄS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13363-2026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46094</v>
      </c>
      <c r="E1565" s="1" t="n">
        <v>46307</v>
      </c>
      <c r="F1565" t="inlineStr">
        <is>
          <t>GÄVLEBORGS LÄN</t>
        </is>
      </c>
      <c r="G1565" t="inlineStr">
        <is>
          <t>BOLLNÄS</t>
        </is>
      </c>
      <c r="I1565" t="n">
        <v>9.199999999999999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23093-2026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46161</v>
      </c>
      <c r="E1566" s="1" t="n">
        <v>46307</v>
      </c>
      <c r="F1566" t="inlineStr">
        <is>
          <t>GÄVLEBORGS LÄN</t>
        </is>
      </c>
      <c r="G1566" t="inlineStr">
        <is>
          <t>BOLLNÄS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13407-2026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46094</v>
      </c>
      <c r="E1567" s="1" t="n">
        <v>46307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5.6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23089-2026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46161</v>
      </c>
      <c r="E1568" s="1" t="n">
        <v>46307</v>
      </c>
      <c r="F1568" t="inlineStr">
        <is>
          <t>GÄVLEBORGS LÄN</t>
        </is>
      </c>
      <c r="G1568" t="inlineStr">
        <is>
          <t>BOLLNÄS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9964-2026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46073</v>
      </c>
      <c r="E1569" s="1" t="n">
        <v>46307</v>
      </c>
      <c r="F1569" t="inlineStr">
        <is>
          <t>GÄVLEBORGS LÄN</t>
        </is>
      </c>
      <c r="G1569" t="inlineStr">
        <is>
          <t>BOLLNÄS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23172-2026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46161</v>
      </c>
      <c r="E1570" s="1" t="n">
        <v>46307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13653-2026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46097</v>
      </c>
      <c r="E1571" s="1" t="n">
        <v>46307</v>
      </c>
      <c r="F1571" t="inlineStr">
        <is>
          <t>GÄVLEBORGS LÄN</t>
        </is>
      </c>
      <c r="G1571" t="inlineStr">
        <is>
          <t>BOLLNÄS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13341-2026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46094</v>
      </c>
      <c r="E1572" s="1" t="n">
        <v>46307</v>
      </c>
      <c r="F1572" t="inlineStr">
        <is>
          <t>GÄVLEBORGS LÄN</t>
        </is>
      </c>
      <c r="G1572" t="inlineStr">
        <is>
          <t>BOLLNÄS</t>
        </is>
      </c>
      <c r="I1572" t="n">
        <v>11.7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13624-2026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46097</v>
      </c>
      <c r="E1573" s="1" t="n">
        <v>46307</v>
      </c>
      <c r="F1573" t="inlineStr">
        <is>
          <t>GÄVLEBORGS LÄN</t>
        </is>
      </c>
      <c r="G1573" t="inlineStr">
        <is>
          <t>BOLLNÄS</t>
        </is>
      </c>
      <c r="I1573" t="n">
        <v>3.9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13646-2026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46097</v>
      </c>
      <c r="E1574" s="1" t="n">
        <v>46307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13556-2026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46094</v>
      </c>
      <c r="E1575" s="1" t="n">
        <v>46307</v>
      </c>
      <c r="F1575" t="inlineStr">
        <is>
          <t>GÄVLEBORGS LÄN</t>
        </is>
      </c>
      <c r="G1575" t="inlineStr">
        <is>
          <t>BOLLNÄS</t>
        </is>
      </c>
      <c r="I1575" t="n">
        <v>9.6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13665-2026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46097</v>
      </c>
      <c r="E1576" s="1" t="n">
        <v>46307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7.6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13311-2026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46094</v>
      </c>
      <c r="E1577" s="1" t="n">
        <v>46307</v>
      </c>
      <c r="F1577" t="inlineStr">
        <is>
          <t>GÄVLEBORGS LÄN</t>
        </is>
      </c>
      <c r="G1577" t="inlineStr">
        <is>
          <t>BOLLNÄS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23331-2026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46162</v>
      </c>
      <c r="E1578" s="1" t="n">
        <v>46307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23085-2026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46161</v>
      </c>
      <c r="E1579" s="1" t="n">
        <v>46307</v>
      </c>
      <c r="F1579" t="inlineStr">
        <is>
          <t>GÄVLEBORGS LÄN</t>
        </is>
      </c>
      <c r="G1579" t="inlineStr">
        <is>
          <t>BOLLNÄS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23090-2026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46161</v>
      </c>
      <c r="E1580" s="1" t="n">
        <v>46307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23091-2026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46161</v>
      </c>
      <c r="E1581" s="1" t="n">
        <v>46307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23092-2026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46161</v>
      </c>
      <c r="E1582" s="1" t="n">
        <v>46307</v>
      </c>
      <c r="F1582" t="inlineStr">
        <is>
          <t>GÄVLEBORGS LÄN</t>
        </is>
      </c>
      <c r="G1582" t="inlineStr">
        <is>
          <t>BOLLNÄS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23251-2026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46162</v>
      </c>
      <c r="E1583" s="1" t="n">
        <v>46307</v>
      </c>
      <c r="F1583" t="inlineStr">
        <is>
          <t>GÄVLEBORGS LÄN</t>
        </is>
      </c>
      <c r="G1583" t="inlineStr">
        <is>
          <t>BOLLNÄS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23673-2026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46164</v>
      </c>
      <c r="E1584" s="1" t="n">
        <v>46307</v>
      </c>
      <c r="F1584" t="inlineStr">
        <is>
          <t>GÄVLEBORGS LÄN</t>
        </is>
      </c>
      <c r="G1584" t="inlineStr">
        <is>
          <t>BOLLNÄS</t>
        </is>
      </c>
      <c r="I1584" t="n">
        <v>20.9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20665-2026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46141</v>
      </c>
      <c r="E1585" s="1" t="n">
        <v>46307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23289-2026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46162</v>
      </c>
      <c r="E1586" s="1" t="n">
        <v>46307</v>
      </c>
      <c r="F1586" t="inlineStr">
        <is>
          <t>GÄVLEBORGS LÄN</t>
        </is>
      </c>
      <c r="G1586" t="inlineStr">
        <is>
          <t>BOLLNÄS</t>
        </is>
      </c>
      <c r="I1586" t="n">
        <v>9.9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23478-2026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46163</v>
      </c>
      <c r="E1587" s="1" t="n">
        <v>46307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46163</v>
      </c>
      <c r="E1588" s="1" t="n">
        <v>46307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23523-2026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46163</v>
      </c>
      <c r="E1589" s="1" t="n">
        <v>46307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23544-2026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46163</v>
      </c>
      <c r="E1590" s="1" t="n">
        <v>46307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23703-2026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46307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23206-2026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46162</v>
      </c>
      <c r="E1592" s="1" t="n">
        <v>46307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23719-2026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46164</v>
      </c>
      <c r="E1593" s="1" t="n">
        <v>46307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23664-2026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46164</v>
      </c>
      <c r="E1594" s="1" t="n">
        <v>46307</v>
      </c>
      <c r="F1594" t="inlineStr">
        <is>
          <t>GÄVLEBORGS LÄN</t>
        </is>
      </c>
      <c r="G1594" t="inlineStr">
        <is>
          <t>BOLLNÄS</t>
        </is>
      </c>
      <c r="I1594" t="n">
        <v>6.3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23594-2026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46163</v>
      </c>
      <c r="E1595" s="1" t="n">
        <v>46307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20690-2026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46141</v>
      </c>
      <c r="E1596" s="1" t="n">
        <v>46307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58279-2025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45985</v>
      </c>
      <c r="E1597" s="1" t="n">
        <v>46307</v>
      </c>
      <c r="F1597" t="inlineStr">
        <is>
          <t>GÄVLEBORGS LÄN</t>
        </is>
      </c>
      <c r="G1597" t="inlineStr">
        <is>
          <t>BOLLNÄS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12005-2026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46085</v>
      </c>
      <c r="E1598" s="1" t="n">
        <v>46307</v>
      </c>
      <c r="F1598" t="inlineStr">
        <is>
          <t>GÄVLEBORGS LÄN</t>
        </is>
      </c>
      <c r="G1598" t="inlineStr">
        <is>
          <t>BOLLNÄS</t>
        </is>
      </c>
      <c r="I1598" t="n">
        <v>5.6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18664-2026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46128</v>
      </c>
      <c r="E1599" s="1" t="n">
        <v>46307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24039-2026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46167</v>
      </c>
      <c r="E1600" s="1" t="n">
        <v>46307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27.5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23891-2026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46167</v>
      </c>
      <c r="E1601" s="1" t="n">
        <v>46307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10077-2026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46073</v>
      </c>
      <c r="E1602" s="1" t="n">
        <v>46307</v>
      </c>
      <c r="F1602" t="inlineStr">
        <is>
          <t>GÄVLEBORGS LÄN</t>
        </is>
      </c>
      <c r="G1602" t="inlineStr">
        <is>
          <t>BOLLNÄS</t>
        </is>
      </c>
      <c r="I1602" t="n">
        <v>2.4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10620-2026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46077</v>
      </c>
      <c r="E1603" s="1" t="n">
        <v>46307</v>
      </c>
      <c r="F1603" t="inlineStr">
        <is>
          <t>GÄVLEBORGS LÄN</t>
        </is>
      </c>
      <c r="G1603" t="inlineStr">
        <is>
          <t>BOLLNÄS</t>
        </is>
      </c>
      <c r="I1603" t="n">
        <v>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12275-2026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46087</v>
      </c>
      <c r="E1604" s="1" t="n">
        <v>46307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Kyrkan</t>
        </is>
      </c>
      <c r="I1604" t="n">
        <v>3.5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16061-2026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46307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24034-2026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46167</v>
      </c>
      <c r="E1606" s="1" t="n">
        <v>46307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46307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19839-2026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46135</v>
      </c>
      <c r="E1608" s="1" t="n">
        <v>46307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23881-2026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46307</v>
      </c>
      <c r="F1609" t="inlineStr">
        <is>
          <t>GÄVLEBORGS LÄN</t>
        </is>
      </c>
      <c r="G1609" t="inlineStr">
        <is>
          <t>BOLLNÄS</t>
        </is>
      </c>
      <c r="I1609" t="n">
        <v>5.9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63953-2025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46020</v>
      </c>
      <c r="E1610" s="1" t="n">
        <v>46307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24076-2026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46168</v>
      </c>
      <c r="E1611" s="1" t="n">
        <v>46307</v>
      </c>
      <c r="F1611" t="inlineStr">
        <is>
          <t>GÄVLEBORGS LÄN</t>
        </is>
      </c>
      <c r="G1611" t="inlineStr">
        <is>
          <t>BOLLNÄS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22551-2026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46155</v>
      </c>
      <c r="E1612" s="1" t="n">
        <v>46307</v>
      </c>
      <c r="F1612" t="inlineStr">
        <is>
          <t>GÄVLEBORGS LÄN</t>
        </is>
      </c>
      <c r="G1612" t="inlineStr">
        <is>
          <t>BOLLNÄS</t>
        </is>
      </c>
      <c r="I1612" t="n">
        <v>7.9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23856-2026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46167</v>
      </c>
      <c r="E1613" s="1" t="n">
        <v>46307</v>
      </c>
      <c r="F1613" t="inlineStr">
        <is>
          <t>GÄVLEBORGS LÄN</t>
        </is>
      </c>
      <c r="G1613" t="inlineStr">
        <is>
          <t>BOLLNÄS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23857-2026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46167</v>
      </c>
      <c r="E1614" s="1" t="n">
        <v>46307</v>
      </c>
      <c r="F1614" t="inlineStr">
        <is>
          <t>GÄVLEBORGS LÄN</t>
        </is>
      </c>
      <c r="G1614" t="inlineStr">
        <is>
          <t>BOLLNÄS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14521-2026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46100</v>
      </c>
      <c r="E1615" s="1" t="n">
        <v>46307</v>
      </c>
      <c r="F1615" t="inlineStr">
        <is>
          <t>GÄVLEBORGS LÄN</t>
        </is>
      </c>
      <c r="G1615" t="inlineStr">
        <is>
          <t>BOLLNÄS</t>
        </is>
      </c>
      <c r="I1615" t="n">
        <v>9.6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24136-2026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46168</v>
      </c>
      <c r="E1616" s="1" t="n">
        <v>46307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9403-2026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46071</v>
      </c>
      <c r="E1617" s="1" t="n">
        <v>46307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10.6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6067-2026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46052</v>
      </c>
      <c r="E1618" s="1" t="n">
        <v>46307</v>
      </c>
      <c r="F1618" t="inlineStr">
        <is>
          <t>GÄVLEBORGS LÄN</t>
        </is>
      </c>
      <c r="G1618" t="inlineStr">
        <is>
          <t>BOLLNÄS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46307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24083-2026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46168</v>
      </c>
      <c r="E1620" s="1" t="n">
        <v>46307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9816-2026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46072</v>
      </c>
      <c r="E1621" s="1" t="n">
        <v>46307</v>
      </c>
      <c r="F1621" t="inlineStr">
        <is>
          <t>GÄVLEBORGS LÄN</t>
        </is>
      </c>
      <c r="G1621" t="inlineStr">
        <is>
          <t>BOLLNÄS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24147-2026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46168</v>
      </c>
      <c r="E1622" s="1" t="n">
        <v>46307</v>
      </c>
      <c r="F1622" t="inlineStr">
        <is>
          <t>GÄVLEBORGS LÄN</t>
        </is>
      </c>
      <c r="G1622" t="inlineStr">
        <is>
          <t>BOLLNÄS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7609-2026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46062</v>
      </c>
      <c r="E1623" s="1" t="n">
        <v>46307</v>
      </c>
      <c r="F1623" t="inlineStr">
        <is>
          <t>GÄVLEBORGS LÄN</t>
        </is>
      </c>
      <c r="G1623" t="inlineStr">
        <is>
          <t>BOLLNÄS</t>
        </is>
      </c>
      <c r="I1623" t="n">
        <v>4.9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9758-2026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46307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Sveaskog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24231-2026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46168</v>
      </c>
      <c r="E1625" s="1" t="n">
        <v>46307</v>
      </c>
      <c r="F1625" t="inlineStr">
        <is>
          <t>GÄVLEBORGS LÄN</t>
        </is>
      </c>
      <c r="G1625" t="inlineStr">
        <is>
          <t>BOLLNÄS</t>
        </is>
      </c>
      <c r="I1625" t="n">
        <v>4.5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10798-2026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46078</v>
      </c>
      <c r="E1626" s="1" t="n">
        <v>46307</v>
      </c>
      <c r="F1626" t="inlineStr">
        <is>
          <t>GÄVLEBORGS LÄN</t>
        </is>
      </c>
      <c r="G1626" t="inlineStr">
        <is>
          <t>BOLLNÄS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17648-2026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46121</v>
      </c>
      <c r="E1627" s="1" t="n">
        <v>46307</v>
      </c>
      <c r="F1627" t="inlineStr">
        <is>
          <t>GÄVLEBORGS LÄN</t>
        </is>
      </c>
      <c r="G1627" t="inlineStr">
        <is>
          <t>BOLLNÄS</t>
        </is>
      </c>
      <c r="I1627" t="n">
        <v>5.6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14811-2026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46104</v>
      </c>
      <c r="E1628" s="1" t="n">
        <v>46307</v>
      </c>
      <c r="F1628" t="inlineStr">
        <is>
          <t>GÄVLEBORGS LÄN</t>
        </is>
      </c>
      <c r="G1628" t="inlineStr">
        <is>
          <t>BOLLNÄS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13346-2026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46094</v>
      </c>
      <c r="E1629" s="1" t="n">
        <v>46307</v>
      </c>
      <c r="F1629" t="inlineStr">
        <is>
          <t>GÄVLEBORGS LÄN</t>
        </is>
      </c>
      <c r="G1629" t="inlineStr">
        <is>
          <t>BOLLNÄS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24743-2026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46171</v>
      </c>
      <c r="E1630" s="1" t="n">
        <v>46307</v>
      </c>
      <c r="F1630" t="inlineStr">
        <is>
          <t>GÄVLEBORGS LÄN</t>
        </is>
      </c>
      <c r="G1630" t="inlineStr">
        <is>
          <t>BOLLNÄS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16423-2026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46111</v>
      </c>
      <c r="E1631" s="1" t="n">
        <v>46307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öst AB</t>
        </is>
      </c>
      <c r="I1631" t="n">
        <v>4.7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24749-2026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46307</v>
      </c>
      <c r="F1632" t="inlineStr">
        <is>
          <t>GÄVLEBORGS LÄN</t>
        </is>
      </c>
      <c r="G1632" t="inlineStr">
        <is>
          <t>BOLLNÄS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9341-2026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46307</v>
      </c>
      <c r="F1633" t="inlineStr">
        <is>
          <t>GÄVLEBORGS LÄN</t>
        </is>
      </c>
      <c r="G1633" t="inlineStr">
        <is>
          <t>BOLLNÄS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24461-2026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46170</v>
      </c>
      <c r="E1634" s="1" t="n">
        <v>46307</v>
      </c>
      <c r="F1634" t="inlineStr">
        <is>
          <t>GÄVLEBORGS LÄN</t>
        </is>
      </c>
      <c r="G1634" t="inlineStr">
        <is>
          <t>BOLLNÄS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46307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23939-2026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46167</v>
      </c>
      <c r="E1636" s="1" t="n">
        <v>46307</v>
      </c>
      <c r="F1636" t="inlineStr">
        <is>
          <t>GÄVLEBORGS LÄN</t>
        </is>
      </c>
      <c r="G1636" t="inlineStr">
        <is>
          <t>BOLLNÄS</t>
        </is>
      </c>
      <c r="I1636" t="n">
        <v>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24748-2026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46171</v>
      </c>
      <c r="E1637" s="1" t="n">
        <v>46307</v>
      </c>
      <c r="F1637" t="inlineStr">
        <is>
          <t>GÄVLEBORGS LÄN</t>
        </is>
      </c>
      <c r="G1637" t="inlineStr">
        <is>
          <t>BOLLNÄS</t>
        </is>
      </c>
      <c r="I1637" t="n">
        <v>7.2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24751-2026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46307</v>
      </c>
      <c r="F1638" t="inlineStr">
        <is>
          <t>GÄVLEBORGS LÄN</t>
        </is>
      </c>
      <c r="G1638" t="inlineStr">
        <is>
          <t>BOLLNÄS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24557-2026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46170</v>
      </c>
      <c r="E1639" s="1" t="n">
        <v>46307</v>
      </c>
      <c r="F1639" t="inlineStr">
        <is>
          <t>GÄVLEBORGS LÄN</t>
        </is>
      </c>
      <c r="G1639" t="inlineStr">
        <is>
          <t>BOLLNÄS</t>
        </is>
      </c>
      <c r="I1639" t="n">
        <v>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8130-2026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46064</v>
      </c>
      <c r="E1640" s="1" t="n">
        <v>46307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24652-2026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46171</v>
      </c>
      <c r="E1641" s="1" t="n">
        <v>46307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15.7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24747-2026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46171</v>
      </c>
      <c r="E1642" s="1" t="n">
        <v>46307</v>
      </c>
      <c r="F1642" t="inlineStr">
        <is>
          <t>GÄVLEBORGS LÄN</t>
        </is>
      </c>
      <c r="G1642" t="inlineStr">
        <is>
          <t>BOLLNÄS</t>
        </is>
      </c>
      <c r="I1642" t="n">
        <v>2.9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24753-2026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46171</v>
      </c>
      <c r="E1643" s="1" t="n">
        <v>46307</v>
      </c>
      <c r="F1643" t="inlineStr">
        <is>
          <t>GÄVLEBORGS LÄN</t>
        </is>
      </c>
      <c r="G1643" t="inlineStr">
        <is>
          <t>BOLLNÄS</t>
        </is>
      </c>
      <c r="I1643" t="n">
        <v>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46041</v>
      </c>
      <c r="E1644" s="1" t="n">
        <v>46307</v>
      </c>
      <c r="F1644" t="inlineStr">
        <is>
          <t>GÄVLEBORGS LÄN</t>
        </is>
      </c>
      <c r="G1644" t="inlineStr">
        <is>
          <t>BOLLNÄS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25204-2026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46175</v>
      </c>
      <c r="E1645" s="1" t="n">
        <v>46307</v>
      </c>
      <c r="F1645" t="inlineStr">
        <is>
          <t>GÄVLEBORGS LÄN</t>
        </is>
      </c>
      <c r="G1645" t="inlineStr">
        <is>
          <t>BOLLNÄS</t>
        </is>
      </c>
      <c r="I1645" t="n">
        <v>10.1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46307</v>
      </c>
      <c r="F1646" t="inlineStr">
        <is>
          <t>GÄVLEBORGS LÄN</t>
        </is>
      </c>
      <c r="G1646" t="inlineStr">
        <is>
          <t>BOLLNÄS</t>
        </is>
      </c>
      <c r="I1646" t="n">
        <v>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24925-2026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46174</v>
      </c>
      <c r="E1647" s="1" t="n">
        <v>46307</v>
      </c>
      <c r="F1647" t="inlineStr">
        <is>
          <t>GÄVLEBORGS LÄN</t>
        </is>
      </c>
      <c r="G1647" t="inlineStr">
        <is>
          <t>BOLLNÄS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24897-2026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46307</v>
      </c>
      <c r="F1648" t="inlineStr">
        <is>
          <t>GÄVLEBORGS LÄN</t>
        </is>
      </c>
      <c r="G1648" t="inlineStr">
        <is>
          <t>BOLLNÄS</t>
        </is>
      </c>
      <c r="I1648" t="n">
        <v>9.9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46307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25561-2026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46177</v>
      </c>
      <c r="E1650" s="1" t="n">
        <v>46307</v>
      </c>
      <c r="F1650" t="inlineStr">
        <is>
          <t>GÄVLEBORGS LÄN</t>
        </is>
      </c>
      <c r="G1650" t="inlineStr">
        <is>
          <t>BOLLNÄS</t>
        </is>
      </c>
      <c r="I1650" t="n">
        <v>21.8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16391-2026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46307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öst AB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25474-2026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46177</v>
      </c>
      <c r="E1652" s="1" t="n">
        <v>46307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18311-2025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45762</v>
      </c>
      <c r="E1653" s="1" t="n">
        <v>46307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25269-2026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46176</v>
      </c>
      <c r="E1654" s="1" t="n">
        <v>46307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25449-2026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46177</v>
      </c>
      <c r="E1655" s="1" t="n">
        <v>46307</v>
      </c>
      <c r="F1655" t="inlineStr">
        <is>
          <t>GÄVLEBORGS LÄN</t>
        </is>
      </c>
      <c r="G1655" t="inlineStr">
        <is>
          <t>BOLLNÄS</t>
        </is>
      </c>
      <c r="I1655" t="n">
        <v>7.5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12181-2025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45729</v>
      </c>
      <c r="E1656" s="1" t="n">
        <v>46307</v>
      </c>
      <c r="F1656" t="inlineStr">
        <is>
          <t>GÄVLEBORGS LÄN</t>
        </is>
      </c>
      <c r="G1656" t="inlineStr">
        <is>
          <t>BOLLNÄS</t>
        </is>
      </c>
      <c r="I1656" t="n">
        <v>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25497-2026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46177</v>
      </c>
      <c r="E1657" s="1" t="n">
        <v>46307</v>
      </c>
      <c r="F1657" t="inlineStr">
        <is>
          <t>GÄVLEBORGS LÄN</t>
        </is>
      </c>
      <c r="G1657" t="inlineStr">
        <is>
          <t>BOLLNÄS</t>
        </is>
      </c>
      <c r="I1657" t="n">
        <v>6.5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26069-2026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46181</v>
      </c>
      <c r="E1658" s="1" t="n">
        <v>46307</v>
      </c>
      <c r="F1658" t="inlineStr">
        <is>
          <t>GÄVLEBORGS LÄN</t>
        </is>
      </c>
      <c r="G1658" t="inlineStr">
        <is>
          <t>BOLLNÄS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26039-2026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46181</v>
      </c>
      <c r="E1659" s="1" t="n">
        <v>46307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26068-2026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46181</v>
      </c>
      <c r="E1660" s="1" t="n">
        <v>46307</v>
      </c>
      <c r="F1660" t="inlineStr">
        <is>
          <t>GÄVLEBORGS LÄN</t>
        </is>
      </c>
      <c r="G1660" t="inlineStr">
        <is>
          <t>BOLLNÄS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26041-2026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46181</v>
      </c>
      <c r="E1661" s="1" t="n">
        <v>46307</v>
      </c>
      <c r="F1661" t="inlineStr">
        <is>
          <t>GÄVLEBORGS LÄN</t>
        </is>
      </c>
      <c r="G1661" t="inlineStr">
        <is>
          <t>BOLLNÄS</t>
        </is>
      </c>
      <c r="I1661" t="n">
        <v>6.4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26065-2026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46181</v>
      </c>
      <c r="E1662" s="1" t="n">
        <v>46307</v>
      </c>
      <c r="F1662" t="inlineStr">
        <is>
          <t>GÄVLEBORGS LÄN</t>
        </is>
      </c>
      <c r="G1662" t="inlineStr">
        <is>
          <t>BOLLNÄS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26066-2026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46181</v>
      </c>
      <c r="E1663" s="1" t="n">
        <v>46307</v>
      </c>
      <c r="F1663" t="inlineStr">
        <is>
          <t>GÄVLEBORGS LÄN</t>
        </is>
      </c>
      <c r="G1663" t="inlineStr">
        <is>
          <t>BOLLNÄS</t>
        </is>
      </c>
      <c r="I1663" t="n">
        <v>1.6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26247-2026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46182</v>
      </c>
      <c r="E1664" s="1" t="n">
        <v>46307</v>
      </c>
      <c r="F1664" t="inlineStr">
        <is>
          <t>GÄVLEBORGS LÄN</t>
        </is>
      </c>
      <c r="G1664" t="inlineStr">
        <is>
          <t>BOLLNÄS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26192-2026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46182</v>
      </c>
      <c r="E1665" s="1" t="n">
        <v>46307</v>
      </c>
      <c r="F1665" t="inlineStr">
        <is>
          <t>GÄVLEBORGS LÄN</t>
        </is>
      </c>
      <c r="G1665" t="inlineStr">
        <is>
          <t>BOLLNÄS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26558-2026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46307</v>
      </c>
      <c r="F1666" t="inlineStr">
        <is>
          <t>GÄVLEBORGS LÄN</t>
        </is>
      </c>
      <c r="G1666" t="inlineStr">
        <is>
          <t>BOLLNÄS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26231-2026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46182</v>
      </c>
      <c r="E1667" s="1" t="n">
        <v>46307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26194-2026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46182</v>
      </c>
      <c r="E1668" s="1" t="n">
        <v>46307</v>
      </c>
      <c r="F1668" t="inlineStr">
        <is>
          <t>GÄVLEBORGS LÄN</t>
        </is>
      </c>
      <c r="G1668" t="inlineStr">
        <is>
          <t>BOLLNÄS</t>
        </is>
      </c>
      <c r="I1668" t="n">
        <v>5.5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26214-2026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46182</v>
      </c>
      <c r="E1669" s="1" t="n">
        <v>46307</v>
      </c>
      <c r="F1669" t="inlineStr">
        <is>
          <t>GÄVLEBORGS LÄN</t>
        </is>
      </c>
      <c r="G1669" t="inlineStr">
        <is>
          <t>BOLLNÄS</t>
        </is>
      </c>
      <c r="I1669" t="n">
        <v>2.7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26909-2026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46185</v>
      </c>
      <c r="E1670" s="1" t="n">
        <v>46307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26910-2026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46185</v>
      </c>
      <c r="E1671" s="1" t="n">
        <v>46307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26705-2026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46184</v>
      </c>
      <c r="E1672" s="1" t="n">
        <v>46307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27037-2026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46185</v>
      </c>
      <c r="E1673" s="1" t="n">
        <v>46307</v>
      </c>
      <c r="F1673" t="inlineStr">
        <is>
          <t>GÄVLEBORGS LÄN</t>
        </is>
      </c>
      <c r="G1673" t="inlineStr">
        <is>
          <t>BOLLNÄS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26695-2026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46184</v>
      </c>
      <c r="E1674" s="1" t="n">
        <v>46307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Kyrkan</t>
        </is>
      </c>
      <c r="I1674" t="n">
        <v>8.300000000000001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26741-2026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46307</v>
      </c>
      <c r="F1675" t="inlineStr">
        <is>
          <t>GÄVLEBORGS LÄN</t>
        </is>
      </c>
      <c r="G1675" t="inlineStr">
        <is>
          <t>BOLLNÄS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26892-2026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46185</v>
      </c>
      <c r="E1676" s="1" t="n">
        <v>46307</v>
      </c>
      <c r="F1676" t="inlineStr">
        <is>
          <t>GÄVLEBORGS LÄN</t>
        </is>
      </c>
      <c r="G1676" t="inlineStr">
        <is>
          <t>BOLLNÄS</t>
        </is>
      </c>
      <c r="I1676" t="n">
        <v>9.800000000000001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26526-2026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46307</v>
      </c>
      <c r="F1677" t="inlineStr">
        <is>
          <t>GÄVLEBORGS LÄN</t>
        </is>
      </c>
      <c r="G1677" t="inlineStr">
        <is>
          <t>BOLLNÄS</t>
        </is>
      </c>
      <c r="I1677" t="n">
        <v>4.6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26610-2026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46184</v>
      </c>
      <c r="E1678" s="1" t="n">
        <v>46307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Kyrkan</t>
        </is>
      </c>
      <c r="I1678" t="n">
        <v>3.4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26632-2026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46184</v>
      </c>
      <c r="E1679" s="1" t="n">
        <v>46307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Kyrkan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26977-2026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46307</v>
      </c>
      <c r="F1680" t="inlineStr">
        <is>
          <t>GÄVLEBORGS LÄN</t>
        </is>
      </c>
      <c r="G1680" t="inlineStr">
        <is>
          <t>BOLLNÄS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46307</v>
      </c>
      <c r="F1681" t="inlineStr">
        <is>
          <t>GÄVLEBORGS LÄN</t>
        </is>
      </c>
      <c r="G1681" t="inlineStr">
        <is>
          <t>BOLLNÄS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26890-2026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46185</v>
      </c>
      <c r="E1682" s="1" t="n">
        <v>46307</v>
      </c>
      <c r="F1682" t="inlineStr">
        <is>
          <t>GÄVLEBORGS LÄN</t>
        </is>
      </c>
      <c r="G1682" t="inlineStr">
        <is>
          <t>BOLLNÄS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46307</v>
      </c>
      <c r="F1683" t="inlineStr">
        <is>
          <t>GÄVLEBORGS LÄN</t>
        </is>
      </c>
      <c r="G1683" t="inlineStr">
        <is>
          <t>BOLLNÄS</t>
        </is>
      </c>
      <c r="I1683" t="n">
        <v>0.3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27327-2026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46188</v>
      </c>
      <c r="E1684" s="1" t="n">
        <v>46307</v>
      </c>
      <c r="F1684" t="inlineStr">
        <is>
          <t>GÄVLEBORGS LÄN</t>
        </is>
      </c>
      <c r="G1684" t="inlineStr">
        <is>
          <t>BOLLNÄS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27318-2026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46307</v>
      </c>
      <c r="F1685" t="inlineStr">
        <is>
          <t>GÄVLEBORGS LÄN</t>
        </is>
      </c>
      <c r="G1685" t="inlineStr">
        <is>
          <t>BOLLNÄS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27092-2026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46188</v>
      </c>
      <c r="E1686" s="1" t="n">
        <v>46307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12904-2026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46092</v>
      </c>
      <c r="E1687" s="1" t="n">
        <v>46307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46041</v>
      </c>
      <c r="E1688" s="1" t="n">
        <v>46307</v>
      </c>
      <c r="F1688" t="inlineStr">
        <is>
          <t>GÄVLEBORGS LÄN</t>
        </is>
      </c>
      <c r="G1688" t="inlineStr">
        <is>
          <t>BOLLNÄS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20668-2026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46141</v>
      </c>
      <c r="E1689" s="1" t="n">
        <v>46307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3.2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27326-2026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46188</v>
      </c>
      <c r="E1690" s="1" t="n">
        <v>46307</v>
      </c>
      <c r="F1690" t="inlineStr">
        <is>
          <t>GÄVLEBORGS LÄN</t>
        </is>
      </c>
      <c r="G1690" t="inlineStr">
        <is>
          <t>BOLLNÄS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27143-2026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46188</v>
      </c>
      <c r="E1691" s="1" t="n">
        <v>46307</v>
      </c>
      <c r="F1691" t="inlineStr">
        <is>
          <t>GÄVLEBORGS LÄN</t>
        </is>
      </c>
      <c r="G1691" t="inlineStr">
        <is>
          <t>BOLLNÄS</t>
        </is>
      </c>
      <c r="I1691" t="n">
        <v>2.8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8235-2026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46064</v>
      </c>
      <c r="E1692" s="1" t="n">
        <v>46307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63984-2025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46021</v>
      </c>
      <c r="E1693" s="1" t="n">
        <v>46307</v>
      </c>
      <c r="F1693" t="inlineStr">
        <is>
          <t>GÄVLEBORGS LÄN</t>
        </is>
      </c>
      <c r="G1693" t="inlineStr">
        <is>
          <t>BOLLNÄS</t>
        </is>
      </c>
      <c r="I1693" t="n">
        <v>10.6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27748-2026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46191</v>
      </c>
      <c r="E1694" s="1" t="n">
        <v>46307</v>
      </c>
      <c r="F1694" t="inlineStr">
        <is>
          <t>GÄVLEBORGS LÄN</t>
        </is>
      </c>
      <c r="G1694" t="inlineStr">
        <is>
          <t>BOLLNÄS</t>
        </is>
      </c>
      <c r="I1694" t="n">
        <v>10.8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27753-2026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46191</v>
      </c>
      <c r="E1695" s="1" t="n">
        <v>46307</v>
      </c>
      <c r="F1695" t="inlineStr">
        <is>
          <t>GÄVLEBORGS LÄN</t>
        </is>
      </c>
      <c r="G1695" t="inlineStr">
        <is>
          <t>BOLLNÄS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23095-2026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46307</v>
      </c>
      <c r="F1696" t="inlineStr">
        <is>
          <t>GÄVLEBORGS LÄN</t>
        </is>
      </c>
      <c r="G1696" t="inlineStr">
        <is>
          <t>BOLLNÄS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27598-2026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46190</v>
      </c>
      <c r="E1697" s="1" t="n">
        <v>46307</v>
      </c>
      <c r="F1697" t="inlineStr">
        <is>
          <t>GÄVLEBORGS LÄN</t>
        </is>
      </c>
      <c r="G1697" t="inlineStr">
        <is>
          <t>BOLLNÄS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28124-2026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46195</v>
      </c>
      <c r="E1698" s="1" t="n">
        <v>46307</v>
      </c>
      <c r="F1698" t="inlineStr">
        <is>
          <t>GÄVLEBORGS LÄN</t>
        </is>
      </c>
      <c r="G1698" t="inlineStr">
        <is>
          <t>BOLLNÄS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9814-2026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46072</v>
      </c>
      <c r="E1699" s="1" t="n">
        <v>46307</v>
      </c>
      <c r="F1699" t="inlineStr">
        <is>
          <t>GÄVLEBORGS LÄN</t>
        </is>
      </c>
      <c r="G1699" t="inlineStr">
        <is>
          <t>BOLLNÄS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28439-2026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46197</v>
      </c>
      <c r="E1700" s="1" t="n">
        <v>46307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28429-2026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46307</v>
      </c>
      <c r="F1701" t="inlineStr">
        <is>
          <t>GÄVLEBORGS LÄN</t>
        </is>
      </c>
      <c r="G1701" t="inlineStr">
        <is>
          <t>BOLLNÄS</t>
        </is>
      </c>
      <c r="I1701" t="n">
        <v>2.3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46307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28494-2026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46197</v>
      </c>
      <c r="E1703" s="1" t="n">
        <v>46307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28270-2026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46196</v>
      </c>
      <c r="E1704" s="1" t="n">
        <v>46307</v>
      </c>
      <c r="F1704" t="inlineStr">
        <is>
          <t>GÄVLEBORGS LÄN</t>
        </is>
      </c>
      <c r="G1704" t="inlineStr">
        <is>
          <t>BOLLNÄS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28497-2026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46307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28196-2026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46196</v>
      </c>
      <c r="E1706" s="1" t="n">
        <v>46307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29037-2026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46199</v>
      </c>
      <c r="E1707" s="1" t="n">
        <v>46307</v>
      </c>
      <c r="F1707" t="inlineStr">
        <is>
          <t>GÄVLEBORGS LÄN</t>
        </is>
      </c>
      <c r="G1707" t="inlineStr">
        <is>
          <t>BOLLNÄS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19418-2026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46307</v>
      </c>
      <c r="F1708" t="inlineStr">
        <is>
          <t>GÄVLEBORGS LÄN</t>
        </is>
      </c>
      <c r="G1708" t="inlineStr">
        <is>
          <t>BOLLNÄS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28943-2026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46307</v>
      </c>
      <c r="F1709" t="inlineStr">
        <is>
          <t>GÄVLEBORGS LÄN</t>
        </is>
      </c>
      <c r="G1709" t="inlineStr">
        <is>
          <t>BOLLNÄS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28828-2026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46198</v>
      </c>
      <c r="E1710" s="1" t="n">
        <v>46307</v>
      </c>
      <c r="F1710" t="inlineStr">
        <is>
          <t>GÄVLEBORGS LÄN</t>
        </is>
      </c>
      <c r="G1710" t="inlineStr">
        <is>
          <t>BOLLNÄS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46133</v>
      </c>
      <c r="E1711" s="1" t="n">
        <v>46307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29150-2026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46307</v>
      </c>
      <c r="F1712" t="inlineStr">
        <is>
          <t>GÄVLEBORGS LÄN</t>
        </is>
      </c>
      <c r="G1712" t="inlineStr">
        <is>
          <t>BOLLNÄS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29187-2026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46307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46307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46307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46307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29445-2026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46307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46307</v>
      </c>
      <c r="F1718" t="inlineStr">
        <is>
          <t>GÄVLEBORGS LÄN</t>
        </is>
      </c>
      <c r="G1718" t="inlineStr">
        <is>
          <t>BOLLNÄS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29653-2026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46307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29632-2026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46307</v>
      </c>
      <c r="F1720" t="inlineStr">
        <is>
          <t>GÄVLEBORGS LÄN</t>
        </is>
      </c>
      <c r="G1720" t="inlineStr">
        <is>
          <t>BOLLNÄS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46307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29989-2026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46205</v>
      </c>
      <c r="E1722" s="1" t="n">
        <v>46307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29567-2026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46204</v>
      </c>
      <c r="E1723" s="1" t="n">
        <v>46307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29607-2026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46307</v>
      </c>
      <c r="F1724" t="inlineStr">
        <is>
          <t>GÄVLEBORGS LÄN</t>
        </is>
      </c>
      <c r="G1724" t="inlineStr">
        <is>
          <t>BOLLNÄS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46307</v>
      </c>
      <c r="F1725" t="inlineStr">
        <is>
          <t>GÄVLEBORGS LÄN</t>
        </is>
      </c>
      <c r="G1725" t="inlineStr">
        <is>
          <t>BOLLNÄS</t>
        </is>
      </c>
      <c r="I1725" t="n">
        <v>10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46307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29696-2026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46307</v>
      </c>
      <c r="F1727" t="inlineStr">
        <is>
          <t>GÄVLEBORGS LÄN</t>
        </is>
      </c>
      <c r="G1727" t="inlineStr">
        <is>
          <t>BOLLNÄS</t>
        </is>
      </c>
      <c r="I1727" t="n">
        <v>5.3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29635-2026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46307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19767-2026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46135</v>
      </c>
      <c r="E1729" s="1" t="n">
        <v>46307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29617-2026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46307</v>
      </c>
      <c r="F1730" t="inlineStr">
        <is>
          <t>GÄVLEBORGS LÄN</t>
        </is>
      </c>
      <c r="G1730" t="inlineStr">
        <is>
          <t>BOLLNÄS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29629-2026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46307</v>
      </c>
      <c r="F1731" t="inlineStr">
        <is>
          <t>GÄVLEBORGS LÄN</t>
        </is>
      </c>
      <c r="G1731" t="inlineStr">
        <is>
          <t>BOLLNÄS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46307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29857-2026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46205</v>
      </c>
      <c r="E1733" s="1" t="n">
        <v>46307</v>
      </c>
      <c r="F1733" t="inlineStr">
        <is>
          <t>GÄVLEBORGS LÄN</t>
        </is>
      </c>
      <c r="G1733" t="inlineStr">
        <is>
          <t>BOLLNÄS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30131-2026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46206</v>
      </c>
      <c r="E1734" s="1" t="n">
        <v>46307</v>
      </c>
      <c r="F1734" t="inlineStr">
        <is>
          <t>GÄVLEBORGS LÄN</t>
        </is>
      </c>
      <c r="G1734" t="inlineStr">
        <is>
          <t>BOLLNÄS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30136-2026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46206</v>
      </c>
      <c r="E1735" s="1" t="n">
        <v>46307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30139-2026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46206</v>
      </c>
      <c r="E1736" s="1" t="n">
        <v>46307</v>
      </c>
      <c r="F1736" t="inlineStr">
        <is>
          <t>GÄVLEBORGS LÄN</t>
        </is>
      </c>
      <c r="G1736" t="inlineStr">
        <is>
          <t>BOLLNÄS</t>
        </is>
      </c>
      <c r="I1736" t="n">
        <v>3.8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30282-2026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46307</v>
      </c>
      <c r="F1737" t="inlineStr">
        <is>
          <t>GÄVLEBORGS LÄN</t>
        </is>
      </c>
      <c r="G1737" t="inlineStr">
        <is>
          <t>BOLLNÄS</t>
        </is>
      </c>
      <c r="I1737" t="n">
        <v>4.8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30300-2026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46206</v>
      </c>
      <c r="E1738" s="1" t="n">
        <v>46307</v>
      </c>
      <c r="F1738" t="inlineStr">
        <is>
          <t>GÄVLEBORGS LÄN</t>
        </is>
      </c>
      <c r="G1738" t="inlineStr">
        <is>
          <t>BOLLNÄS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30305-2026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46307</v>
      </c>
      <c r="F1739" t="inlineStr">
        <is>
          <t>GÄVLEBORGS LÄN</t>
        </is>
      </c>
      <c r="G1739" t="inlineStr">
        <is>
          <t>BOLLNÄS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46307</v>
      </c>
      <c r="F1740" t="inlineStr">
        <is>
          <t>GÄVLEBORGS LÄN</t>
        </is>
      </c>
      <c r="G1740" t="inlineStr">
        <is>
          <t>BOLLNÄS</t>
        </is>
      </c>
      <c r="I1740" t="n">
        <v>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30273-2026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46307</v>
      </c>
      <c r="F1741" t="inlineStr">
        <is>
          <t>GÄVLEBORGS LÄN</t>
        </is>
      </c>
      <c r="G1741" t="inlineStr">
        <is>
          <t>BOLLNÄS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11361-2026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46083</v>
      </c>
      <c r="E1742" s="1" t="n">
        <v>46307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45598-2024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45579</v>
      </c>
      <c r="E1743" s="1" t="n">
        <v>46307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Kommuner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30274-2026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46206</v>
      </c>
      <c r="E1744" s="1" t="n">
        <v>46307</v>
      </c>
      <c r="F1744" t="inlineStr">
        <is>
          <t>GÄVLEBORGS LÄN</t>
        </is>
      </c>
      <c r="G1744" t="inlineStr">
        <is>
          <t>BOLLNÄS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30298-2026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46307</v>
      </c>
      <c r="F1745" t="inlineStr">
        <is>
          <t>GÄVLEBORGS LÄN</t>
        </is>
      </c>
      <c r="G1745" t="inlineStr">
        <is>
          <t>BOLLNÄS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30275-2026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46307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30043-2026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46307</v>
      </c>
      <c r="F1747" t="inlineStr">
        <is>
          <t>GÄVLEBORGS LÄN</t>
        </is>
      </c>
      <c r="G1747" t="inlineStr">
        <is>
          <t>BOLLNÄS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30050-2026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46307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30052-2026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46307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30278-2026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46206</v>
      </c>
      <c r="E1750" s="1" t="n">
        <v>46307</v>
      </c>
      <c r="F1750" t="inlineStr">
        <is>
          <t>GÄVLEBORGS LÄN</t>
        </is>
      </c>
      <c r="G1750" t="inlineStr">
        <is>
          <t>BOLLNÄS</t>
        </is>
      </c>
      <c r="I1750" t="n">
        <v>3.9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30383-2026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46209</v>
      </c>
      <c r="E1751" s="1" t="n">
        <v>46307</v>
      </c>
      <c r="F1751" t="inlineStr">
        <is>
          <t>GÄVLEBORGS LÄN</t>
        </is>
      </c>
      <c r="G1751" t="inlineStr">
        <is>
          <t>BOLLNÄS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46211</v>
      </c>
      <c r="E1752" s="1" t="n">
        <v>46307</v>
      </c>
      <c r="F1752" t="inlineStr">
        <is>
          <t>GÄVLEBORGS LÄN</t>
        </is>
      </c>
      <c r="G1752" t="inlineStr">
        <is>
          <t>BOLLNÄS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30653-2026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46211</v>
      </c>
      <c r="E1753" s="1" t="n">
        <v>46307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1.3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30827-2026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46212</v>
      </c>
      <c r="E1754" s="1" t="n">
        <v>46307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30764-2026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46307</v>
      </c>
      <c r="F1755" t="inlineStr">
        <is>
          <t>GÄVLEBORGS LÄN</t>
        </is>
      </c>
      <c r="G1755" t="inlineStr">
        <is>
          <t>BOLLNÄS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30766-2026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46307</v>
      </c>
      <c r="F1756" t="inlineStr">
        <is>
          <t>GÄVLEBORGS LÄN</t>
        </is>
      </c>
      <c r="G1756" t="inlineStr">
        <is>
          <t>BOLLNÄS</t>
        </is>
      </c>
      <c r="I1756" t="n">
        <v>2.7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31125-2026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46216</v>
      </c>
      <c r="E1757" s="1" t="n">
        <v>46307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31127-2026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46216</v>
      </c>
      <c r="E1758" s="1" t="n">
        <v>46307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31132-2026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46307</v>
      </c>
      <c r="F1759" t="inlineStr">
        <is>
          <t>GÄVLEBORGS LÄN</t>
        </is>
      </c>
      <c r="G1759" t="inlineStr">
        <is>
          <t>BOLLNÄS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30797-2026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46307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30798-2026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46307</v>
      </c>
      <c r="F1761" t="inlineStr">
        <is>
          <t>GÄVLEBORGS LÄN</t>
        </is>
      </c>
      <c r="G1761" t="inlineStr">
        <is>
          <t>BOLLNÄS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31143-2026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46216</v>
      </c>
      <c r="E1762" s="1" t="n">
        <v>46307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31128-2026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46307</v>
      </c>
      <c r="F1763" t="inlineStr">
        <is>
          <t>GÄVLEBORGS LÄN</t>
        </is>
      </c>
      <c r="G1763" t="inlineStr">
        <is>
          <t>BOLLNÄS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31139-2026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46216</v>
      </c>
      <c r="E1764" s="1" t="n">
        <v>46307</v>
      </c>
      <c r="F1764" t="inlineStr">
        <is>
          <t>GÄVLEBORGS LÄN</t>
        </is>
      </c>
      <c r="G1764" t="inlineStr">
        <is>
          <t>BOLLNÄS</t>
        </is>
      </c>
      <c r="I1764" t="n">
        <v>7.3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31030-2026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46213</v>
      </c>
      <c r="E1765" s="1" t="n">
        <v>46307</v>
      </c>
      <c r="F1765" t="inlineStr">
        <is>
          <t>GÄVLEBORGS LÄN</t>
        </is>
      </c>
      <c r="G1765" t="inlineStr">
        <is>
          <t>BOLLNÄS</t>
        </is>
      </c>
      <c r="I1765" t="n">
        <v>3.1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30900-2026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46213</v>
      </c>
      <c r="E1766" s="1" t="n">
        <v>46307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30916-2026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46213</v>
      </c>
      <c r="E1767" s="1" t="n">
        <v>46307</v>
      </c>
      <c r="F1767" t="inlineStr">
        <is>
          <t>GÄVLEBORGS LÄN</t>
        </is>
      </c>
      <c r="G1767" t="inlineStr">
        <is>
          <t>BOLLNÄS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31130-2026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46216</v>
      </c>
      <c r="E1768" s="1" t="n">
        <v>46307</v>
      </c>
      <c r="F1768" t="inlineStr">
        <is>
          <t>GÄVLEBORGS LÄN</t>
        </is>
      </c>
      <c r="G1768" t="inlineStr">
        <is>
          <t>BOLLNÄS</t>
        </is>
      </c>
      <c r="I1768" t="n">
        <v>4.4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30776-2026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46307</v>
      </c>
      <c r="F1769" t="inlineStr">
        <is>
          <t>GÄVLEBORGS LÄN</t>
        </is>
      </c>
      <c r="G1769" t="inlineStr">
        <is>
          <t>BOLLNÄS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30763-2026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46212</v>
      </c>
      <c r="E1770" s="1" t="n">
        <v>46307</v>
      </c>
      <c r="F1770" t="inlineStr">
        <is>
          <t>GÄVLEBORGS LÄN</t>
        </is>
      </c>
      <c r="G1770" t="inlineStr">
        <is>
          <t>BOLLNÄS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30785-2026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46212</v>
      </c>
      <c r="E1771" s="1" t="n">
        <v>46307</v>
      </c>
      <c r="F1771" t="inlineStr">
        <is>
          <t>GÄVLEBORGS LÄN</t>
        </is>
      </c>
      <c r="G1771" t="inlineStr">
        <is>
          <t>BOLLNÄS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30788-2026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46212</v>
      </c>
      <c r="E1772" s="1" t="n">
        <v>46307</v>
      </c>
      <c r="F1772" t="inlineStr">
        <is>
          <t>GÄVLEBORGS LÄN</t>
        </is>
      </c>
      <c r="G1772" t="inlineStr">
        <is>
          <t>BOLLNÄS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30777-2026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46212</v>
      </c>
      <c r="E1773" s="1" t="n">
        <v>46307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30787-2026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46212</v>
      </c>
      <c r="E1774" s="1" t="n">
        <v>46307</v>
      </c>
      <c r="F1774" t="inlineStr">
        <is>
          <t>GÄVLEBORGS LÄN</t>
        </is>
      </c>
      <c r="G1774" t="inlineStr">
        <is>
          <t>BOLLNÄS</t>
        </is>
      </c>
      <c r="I1774" t="n">
        <v>3.7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46307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30786-2026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46212</v>
      </c>
      <c r="E1776" s="1" t="n">
        <v>46307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28418-2026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46307</v>
      </c>
      <c r="F1777" t="inlineStr">
        <is>
          <t>GÄVLEBORGS LÄN</t>
        </is>
      </c>
      <c r="G1777" t="inlineStr">
        <is>
          <t>BOLLNÄS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21647-2026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46149</v>
      </c>
      <c r="E1778" s="1" t="n">
        <v>46307</v>
      </c>
      <c r="F1778" t="inlineStr">
        <is>
          <t>GÄVLEBORGS LÄN</t>
        </is>
      </c>
      <c r="G1778" t="inlineStr">
        <is>
          <t>BOLLNÄS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246-2026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46027</v>
      </c>
      <c r="E1779" s="1" t="n">
        <v>46307</v>
      </c>
      <c r="F1779" t="inlineStr">
        <is>
          <t>GÄVLEBORGS LÄN</t>
        </is>
      </c>
      <c r="G1779" t="inlineStr">
        <is>
          <t>BOLLNÄS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15447-2026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46106</v>
      </c>
      <c r="E1780" s="1" t="n">
        <v>46307</v>
      </c>
      <c r="F1780" t="inlineStr">
        <is>
          <t>GÄVLEBORGS LÄN</t>
        </is>
      </c>
      <c r="G1780" t="inlineStr">
        <is>
          <t>BOLLNÄS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44625-2023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45189</v>
      </c>
      <c r="E1781" s="1" t="n">
        <v>46307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31498-2026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46223</v>
      </c>
      <c r="E1782" s="1" t="n">
        <v>46307</v>
      </c>
      <c r="F1782" t="inlineStr">
        <is>
          <t>GÄVLEBORGS LÄN</t>
        </is>
      </c>
      <c r="G1782" t="inlineStr">
        <is>
          <t>BOLLNÄS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31499-2026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46223</v>
      </c>
      <c r="E1783" s="1" t="n">
        <v>46307</v>
      </c>
      <c r="F1783" t="inlineStr">
        <is>
          <t>GÄVLEBORGS LÄN</t>
        </is>
      </c>
      <c r="G1783" t="inlineStr">
        <is>
          <t>BOLLNÄS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5926-2026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46052</v>
      </c>
      <c r="E1784" s="1" t="n">
        <v>46307</v>
      </c>
      <c r="F1784" t="inlineStr">
        <is>
          <t>GÄVLEBORGS LÄN</t>
        </is>
      </c>
      <c r="G1784" t="inlineStr">
        <is>
          <t>BOLLNÄS</t>
        </is>
      </c>
      <c r="I1784" t="n">
        <v>16.9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8955-2026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46069</v>
      </c>
      <c r="E1785" s="1" t="n">
        <v>46307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31497-2026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46223</v>
      </c>
      <c r="E1786" s="1" t="n">
        <v>46307</v>
      </c>
      <c r="F1786" t="inlineStr">
        <is>
          <t>GÄVLEBORGS LÄN</t>
        </is>
      </c>
      <c r="G1786" t="inlineStr">
        <is>
          <t>BOLLNÄS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35916-2026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46266</v>
      </c>
      <c r="E1787" s="1" t="n">
        <v>46307</v>
      </c>
      <c r="F1787" t="inlineStr">
        <is>
          <t>GÄVLEBORGS LÄN</t>
        </is>
      </c>
      <c r="G1787" t="inlineStr">
        <is>
          <t>BOLLNÄS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13988-2026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46098</v>
      </c>
      <c r="E1788" s="1" t="n">
        <v>46307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2.8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24110-2026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46168</v>
      </c>
      <c r="E1789" s="1" t="n">
        <v>46307</v>
      </c>
      <c r="F1789" t="inlineStr">
        <is>
          <t>GÄVLEBORGS LÄN</t>
        </is>
      </c>
      <c r="G1789" t="inlineStr">
        <is>
          <t>BOLLNÄS</t>
        </is>
      </c>
      <c r="I1789" t="n">
        <v>2.8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36061-2026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46267</v>
      </c>
      <c r="E1790" s="1" t="n">
        <v>46307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36109-2026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46267</v>
      </c>
      <c r="E1791" s="1" t="n">
        <v>46307</v>
      </c>
      <c r="F1791" t="inlineStr">
        <is>
          <t>GÄVLEBORGS LÄN</t>
        </is>
      </c>
      <c r="G1791" t="inlineStr">
        <is>
          <t>BOLLNÄS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31563-2026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46224</v>
      </c>
      <c r="E1792" s="1" t="n">
        <v>46307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6898-2026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46057</v>
      </c>
      <c r="E1793" s="1" t="n">
        <v>46307</v>
      </c>
      <c r="F1793" t="inlineStr">
        <is>
          <t>GÄVLEBORGS LÄN</t>
        </is>
      </c>
      <c r="G1793" t="inlineStr">
        <is>
          <t>BOLLNÄS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8957-2026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46069</v>
      </c>
      <c r="E1794" s="1" t="n">
        <v>46307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36574-2026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46307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Kommuner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36487-2026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46269</v>
      </c>
      <c r="E1796" s="1" t="n">
        <v>46307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46307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36579-2026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46269</v>
      </c>
      <c r="E1798" s="1" t="n">
        <v>46307</v>
      </c>
      <c r="F1798" t="inlineStr">
        <is>
          <t>GÄVLEBORGS LÄN</t>
        </is>
      </c>
      <c r="G1798" t="inlineStr">
        <is>
          <t>BOLLNÄS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36757-2026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46272</v>
      </c>
      <c r="E1799" s="1" t="n">
        <v>46307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Kommuner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36702-2026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46272</v>
      </c>
      <c r="E1800" s="1" t="n">
        <v>46307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6.5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31789-2026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46227</v>
      </c>
      <c r="E1801" s="1" t="n">
        <v>46307</v>
      </c>
      <c r="F1801" t="inlineStr">
        <is>
          <t>GÄVLEBORGS LÄN</t>
        </is>
      </c>
      <c r="G1801" t="inlineStr">
        <is>
          <t>BOLLNÄS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36772-2026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46272</v>
      </c>
      <c r="E1802" s="1" t="n">
        <v>46307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36528-2026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46269</v>
      </c>
      <c r="E1803" s="1" t="n">
        <v>46307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Sveaskog</t>
        </is>
      </c>
      <c r="I1803" t="n">
        <v>8.699999999999999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36529-2026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46269</v>
      </c>
      <c r="E1804" s="1" t="n">
        <v>46307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36572-2026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46269</v>
      </c>
      <c r="E1805" s="1" t="n">
        <v>46307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Kommuner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36575-2026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46269</v>
      </c>
      <c r="E1806" s="1" t="n">
        <v>46307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36696-2026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46272</v>
      </c>
      <c r="E1807" s="1" t="n">
        <v>46307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36769-2026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46272</v>
      </c>
      <c r="E1808" s="1" t="n">
        <v>46307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12.1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31922-2026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46231</v>
      </c>
      <c r="E1809" s="1" t="n">
        <v>46307</v>
      </c>
      <c r="F1809" t="inlineStr">
        <is>
          <t>GÄVLEBORGS LÄN</t>
        </is>
      </c>
      <c r="G1809" t="inlineStr">
        <is>
          <t>BOLLNÄS</t>
        </is>
      </c>
      <c r="I1809" t="n">
        <v>14.7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37046-2026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46273</v>
      </c>
      <c r="E1810" s="1" t="n">
        <v>46307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36881-2026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46273</v>
      </c>
      <c r="E1811" s="1" t="n">
        <v>46307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3.3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37276-2026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46274</v>
      </c>
      <c r="E1812" s="1" t="n">
        <v>46307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37044-2026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46273</v>
      </c>
      <c r="E1813" s="1" t="n">
        <v>46307</v>
      </c>
      <c r="F1813" t="inlineStr">
        <is>
          <t>GÄVLEBORGS LÄN</t>
        </is>
      </c>
      <c r="G1813" t="inlineStr">
        <is>
          <t>BOLLNÄS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37093-2026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46273</v>
      </c>
      <c r="E1814" s="1" t="n">
        <v>46307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5.2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31809-2026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46230</v>
      </c>
      <c r="E1815" s="1" t="n">
        <v>46307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37272-2026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46274</v>
      </c>
      <c r="E1816" s="1" t="n">
        <v>46307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37659-2026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46276</v>
      </c>
      <c r="E1817" s="1" t="n">
        <v>46307</v>
      </c>
      <c r="F1817" t="inlineStr">
        <is>
          <t>GÄVLEBORGS LÄN</t>
        </is>
      </c>
      <c r="G1817" t="inlineStr">
        <is>
          <t>BOLLNÄS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37368-2026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46275</v>
      </c>
      <c r="E1818" s="1" t="n">
        <v>46307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37559-2026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46276</v>
      </c>
      <c r="E1819" s="1" t="n">
        <v>46307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5.5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37660-2026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46276</v>
      </c>
      <c r="E1820" s="1" t="n">
        <v>46307</v>
      </c>
      <c r="F1820" t="inlineStr">
        <is>
          <t>GÄVLEBORGS LÄN</t>
        </is>
      </c>
      <c r="G1820" t="inlineStr">
        <is>
          <t>BOLLNÄS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37658-2026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46276</v>
      </c>
      <c r="E1821" s="1" t="n">
        <v>46307</v>
      </c>
      <c r="F1821" t="inlineStr">
        <is>
          <t>GÄVLEBORGS LÄN</t>
        </is>
      </c>
      <c r="G1821" t="inlineStr">
        <is>
          <t>BOLLNÄS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37318-2026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46275</v>
      </c>
      <c r="E1822" s="1" t="n">
        <v>46307</v>
      </c>
      <c r="F1822" t="inlineStr">
        <is>
          <t>GÄVLEBORGS LÄN</t>
        </is>
      </c>
      <c r="G1822" t="inlineStr">
        <is>
          <t>BOLLNÄS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37512-2026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46276</v>
      </c>
      <c r="E1823" s="1" t="n">
        <v>46307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13.1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37520-2026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46276</v>
      </c>
      <c r="E1824" s="1" t="n">
        <v>46307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37664-2026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46276</v>
      </c>
      <c r="E1825" s="1" t="n">
        <v>46307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17.2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38033-2026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46280</v>
      </c>
      <c r="E1826" s="1" t="n">
        <v>46307</v>
      </c>
      <c r="F1826" t="inlineStr">
        <is>
          <t>GÄVLEBORGS LÄN</t>
        </is>
      </c>
      <c r="G1826" t="inlineStr">
        <is>
          <t>BOLLNÄS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15814-2026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46107</v>
      </c>
      <c r="E1827" s="1" t="n">
        <v>46307</v>
      </c>
      <c r="F1827" t="inlineStr">
        <is>
          <t>GÄVLEBORGS LÄN</t>
        </is>
      </c>
      <c r="G1827" t="inlineStr">
        <is>
          <t>BOLLNÄS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37732-2026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46279</v>
      </c>
      <c r="E1828" s="1" t="n">
        <v>46307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46307</v>
      </c>
      <c r="F1829" t="inlineStr">
        <is>
          <t>GÄVLEBORGS LÄN</t>
        </is>
      </c>
      <c r="G1829" t="inlineStr">
        <is>
          <t>BOLLNÄS</t>
        </is>
      </c>
      <c r="I1829" t="n">
        <v>10.1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37939-2026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46280</v>
      </c>
      <c r="E1830" s="1" t="n">
        <v>46307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46307</v>
      </c>
      <c r="F1831" t="inlineStr">
        <is>
          <t>GÄVLEBORGS LÄN</t>
        </is>
      </c>
      <c r="G1831" t="inlineStr">
        <is>
          <t>BOLLNÄS</t>
        </is>
      </c>
      <c r="I1831" t="n">
        <v>2.6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16937-2026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46113</v>
      </c>
      <c r="E1832" s="1" t="n">
        <v>46307</v>
      </c>
      <c r="F1832" t="inlineStr">
        <is>
          <t>GÄVLEBORGS LÄN</t>
        </is>
      </c>
      <c r="G1832" t="inlineStr">
        <is>
          <t>BOLLNÄS</t>
        </is>
      </c>
      <c r="I1832" t="n">
        <v>14.2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37980-2026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46280</v>
      </c>
      <c r="E1833" s="1" t="n">
        <v>46307</v>
      </c>
      <c r="F1833" t="inlineStr">
        <is>
          <t>GÄVLEBORGS LÄN</t>
        </is>
      </c>
      <c r="G1833" t="inlineStr">
        <is>
          <t>BOLLNÄS</t>
        </is>
      </c>
      <c r="I1833" t="n">
        <v>2.2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20412-2026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46140</v>
      </c>
      <c r="E1834" s="1" t="n">
        <v>46307</v>
      </c>
      <c r="F1834" t="inlineStr">
        <is>
          <t>GÄVLEBORGS LÄN</t>
        </is>
      </c>
      <c r="G1834" t="inlineStr">
        <is>
          <t>BOLLNÄS</t>
        </is>
      </c>
      <c r="I1834" t="n">
        <v>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37691-2026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46279</v>
      </c>
      <c r="E1835" s="1" t="n">
        <v>46307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32386-2026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46238</v>
      </c>
      <c r="E1836" s="1" t="n">
        <v>46307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38125-2026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46281</v>
      </c>
      <c r="E1837" s="1" t="n">
        <v>46307</v>
      </c>
      <c r="F1837" t="inlineStr">
        <is>
          <t>GÄVLEBORGS LÄN</t>
        </is>
      </c>
      <c r="G1837" t="inlineStr">
        <is>
          <t>BOLLNÄS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38367-2026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46282</v>
      </c>
      <c r="E1838" s="1" t="n">
        <v>46307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32463-2026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46239</v>
      </c>
      <c r="E1839" s="1" t="n">
        <v>46307</v>
      </c>
      <c r="F1839" t="inlineStr">
        <is>
          <t>GÄVLEBORGS LÄN</t>
        </is>
      </c>
      <c r="G1839" t="inlineStr">
        <is>
          <t>BOLLNÄS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32484-2026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46239</v>
      </c>
      <c r="E1840" s="1" t="n">
        <v>46307</v>
      </c>
      <c r="F1840" t="inlineStr">
        <is>
          <t>GÄVLEBORGS LÄN</t>
        </is>
      </c>
      <c r="G1840" t="inlineStr">
        <is>
          <t>BOLLNÄS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38402-2026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46282</v>
      </c>
      <c r="E1841" s="1" t="n">
        <v>46307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3.4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38434-2026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46282</v>
      </c>
      <c r="E1842" s="1" t="n">
        <v>46307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Sveaskog</t>
        </is>
      </c>
      <c r="I1842" t="n">
        <v>8.699999999999999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38403-2026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46282</v>
      </c>
      <c r="E1843" s="1" t="n">
        <v>46307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32455-2026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46239</v>
      </c>
      <c r="E1844" s="1" t="n">
        <v>46307</v>
      </c>
      <c r="F1844" t="inlineStr">
        <is>
          <t>GÄVLEBORGS LÄN</t>
        </is>
      </c>
      <c r="G1844" t="inlineStr">
        <is>
          <t>BOLLNÄS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32478-2026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46239</v>
      </c>
      <c r="E1845" s="1" t="n">
        <v>46307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38717-2026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46284</v>
      </c>
      <c r="E1846" s="1" t="n">
        <v>46307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32704-2026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46241</v>
      </c>
      <c r="E1847" s="1" t="n">
        <v>46307</v>
      </c>
      <c r="F1847" t="inlineStr">
        <is>
          <t>GÄVLEBORGS LÄN</t>
        </is>
      </c>
      <c r="G1847" t="inlineStr">
        <is>
          <t>BOLLNÄS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38887-2026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46286</v>
      </c>
      <c r="E1848" s="1" t="n">
        <v>46307</v>
      </c>
      <c r="F1848" t="inlineStr">
        <is>
          <t>GÄVLEBORGS LÄN</t>
        </is>
      </c>
      <c r="G1848" t="inlineStr">
        <is>
          <t>BOLLNÄS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32605-2026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46240</v>
      </c>
      <c r="E1849" s="1" t="n">
        <v>46307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38796-2026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46307</v>
      </c>
      <c r="F1850" t="inlineStr">
        <is>
          <t>GÄVLEBORGS LÄN</t>
        </is>
      </c>
      <c r="G1850" t="inlineStr">
        <is>
          <t>BOLLNÄS</t>
        </is>
      </c>
      <c r="I1850" t="n">
        <v>6.1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36979-2026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46273</v>
      </c>
      <c r="E1851" s="1" t="n">
        <v>46307</v>
      </c>
      <c r="F1851" t="inlineStr">
        <is>
          <t>GÄVLEBORGS LÄN</t>
        </is>
      </c>
      <c r="G1851" t="inlineStr">
        <is>
          <t>BOLLNÄS</t>
        </is>
      </c>
      <c r="I1851" t="n">
        <v>5.1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38895-2026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46286</v>
      </c>
      <c r="E1852" s="1" t="n">
        <v>46307</v>
      </c>
      <c r="F1852" t="inlineStr">
        <is>
          <t>GÄVLEBORGS LÄN</t>
        </is>
      </c>
      <c r="G1852" t="inlineStr">
        <is>
          <t>BOLLNÄS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38610-2026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46283</v>
      </c>
      <c r="E1853" s="1" t="n">
        <v>46307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38555-2026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46283</v>
      </c>
      <c r="E1854" s="1" t="n">
        <v>46307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Sveaskog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38559-2026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46283</v>
      </c>
      <c r="E1855" s="1" t="n">
        <v>46307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38607-2026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46283</v>
      </c>
      <c r="E1856" s="1" t="n">
        <v>46307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36913-2026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46273</v>
      </c>
      <c r="E1857" s="1" t="n">
        <v>46307</v>
      </c>
      <c r="F1857" t="inlineStr">
        <is>
          <t>GÄVLEBORGS LÄN</t>
        </is>
      </c>
      <c r="G1857" t="inlineStr">
        <is>
          <t>BOLLNÄS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36970-2026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46273</v>
      </c>
      <c r="E1858" s="1" t="n">
        <v>46307</v>
      </c>
      <c r="F1858" t="inlineStr">
        <is>
          <t>GÄVLEBORGS LÄN</t>
        </is>
      </c>
      <c r="G1858" t="inlineStr">
        <is>
          <t>BOLLNÄS</t>
        </is>
      </c>
      <c r="I1858" t="n">
        <v>5.3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38894-2026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46286</v>
      </c>
      <c r="E1859" s="1" t="n">
        <v>46307</v>
      </c>
      <c r="F1859" t="inlineStr">
        <is>
          <t>GÄVLEBORGS LÄN</t>
        </is>
      </c>
      <c r="G1859" t="inlineStr">
        <is>
          <t>BOLLNÄS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26528-2026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46183</v>
      </c>
      <c r="E1860" s="1" t="n">
        <v>46307</v>
      </c>
      <c r="F1860" t="inlineStr">
        <is>
          <t>GÄVLEBORGS LÄN</t>
        </is>
      </c>
      <c r="G1860" t="inlineStr">
        <is>
          <t>BOLLNÄS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39308-2026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46288</v>
      </c>
      <c r="E1861" s="1" t="n">
        <v>46307</v>
      </c>
      <c r="F1861" t="inlineStr">
        <is>
          <t>GÄVLEBORGS LÄN</t>
        </is>
      </c>
      <c r="G1861" t="inlineStr">
        <is>
          <t>BOLLNÄS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12010-2026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46085</v>
      </c>
      <c r="E1862" s="1" t="n">
        <v>46307</v>
      </c>
      <c r="F1862" t="inlineStr">
        <is>
          <t>GÄVLEBORGS LÄN</t>
        </is>
      </c>
      <c r="G1862" t="inlineStr">
        <is>
          <t>BOLLNÄS</t>
        </is>
      </c>
      <c r="I1862" t="n">
        <v>3.3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64043-2025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46021</v>
      </c>
      <c r="E1863" s="1" t="n">
        <v>46307</v>
      </c>
      <c r="F1863" t="inlineStr">
        <is>
          <t>GÄVLEBORGS LÄN</t>
        </is>
      </c>
      <c r="G1863" t="inlineStr">
        <is>
          <t>BOLLNÄS</t>
        </is>
      </c>
      <c r="I1863" t="n">
        <v>17.6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1515-2026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46034</v>
      </c>
      <c r="E1864" s="1" t="n">
        <v>46307</v>
      </c>
      <c r="F1864" t="inlineStr">
        <is>
          <t>GÄVLEBORGS LÄN</t>
        </is>
      </c>
      <c r="G1864" t="inlineStr">
        <is>
          <t>BOLLNÄS</t>
        </is>
      </c>
      <c r="I1864" t="n">
        <v>16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32898-2026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46244</v>
      </c>
      <c r="E1865" s="1" t="n">
        <v>46307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27322-2026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46188</v>
      </c>
      <c r="E1866" s="1" t="n">
        <v>46307</v>
      </c>
      <c r="F1866" t="inlineStr">
        <is>
          <t>GÄVLEBORGS LÄN</t>
        </is>
      </c>
      <c r="G1866" t="inlineStr">
        <is>
          <t>BOLLNÄS</t>
        </is>
      </c>
      <c r="I1866" t="n">
        <v>6.4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33390-2026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46247</v>
      </c>
      <c r="E1867" s="1" t="n">
        <v>46307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39592-2026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46289</v>
      </c>
      <c r="E1868" s="1" t="n">
        <v>46307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Sveaskog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39851-2026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46290</v>
      </c>
      <c r="E1869" s="1" t="n">
        <v>46307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Sveaskog</t>
        </is>
      </c>
      <c r="I1869" t="n">
        <v>4.5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34405-2026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46254</v>
      </c>
      <c r="E1870" s="1" t="n">
        <v>46307</v>
      </c>
      <c r="F1870" t="inlineStr">
        <is>
          <t>GÄVLEBORGS LÄN</t>
        </is>
      </c>
      <c r="G1870" t="inlineStr">
        <is>
          <t>BOLLNÄS</t>
        </is>
      </c>
      <c r="I1870" t="n">
        <v>41.4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39568-2026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46289</v>
      </c>
      <c r="E1871" s="1" t="n">
        <v>46307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22193-2026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46153</v>
      </c>
      <c r="E1872" s="1" t="n">
        <v>46307</v>
      </c>
      <c r="F1872" t="inlineStr">
        <is>
          <t>GÄVLEBORGS LÄN</t>
        </is>
      </c>
      <c r="G1872" t="inlineStr">
        <is>
          <t>BOLLNÄS</t>
        </is>
      </c>
      <c r="I1872" t="n">
        <v>3.3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9187-2026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46070</v>
      </c>
      <c r="E1873" s="1" t="n">
        <v>46307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40212-2026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46307</v>
      </c>
      <c r="F1874" t="inlineStr">
        <is>
          <t>GÄVLEBORGS LÄN</t>
        </is>
      </c>
      <c r="G1874" t="inlineStr">
        <is>
          <t>BOLLNÄS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46038</v>
      </c>
      <c r="E1875" s="1" t="n">
        <v>46307</v>
      </c>
      <c r="F1875" t="inlineStr">
        <is>
          <t>GÄVLEBORGS LÄN</t>
        </is>
      </c>
      <c r="G1875" t="inlineStr">
        <is>
          <t>BOLLNÄS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46307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5.8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19643-2026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46134</v>
      </c>
      <c r="E1877" s="1" t="n">
        <v>46307</v>
      </c>
      <c r="F1877" t="inlineStr">
        <is>
          <t>GÄVLEBORGS LÄN</t>
        </is>
      </c>
      <c r="G1877" t="inlineStr">
        <is>
          <t>BOLLNÄS</t>
        </is>
      </c>
      <c r="I1877" t="n">
        <v>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23288-2026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46162</v>
      </c>
      <c r="E1878" s="1" t="n">
        <v>46307</v>
      </c>
      <c r="F1878" t="inlineStr">
        <is>
          <t>GÄVLEBORGS LÄN</t>
        </is>
      </c>
      <c r="G1878" t="inlineStr">
        <is>
          <t>BOLLNÄS</t>
        </is>
      </c>
      <c r="I1878" t="n">
        <v>5.6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2292-2026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46036</v>
      </c>
      <c r="E1879" s="1" t="n">
        <v>46307</v>
      </c>
      <c r="F1879" t="inlineStr">
        <is>
          <t>GÄVLEBORGS LÄN</t>
        </is>
      </c>
      <c r="G1879" t="inlineStr">
        <is>
          <t>BOLLNÄS</t>
        </is>
      </c>
      <c r="I1879" t="n">
        <v>13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46036</v>
      </c>
      <c r="E1880" s="1" t="n">
        <v>46307</v>
      </c>
      <c r="F1880" t="inlineStr">
        <is>
          <t>GÄVLEBORGS LÄN</t>
        </is>
      </c>
      <c r="G1880" t="inlineStr">
        <is>
          <t>BOLLNÄS</t>
        </is>
      </c>
      <c r="I1880" t="n">
        <v>8.6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7884-2026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46063</v>
      </c>
      <c r="E1881" s="1" t="n">
        <v>46307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7.6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8580-2026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46065</v>
      </c>
      <c r="E1882" s="1" t="n">
        <v>46307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10213-2026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46076</v>
      </c>
      <c r="E1883" s="1" t="n">
        <v>46307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13878-2026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46098</v>
      </c>
      <c r="E1884" s="1" t="n">
        <v>46307</v>
      </c>
      <c r="F1884" t="inlineStr">
        <is>
          <t>GÄVLEBORGS LÄN</t>
        </is>
      </c>
      <c r="G1884" t="inlineStr">
        <is>
          <t>BOLLNÄS</t>
        </is>
      </c>
      <c r="I1884" t="n">
        <v>8.699999999999999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16051-2026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46108</v>
      </c>
      <c r="E1885" s="1" t="n">
        <v>46307</v>
      </c>
      <c r="F1885" t="inlineStr">
        <is>
          <t>GÄVLEBORGS LÄN</t>
        </is>
      </c>
      <c r="G1885" t="inlineStr">
        <is>
          <t>BOLLNÄS</t>
        </is>
      </c>
      <c r="I1885" t="n">
        <v>14.9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23885-2026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46167</v>
      </c>
      <c r="E1886" s="1" t="n">
        <v>46307</v>
      </c>
      <c r="F1886" t="inlineStr">
        <is>
          <t>GÄVLEBORGS LÄN</t>
        </is>
      </c>
      <c r="G1886" t="inlineStr">
        <is>
          <t>BOLLNÄS</t>
        </is>
      </c>
      <c r="I1886" t="n">
        <v>16.3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33869-2026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46251</v>
      </c>
      <c r="E1887" s="1" t="n">
        <v>46307</v>
      </c>
      <c r="F1887" t="inlineStr">
        <is>
          <t>GÄVLEBORGS LÄN</t>
        </is>
      </c>
      <c r="G1887" t="inlineStr">
        <is>
          <t>BOLLNÄS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1647-2026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46034</v>
      </c>
      <c r="E1888" s="1" t="n">
        <v>46307</v>
      </c>
      <c r="F1888" t="inlineStr">
        <is>
          <t>GÄVLEBORGS LÄN</t>
        </is>
      </c>
      <c r="G1888" t="inlineStr">
        <is>
          <t>BOLLNÄS</t>
        </is>
      </c>
      <c r="I1888" t="n">
        <v>6.1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40190-2026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46293</v>
      </c>
      <c r="E1889" s="1" t="n">
        <v>46307</v>
      </c>
      <c r="F1889" t="inlineStr">
        <is>
          <t>GÄVLEBORGS LÄN</t>
        </is>
      </c>
      <c r="G1889" t="inlineStr">
        <is>
          <t>BOLLNÄS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39077-2026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46287</v>
      </c>
      <c r="E1890" s="1" t="n">
        <v>46307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38881-2026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46286</v>
      </c>
      <c r="E1891" s="1" t="n">
        <v>46307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Kyrkan</t>
        </is>
      </c>
      <c r="I1891" t="n">
        <v>7.2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40111-2026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46293</v>
      </c>
      <c r="E1892" s="1" t="n">
        <v>46307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6.2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23268-2026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46162</v>
      </c>
      <c r="E1893" s="1" t="n">
        <v>46307</v>
      </c>
      <c r="F1893" t="inlineStr">
        <is>
          <t>GÄVLEBORGS LÄN</t>
        </is>
      </c>
      <c r="G1893" t="inlineStr">
        <is>
          <t>BOLLNÄS</t>
        </is>
      </c>
      <c r="I1893" t="n">
        <v>3.6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23272-2026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46162</v>
      </c>
      <c r="E1894" s="1" t="n">
        <v>46307</v>
      </c>
      <c r="F1894" t="inlineStr">
        <is>
          <t>GÄVLEBORGS LÄN</t>
        </is>
      </c>
      <c r="G1894" t="inlineStr">
        <is>
          <t>BOLLNÄS</t>
        </is>
      </c>
      <c r="I1894" t="n">
        <v>6.7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23278-2026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46162</v>
      </c>
      <c r="E1895" s="1" t="n">
        <v>46307</v>
      </c>
      <c r="F1895" t="inlineStr">
        <is>
          <t>GÄVLEBORGS LÄN</t>
        </is>
      </c>
      <c r="G1895" t="inlineStr">
        <is>
          <t>BOLLNÄS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25209-2026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46175</v>
      </c>
      <c r="E1896" s="1" t="n">
        <v>46307</v>
      </c>
      <c r="F1896" t="inlineStr">
        <is>
          <t>GÄVLEBORGS LÄN</t>
        </is>
      </c>
      <c r="G1896" t="inlineStr">
        <is>
          <t>BOLLNÄS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33589-2026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46248</v>
      </c>
      <c r="E1897" s="1" t="n">
        <v>46307</v>
      </c>
      <c r="F1897" t="inlineStr">
        <is>
          <t>GÄVLEBORGS LÄN</t>
        </is>
      </c>
      <c r="G1897" t="inlineStr">
        <is>
          <t>BOLLNÄS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40383-2026</t>
        </is>
      </c>
      <c r="B1898" t="inlineStr">
        <is>
          <t>avverkningsanmälan</t>
        </is>
      </c>
      <c r="C1898" t="inlineStr">
        <is>
          <t>Avverkning för att bevara och utveckla /försöksver</t>
        </is>
      </c>
      <c r="D1898" s="1" t="n">
        <v>46294</v>
      </c>
      <c r="E1898" s="1" t="n">
        <v>46307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Sveaskog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46307</v>
      </c>
      <c r="F1899" t="inlineStr">
        <is>
          <t>GÄVLEBORGS LÄN</t>
        </is>
      </c>
      <c r="G1899" t="inlineStr">
        <is>
          <t>BOLLNÄS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23256-2026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46307</v>
      </c>
      <c r="F1900" t="inlineStr">
        <is>
          <t>GÄVLEBORGS LÄN</t>
        </is>
      </c>
      <c r="G1900" t="inlineStr">
        <is>
          <t>BOLLNÄS</t>
        </is>
      </c>
      <c r="I1900" t="n">
        <v>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23276-2026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46162</v>
      </c>
      <c r="E1901" s="1" t="n">
        <v>46307</v>
      </c>
      <c r="F1901" t="inlineStr">
        <is>
          <t>GÄVLEBORGS LÄN</t>
        </is>
      </c>
      <c r="G1901" t="inlineStr">
        <is>
          <t>BOLLNÄS</t>
        </is>
      </c>
      <c r="I1901" t="n">
        <v>7.1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23277-2026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46162</v>
      </c>
      <c r="E1902" s="1" t="n">
        <v>46307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25455-2026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46177</v>
      </c>
      <c r="E1903" s="1" t="n">
        <v>46307</v>
      </c>
      <c r="F1903" t="inlineStr">
        <is>
          <t>GÄVLEBORGS LÄN</t>
        </is>
      </c>
      <c r="G1903" t="inlineStr">
        <is>
          <t>BOLLNÄS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24953-2026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46174</v>
      </c>
      <c r="E1904" s="1" t="n">
        <v>46307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Kommuner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4300-2026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46045</v>
      </c>
      <c r="E1905" s="1" t="n">
        <v>46307</v>
      </c>
      <c r="F1905" t="inlineStr">
        <is>
          <t>GÄVLEBORGS LÄN</t>
        </is>
      </c>
      <c r="G1905" t="inlineStr">
        <is>
          <t>BOLLNÄS</t>
        </is>
      </c>
      <c r="I1905" t="n">
        <v>8.699999999999999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5178-2026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46049</v>
      </c>
      <c r="E1906" s="1" t="n">
        <v>46307</v>
      </c>
      <c r="F1906" t="inlineStr">
        <is>
          <t>GÄVLEBORGS LÄN</t>
        </is>
      </c>
      <c r="G1906" t="inlineStr">
        <is>
          <t>BOLLNÄS</t>
        </is>
      </c>
      <c r="I1906" t="n">
        <v>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33588-2026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46248</v>
      </c>
      <c r="E1907" s="1" t="n">
        <v>46307</v>
      </c>
      <c r="F1907" t="inlineStr">
        <is>
          <t>GÄVLEBORGS LÄN</t>
        </is>
      </c>
      <c r="G1907" t="inlineStr">
        <is>
          <t>BOLLNÄS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33496-2026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46248</v>
      </c>
      <c r="E1908" s="1" t="n">
        <v>46307</v>
      </c>
      <c r="F1908" t="inlineStr">
        <is>
          <t>GÄVLEBORGS LÄN</t>
        </is>
      </c>
      <c r="G1908" t="inlineStr">
        <is>
          <t>BOLLNÄS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40123-2026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46293</v>
      </c>
      <c r="E1909" s="1" t="n">
        <v>46307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15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24889-2026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46307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19926-2026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46136</v>
      </c>
      <c r="E1911" s="1" t="n">
        <v>46307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23897-2026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46167</v>
      </c>
      <c r="E1912" s="1" t="n">
        <v>46307</v>
      </c>
      <c r="F1912" t="inlineStr">
        <is>
          <t>GÄVLEBORGS LÄN</t>
        </is>
      </c>
      <c r="G1912" t="inlineStr">
        <is>
          <t>BOLLNÄS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2361-2026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46036</v>
      </c>
      <c r="E1913" s="1" t="n">
        <v>46307</v>
      </c>
      <c r="F1913" t="inlineStr">
        <is>
          <t>GÄVLEBORGS LÄN</t>
        </is>
      </c>
      <c r="G1913" t="inlineStr">
        <is>
          <t>BOLLNÄS</t>
        </is>
      </c>
      <c r="I1913" t="n">
        <v>1.9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23273-2026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46307</v>
      </c>
      <c r="F1914" t="inlineStr">
        <is>
          <t>GÄVLEBORGS LÄN</t>
        </is>
      </c>
      <c r="G1914" t="inlineStr">
        <is>
          <t>BOLLNÄS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23291-2026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46162</v>
      </c>
      <c r="E1915" s="1" t="n">
        <v>46307</v>
      </c>
      <c r="F1915" t="inlineStr">
        <is>
          <t>GÄVLEBORGS LÄN</t>
        </is>
      </c>
      <c r="G1915" t="inlineStr">
        <is>
          <t>BOLLNÄS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34140-2026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46307</v>
      </c>
      <c r="F1916" t="inlineStr">
        <is>
          <t>GÄVLEBORGS LÄN</t>
        </is>
      </c>
      <c r="G1916" t="inlineStr">
        <is>
          <t>BOLLNÄS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40771-2026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46296</v>
      </c>
      <c r="E1917" s="1" t="n">
        <v>46307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Sveaskog</t>
        </is>
      </c>
      <c r="I1917" t="n">
        <v>6.2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33956-2026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46252</v>
      </c>
      <c r="E1918" s="1" t="n">
        <v>46307</v>
      </c>
      <c r="F1918" t="inlineStr">
        <is>
          <t>GÄVLEBORGS LÄN</t>
        </is>
      </c>
      <c r="G1918" t="inlineStr">
        <is>
          <t>BOLLNÄS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33740-2026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46251</v>
      </c>
      <c r="E1919" s="1" t="n">
        <v>46307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33742-2026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46251</v>
      </c>
      <c r="E1920" s="1" t="n">
        <v>46307</v>
      </c>
      <c r="F1920" t="inlineStr">
        <is>
          <t>GÄVLEBORGS LÄN</t>
        </is>
      </c>
      <c r="G1920" t="inlineStr">
        <is>
          <t>BOLLNÄS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34129-2026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46253</v>
      </c>
      <c r="E1921" s="1" t="n">
        <v>46307</v>
      </c>
      <c r="F1921" t="inlineStr">
        <is>
          <t>GÄVLEBORGS LÄN</t>
        </is>
      </c>
      <c r="G1921" t="inlineStr">
        <is>
          <t>BOLLNÄS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34107-2026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46253</v>
      </c>
      <c r="E1922" s="1" t="n">
        <v>46307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34069-2026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46252</v>
      </c>
      <c r="E1923" s="1" t="n">
        <v>46307</v>
      </c>
      <c r="F1923" t="inlineStr">
        <is>
          <t>GÄVLEBORGS LÄN</t>
        </is>
      </c>
      <c r="G1923" t="inlineStr">
        <is>
          <t>BOLLNÄS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41201-2026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46300</v>
      </c>
      <c r="E1924" s="1" t="n">
        <v>46307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58100-2025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45982</v>
      </c>
      <c r="E1925" s="1" t="n">
        <v>46307</v>
      </c>
      <c r="F1925" t="inlineStr">
        <is>
          <t>GÄVLEBORGS LÄN</t>
        </is>
      </c>
      <c r="G1925" t="inlineStr">
        <is>
          <t>BOLLNÄS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32968-2026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46244</v>
      </c>
      <c r="E1926" s="1" t="n">
        <v>46307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41000-2026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46297</v>
      </c>
      <c r="E1927" s="1" t="n">
        <v>46307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Kyrkan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29691-2026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46307</v>
      </c>
      <c r="F1928" t="inlineStr">
        <is>
          <t>GÄVLEBORGS LÄN</t>
        </is>
      </c>
      <c r="G1928" t="inlineStr">
        <is>
          <t>BOLLNÄS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8669-2026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46066</v>
      </c>
      <c r="E1929" s="1" t="n">
        <v>46307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19750-2026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46135</v>
      </c>
      <c r="E1930" s="1" t="n">
        <v>46307</v>
      </c>
      <c r="F1930" t="inlineStr">
        <is>
          <t>GÄVLEBORGS LÄN</t>
        </is>
      </c>
      <c r="G1930" t="inlineStr">
        <is>
          <t>BOLLNÄS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6169-2026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46055</v>
      </c>
      <c r="E1931" s="1" t="n">
        <v>46307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14758-2026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46101</v>
      </c>
      <c r="E1932" s="1" t="n">
        <v>46307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32908-2026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46244</v>
      </c>
      <c r="E1933" s="1" t="n">
        <v>46307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22489-2026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46155</v>
      </c>
      <c r="E1934" s="1" t="n">
        <v>46307</v>
      </c>
      <c r="F1934" t="inlineStr">
        <is>
          <t>GÄVLEBORGS LÄN</t>
        </is>
      </c>
      <c r="G1934" t="inlineStr">
        <is>
          <t>BOLLNÄS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22503-2026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46155</v>
      </c>
      <c r="E1935" s="1" t="n">
        <v>46307</v>
      </c>
      <c r="F1935" t="inlineStr">
        <is>
          <t>GÄVLEBORGS LÄN</t>
        </is>
      </c>
      <c r="G1935" t="inlineStr">
        <is>
          <t>BOLLNÄS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20228-2026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46139</v>
      </c>
      <c r="E1936" s="1" t="n">
        <v>46307</v>
      </c>
      <c r="F1936" t="inlineStr">
        <is>
          <t>GÄVLEBORGS LÄN</t>
        </is>
      </c>
      <c r="G1936" t="inlineStr">
        <is>
          <t>BOLLNÄS</t>
        </is>
      </c>
      <c r="I1936" t="n">
        <v>13.5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12951-2026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46092</v>
      </c>
      <c r="E1937" s="1" t="n">
        <v>46307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Sveaskog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20086-2026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46136</v>
      </c>
      <c r="E1938" s="1" t="n">
        <v>46307</v>
      </c>
      <c r="F1938" t="inlineStr">
        <is>
          <t>GÄVLEBORGS LÄN</t>
        </is>
      </c>
      <c r="G1938" t="inlineStr">
        <is>
          <t>BOLLNÄS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20726-2026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46141</v>
      </c>
      <c r="E1939" s="1" t="n">
        <v>46307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Kyrkan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14252-2026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46099</v>
      </c>
      <c r="E1940" s="1" t="n">
        <v>46307</v>
      </c>
      <c r="F1940" t="inlineStr">
        <is>
          <t>GÄVLEBORGS LÄN</t>
        </is>
      </c>
      <c r="G1940" t="inlineStr">
        <is>
          <t>BOLLNÄS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19861-2026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46135</v>
      </c>
      <c r="E1941" s="1" t="n">
        <v>46307</v>
      </c>
      <c r="F1941" t="inlineStr">
        <is>
          <t>GÄVLEBORGS LÄN</t>
        </is>
      </c>
      <c r="G1941" t="inlineStr">
        <is>
          <t>BOLLNÄS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21696-2026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46149</v>
      </c>
      <c r="E1942" s="1" t="n">
        <v>46307</v>
      </c>
      <c r="F1942" t="inlineStr">
        <is>
          <t>GÄVLEBORGS LÄN</t>
        </is>
      </c>
      <c r="G1942" t="inlineStr">
        <is>
          <t>BOLLNÄS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21671-2026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46149</v>
      </c>
      <c r="E1943" s="1" t="n">
        <v>46307</v>
      </c>
      <c r="F1943" t="inlineStr">
        <is>
          <t>GÄVLEBORGS LÄN</t>
        </is>
      </c>
      <c r="G1943" t="inlineStr">
        <is>
          <t>BOLLNÄS</t>
        </is>
      </c>
      <c r="I1943" t="n">
        <v>8.300000000000001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21695-2026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46149</v>
      </c>
      <c r="E1944" s="1" t="n">
        <v>46307</v>
      </c>
      <c r="F1944" t="inlineStr">
        <is>
          <t>GÄVLEBORGS LÄN</t>
        </is>
      </c>
      <c r="G1944" t="inlineStr">
        <is>
          <t>BOLLNÄS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21700-2026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46307</v>
      </c>
      <c r="F1945" t="inlineStr">
        <is>
          <t>GÄVLEBORGS LÄN</t>
        </is>
      </c>
      <c r="G1945" t="inlineStr">
        <is>
          <t>BOLLNÄS</t>
        </is>
      </c>
      <c r="I1945" t="n">
        <v>4.5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61612-2025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46002</v>
      </c>
      <c r="E1946" s="1" t="n">
        <v>46307</v>
      </c>
      <c r="F1946" t="inlineStr">
        <is>
          <t>GÄVLEBORGS LÄN</t>
        </is>
      </c>
      <c r="G1946" t="inlineStr">
        <is>
          <t>BOLLNÄS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61622-2025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46002</v>
      </c>
      <c r="E1947" s="1" t="n">
        <v>46307</v>
      </c>
      <c r="F1947" t="inlineStr">
        <is>
          <t>GÄVLEBORGS LÄN</t>
        </is>
      </c>
      <c r="G1947" t="inlineStr">
        <is>
          <t>BOLLNÄS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21790-2026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46150</v>
      </c>
      <c r="E1948" s="1" t="n">
        <v>46307</v>
      </c>
      <c r="F1948" t="inlineStr">
        <is>
          <t>GÄVLEBORGS LÄN</t>
        </is>
      </c>
      <c r="G1948" t="inlineStr">
        <is>
          <t>BOLLNÄS</t>
        </is>
      </c>
      <c r="I1948" t="n">
        <v>4.1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34461-2026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46254</v>
      </c>
      <c r="E1949" s="1" t="n">
        <v>46307</v>
      </c>
      <c r="F1949" t="inlineStr">
        <is>
          <t>GÄVLEBORGS LÄN</t>
        </is>
      </c>
      <c r="G1949" t="inlineStr">
        <is>
          <t>BOLLNÄS</t>
        </is>
      </c>
      <c r="I1949" t="n">
        <v>3.3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21675-2026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46149</v>
      </c>
      <c r="E1950" s="1" t="n">
        <v>46307</v>
      </c>
      <c r="F1950" t="inlineStr">
        <is>
          <t>GÄVLEBORGS LÄN</t>
        </is>
      </c>
      <c r="G1950" t="inlineStr">
        <is>
          <t>BOLLNÄS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21691-2026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46149</v>
      </c>
      <c r="E1951" s="1" t="n">
        <v>46307</v>
      </c>
      <c r="F1951" t="inlineStr">
        <is>
          <t>GÄVLEBORGS LÄN</t>
        </is>
      </c>
      <c r="G1951" t="inlineStr">
        <is>
          <t>BOLLNÄS</t>
        </is>
      </c>
      <c r="I1951" t="n">
        <v>10.2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1376-2026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46031</v>
      </c>
      <c r="E1952" s="1" t="n">
        <v>46307</v>
      </c>
      <c r="F1952" t="inlineStr">
        <is>
          <t>GÄVLEBORGS LÄN</t>
        </is>
      </c>
      <c r="G1952" t="inlineStr">
        <is>
          <t>BOLLNÄS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46038</v>
      </c>
      <c r="E1953" s="1" t="n">
        <v>46307</v>
      </c>
      <c r="F1953" t="inlineStr">
        <is>
          <t>GÄVLEBORGS LÄN</t>
        </is>
      </c>
      <c r="G1953" t="inlineStr">
        <is>
          <t>BOLLNÄS</t>
        </is>
      </c>
      <c r="I1953" t="n">
        <v>26.9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8800-2026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46066</v>
      </c>
      <c r="E1954" s="1" t="n">
        <v>46307</v>
      </c>
      <c r="F1954" t="inlineStr">
        <is>
          <t>GÄVLEBORGS LÄN</t>
        </is>
      </c>
      <c r="G1954" t="inlineStr">
        <is>
          <t>BOLLNÄS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22502-2026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46155</v>
      </c>
      <c r="E1955" s="1" t="n">
        <v>46307</v>
      </c>
      <c r="F1955" t="inlineStr">
        <is>
          <t>GÄVLEBORGS LÄN</t>
        </is>
      </c>
      <c r="G1955" t="inlineStr">
        <is>
          <t>BOLLNÄS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15834-2026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46107</v>
      </c>
      <c r="E1956" s="1" t="n">
        <v>46307</v>
      </c>
      <c r="F1956" t="inlineStr">
        <is>
          <t>GÄVLEBORGS LÄN</t>
        </is>
      </c>
      <c r="G1956" t="inlineStr">
        <is>
          <t>BOLLNÄS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22178-2026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46153</v>
      </c>
      <c r="E1957" s="1" t="n">
        <v>46307</v>
      </c>
      <c r="F1957" t="inlineStr">
        <is>
          <t>GÄVLEBORGS LÄN</t>
        </is>
      </c>
      <c r="G1957" t="inlineStr">
        <is>
          <t>BOLLNÄS</t>
        </is>
      </c>
      <c r="I1957" t="n">
        <v>9.6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61619-2025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46002</v>
      </c>
      <c r="E1958" s="1" t="n">
        <v>46307</v>
      </c>
      <c r="F1958" t="inlineStr">
        <is>
          <t>GÄVLEBORGS LÄN</t>
        </is>
      </c>
      <c r="G1958" t="inlineStr">
        <is>
          <t>BOLLNÄS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57995-2025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45982</v>
      </c>
      <c r="E1959" s="1" t="n">
        <v>46307</v>
      </c>
      <c r="F1959" t="inlineStr">
        <is>
          <t>GÄVLEBORGS LÄN</t>
        </is>
      </c>
      <c r="G1959" t="inlineStr">
        <is>
          <t>BOLLNÄS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34580-2026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46255</v>
      </c>
      <c r="E1960" s="1" t="n">
        <v>46307</v>
      </c>
      <c r="F1960" t="inlineStr">
        <is>
          <t>GÄVLEBORGS LÄN</t>
        </is>
      </c>
      <c r="G1960" t="inlineStr">
        <is>
          <t>BOLLNÄS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16871-2026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46113</v>
      </c>
      <c r="E1961" s="1" t="n">
        <v>46307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21629-2026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46149</v>
      </c>
      <c r="E1962" s="1" t="n">
        <v>46307</v>
      </c>
      <c r="F1962" t="inlineStr">
        <is>
          <t>GÄVLEBORGS LÄN</t>
        </is>
      </c>
      <c r="G1962" t="inlineStr">
        <is>
          <t>BOLLNÄS</t>
        </is>
      </c>
      <c r="I1962" t="n">
        <v>5.9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40952-2026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46297</v>
      </c>
      <c r="E1963" s="1" t="n">
        <v>46307</v>
      </c>
      <c r="F1963" t="inlineStr">
        <is>
          <t>GÄVLEBORGS LÄN</t>
        </is>
      </c>
      <c r="G1963" t="inlineStr">
        <is>
          <t>BOLLNÄS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14761-2026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46101</v>
      </c>
      <c r="E1964" s="1" t="n">
        <v>46307</v>
      </c>
      <c r="F1964" t="inlineStr">
        <is>
          <t>GÄVLEBORGS LÄN</t>
        </is>
      </c>
      <c r="G1964" t="inlineStr">
        <is>
          <t>BOLLNÄS</t>
        </is>
      </c>
      <c r="I1964" t="n">
        <v>5.2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22300-2026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46154</v>
      </c>
      <c r="E1965" s="1" t="n">
        <v>46307</v>
      </c>
      <c r="F1965" t="inlineStr">
        <is>
          <t>GÄVLEBORGS LÄN</t>
        </is>
      </c>
      <c r="G1965" t="inlineStr">
        <is>
          <t>BOLLNÄS</t>
        </is>
      </c>
      <c r="I1965" t="n">
        <v>3.8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22301-2026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46154</v>
      </c>
      <c r="E1966" s="1" t="n">
        <v>46307</v>
      </c>
      <c r="F1966" t="inlineStr">
        <is>
          <t>GÄVLEBORGS LÄN</t>
        </is>
      </c>
      <c r="G1966" t="inlineStr">
        <is>
          <t>BOLLNÄS</t>
        </is>
      </c>
      <c r="I1966" t="n">
        <v>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48336-2023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46307</v>
      </c>
      <c r="F1967" t="inlineStr">
        <is>
          <t>GÄVLEBORGS LÄN</t>
        </is>
      </c>
      <c r="G1967" t="inlineStr">
        <is>
          <t>BOLLNÄS</t>
        </is>
      </c>
      <c r="I1967" t="n">
        <v>6.1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22496-2026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46155</v>
      </c>
      <c r="E1968" s="1" t="n">
        <v>46307</v>
      </c>
      <c r="F1968" t="inlineStr">
        <is>
          <t>GÄVLEBORGS LÄN</t>
        </is>
      </c>
      <c r="G1968" t="inlineStr">
        <is>
          <t>BOLLNÄS</t>
        </is>
      </c>
      <c r="I1968" t="n">
        <v>2.5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20724-2026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46141</v>
      </c>
      <c r="E1969" s="1" t="n">
        <v>46307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Kyrkan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40955-2026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46297</v>
      </c>
      <c r="E1970" s="1" t="n">
        <v>46307</v>
      </c>
      <c r="F1970" t="inlineStr">
        <is>
          <t>GÄVLEBORGS LÄN</t>
        </is>
      </c>
      <c r="G1970" t="inlineStr">
        <is>
          <t>BOLLNÄS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34330-2026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46254</v>
      </c>
      <c r="E1971" s="1" t="n">
        <v>46307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16587-2026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46112</v>
      </c>
      <c r="E1972" s="1" t="n">
        <v>46307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19153-2026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46132</v>
      </c>
      <c r="E1973" s="1" t="n">
        <v>46307</v>
      </c>
      <c r="F1973" t="inlineStr">
        <is>
          <t>GÄVLEBORGS LÄN</t>
        </is>
      </c>
      <c r="G1973" t="inlineStr">
        <is>
          <t>BOLLNÄS</t>
        </is>
      </c>
      <c r="I1973" t="n">
        <v>10.2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21565-2026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46148</v>
      </c>
      <c r="E1974" s="1" t="n">
        <v>46307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46155</v>
      </c>
      <c r="E1975" s="1" t="n">
        <v>46307</v>
      </c>
      <c r="F1975" t="inlineStr">
        <is>
          <t>GÄVLEBORGS LÄN</t>
        </is>
      </c>
      <c r="G1975" t="inlineStr">
        <is>
          <t>BOLLNÄS</t>
        </is>
      </c>
      <c r="I1975" t="n">
        <v>4.5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21682-2026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46149</v>
      </c>
      <c r="E1976" s="1" t="n">
        <v>46307</v>
      </c>
      <c r="F1976" t="inlineStr">
        <is>
          <t>GÄVLEBORGS LÄN</t>
        </is>
      </c>
      <c r="G1976" t="inlineStr">
        <is>
          <t>BOLLNÄS</t>
        </is>
      </c>
      <c r="I1976" t="n">
        <v>1.7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21693-2026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46149</v>
      </c>
      <c r="E1977" s="1" t="n">
        <v>46307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33773-2026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46251</v>
      </c>
      <c r="E1978" s="1" t="n">
        <v>46307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41348-2026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46301</v>
      </c>
      <c r="E1979" s="1" t="n">
        <v>46307</v>
      </c>
      <c r="F1979" t="inlineStr">
        <is>
          <t>GÄVLEBORGS LÄN</t>
        </is>
      </c>
      <c r="G1979" t="inlineStr">
        <is>
          <t>BOLLNÄS</t>
        </is>
      </c>
      <c r="I1979" t="n">
        <v>0.5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34933-2026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46259</v>
      </c>
      <c r="E1980" s="1" t="n">
        <v>46307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6.1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34935-2026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46259</v>
      </c>
      <c r="E1981" s="1" t="n">
        <v>46307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46041</v>
      </c>
      <c r="E1982" s="1" t="n">
        <v>46307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34949-2026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46259</v>
      </c>
      <c r="E1983" s="1" t="n">
        <v>46307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4.8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41479-2026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46301</v>
      </c>
      <c r="E1984" s="1" t="n">
        <v>46307</v>
      </c>
      <c r="F1984" t="inlineStr">
        <is>
          <t>GÄVLEBORGS LÄN</t>
        </is>
      </c>
      <c r="G1984" t="inlineStr">
        <is>
          <t>BOLLNÄS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63936-2025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46020</v>
      </c>
      <c r="E1985" s="1" t="n">
        <v>46307</v>
      </c>
      <c r="F1985" t="inlineStr">
        <is>
          <t>GÄVLEBORGS LÄN</t>
        </is>
      </c>
      <c r="G1985" t="inlineStr">
        <is>
          <t>BOLLNÄS</t>
        </is>
      </c>
      <c r="I1985" t="n">
        <v>48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19486-2026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46134</v>
      </c>
      <c r="E1986" s="1" t="n">
        <v>46307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22310-2026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46154</v>
      </c>
      <c r="E1987" s="1" t="n">
        <v>46307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6887-2026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46057</v>
      </c>
      <c r="E1988" s="1" t="n">
        <v>46307</v>
      </c>
      <c r="F1988" t="inlineStr">
        <is>
          <t>GÄVLEBORGS LÄN</t>
        </is>
      </c>
      <c r="G1988" t="inlineStr">
        <is>
          <t>BOLLNÄS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31748-2026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46227</v>
      </c>
      <c r="E1989" s="1" t="n">
        <v>46307</v>
      </c>
      <c r="F1989" t="inlineStr">
        <is>
          <t>GÄVLEBORGS LÄN</t>
        </is>
      </c>
      <c r="G1989" t="inlineStr">
        <is>
          <t>BOLLNÄS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34845-2026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46258</v>
      </c>
      <c r="E1990" s="1" t="n">
        <v>46307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6405-2026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46055</v>
      </c>
      <c r="E1991" s="1" t="n">
        <v>46307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9.699999999999999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34988-2026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46259</v>
      </c>
      <c r="E1992" s="1" t="n">
        <v>46307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7.7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35007-2026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46259</v>
      </c>
      <c r="E1993" s="1" t="n">
        <v>46307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18025-2026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46307</v>
      </c>
      <c r="F1994" t="inlineStr">
        <is>
          <t>GÄVLEBORGS LÄN</t>
        </is>
      </c>
      <c r="G1994" t="inlineStr">
        <is>
          <t>BOLLNÄS</t>
        </is>
      </c>
      <c r="I1994" t="n">
        <v>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34723-2026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46258</v>
      </c>
      <c r="E1995" s="1" t="n">
        <v>46307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34735-2026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46258</v>
      </c>
      <c r="E1996" s="1" t="n">
        <v>46307</v>
      </c>
      <c r="F1996" t="inlineStr">
        <is>
          <t>GÄVLEBORGS LÄN</t>
        </is>
      </c>
      <c r="G1996" t="inlineStr">
        <is>
          <t>BOLLNÄS</t>
        </is>
      </c>
      <c r="I1996" t="n">
        <v>14.6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46027</v>
      </c>
      <c r="E1997" s="1" t="n">
        <v>46307</v>
      </c>
      <c r="F1997" t="inlineStr">
        <is>
          <t>GÄVLEBORGS LÄN</t>
        </is>
      </c>
      <c r="G1997" t="inlineStr">
        <is>
          <t>BOLLNÄS</t>
        </is>
      </c>
      <c r="I1997" t="n">
        <v>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41396-2026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46301</v>
      </c>
      <c r="E1998" s="1" t="n">
        <v>46307</v>
      </c>
      <c r="F1998" t="inlineStr">
        <is>
          <t>GÄVLEBORGS LÄN</t>
        </is>
      </c>
      <c r="G1998" t="inlineStr">
        <is>
          <t>BOLLNÄS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30828-2026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46212</v>
      </c>
      <c r="E1999" s="1" t="n">
        <v>46307</v>
      </c>
      <c r="F1999" t="inlineStr">
        <is>
          <t>GÄVLEBORGS LÄN</t>
        </is>
      </c>
      <c r="G1999" t="inlineStr">
        <is>
          <t>BOLLNÄS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20060-2026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46136</v>
      </c>
      <c r="E2000" s="1" t="n">
        <v>46307</v>
      </c>
      <c r="F2000" t="inlineStr">
        <is>
          <t>GÄVLEBORGS LÄN</t>
        </is>
      </c>
      <c r="G2000" t="inlineStr">
        <is>
          <t>BOLLNÄS</t>
        </is>
      </c>
      <c r="I2000" t="n">
        <v>0.4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34784-2026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46258</v>
      </c>
      <c r="E2001" s="1" t="n">
        <v>46307</v>
      </c>
      <c r="F2001" t="inlineStr">
        <is>
          <t>GÄVLEBORGS LÄN</t>
        </is>
      </c>
      <c r="G2001" t="inlineStr">
        <is>
          <t>BOLLNÄS</t>
        </is>
      </c>
      <c r="I2001" t="n">
        <v>12.7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8497-2026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46065</v>
      </c>
      <c r="E2002" s="1" t="n">
        <v>46307</v>
      </c>
      <c r="F2002" t="inlineStr">
        <is>
          <t>GÄVLEBORGS LÄN</t>
        </is>
      </c>
      <c r="G2002" t="inlineStr">
        <is>
          <t>BOLLNÄS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34908-2026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46259</v>
      </c>
      <c r="E2003" s="1" t="n">
        <v>46307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41878-2026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46303</v>
      </c>
      <c r="E2004" s="1" t="n">
        <v>46307</v>
      </c>
      <c r="F2004" t="inlineStr">
        <is>
          <t>GÄVLEBORGS LÄN</t>
        </is>
      </c>
      <c r="G2004" t="inlineStr">
        <is>
          <t>BOLLNÄS</t>
        </is>
      </c>
      <c r="I2004" t="n">
        <v>0.8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41895-2026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46303</v>
      </c>
      <c r="E2005" s="1" t="n">
        <v>46307</v>
      </c>
      <c r="F2005" t="inlineStr">
        <is>
          <t>GÄVLEBORGS LÄN</t>
        </is>
      </c>
      <c r="G2005" t="inlineStr">
        <is>
          <t>BOLLNÄS</t>
        </is>
      </c>
      <c r="I2005" t="n">
        <v>1.2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22606-2026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46155</v>
      </c>
      <c r="E2006" s="1" t="n">
        <v>46307</v>
      </c>
      <c r="F2006" t="inlineStr">
        <is>
          <t>GÄVLEBORGS LÄN</t>
        </is>
      </c>
      <c r="G2006" t="inlineStr">
        <is>
          <t>BOLLNÄS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19197-2026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46132</v>
      </c>
      <c r="E2007" s="1" t="n">
        <v>46307</v>
      </c>
      <c r="F2007" t="inlineStr">
        <is>
          <t>GÄVLEBORGS LÄN</t>
        </is>
      </c>
      <c r="G2007" t="inlineStr">
        <is>
          <t>BOLLNÄS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21555-2026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46148</v>
      </c>
      <c r="E2008" s="1" t="n">
        <v>46307</v>
      </c>
      <c r="F2008" t="inlineStr">
        <is>
          <t>GÄVLEBORGS LÄN</t>
        </is>
      </c>
      <c r="G2008" t="inlineStr">
        <is>
          <t>BOLLNÄS</t>
        </is>
      </c>
      <c r="I2008" t="n">
        <v>8.9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35396-2026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46261</v>
      </c>
      <c r="E2009" s="1" t="n">
        <v>46307</v>
      </c>
      <c r="F2009" t="inlineStr">
        <is>
          <t>GÄVLEBORGS LÄN</t>
        </is>
      </c>
      <c r="G2009" t="inlineStr">
        <is>
          <t>BOLLNÄS</t>
        </is>
      </c>
      <c r="I2009" t="n">
        <v>2.6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9216-2026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46070</v>
      </c>
      <c r="E2010" s="1" t="n">
        <v>46307</v>
      </c>
      <c r="F2010" t="inlineStr">
        <is>
          <t>GÄVLEBORGS LÄN</t>
        </is>
      </c>
      <c r="G2010" t="inlineStr">
        <is>
          <t>BOLLNÄS</t>
        </is>
      </c>
      <c r="I2010" t="n">
        <v>6.8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35083-2026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46260</v>
      </c>
      <c r="E2011" s="1" t="n">
        <v>46307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35086-2026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46260</v>
      </c>
      <c r="E2012" s="1" t="n">
        <v>46307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2.3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32019-2026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46233</v>
      </c>
      <c r="E2013" s="1" t="n">
        <v>46307</v>
      </c>
      <c r="F2013" t="inlineStr">
        <is>
          <t>GÄVLEBORGS LÄN</t>
        </is>
      </c>
      <c r="G2013" t="inlineStr">
        <is>
          <t>BOLLNÄS</t>
        </is>
      </c>
      <c r="I2013" t="n">
        <v>8.300000000000001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35398-2026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46261</v>
      </c>
      <c r="E2014" s="1" t="n">
        <v>46307</v>
      </c>
      <c r="F2014" t="inlineStr">
        <is>
          <t>GÄVLEBORGS LÄN</t>
        </is>
      </c>
      <c r="G2014" t="inlineStr">
        <is>
          <t>BOLLNÄS</t>
        </is>
      </c>
      <c r="I2014" t="n">
        <v>5.8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8840-2026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46066</v>
      </c>
      <c r="E2015" s="1" t="n">
        <v>46307</v>
      </c>
      <c r="F2015" t="inlineStr">
        <is>
          <t>GÄVLEBORGS LÄN</t>
        </is>
      </c>
      <c r="G2015" t="inlineStr">
        <is>
          <t>BOLLNÄS</t>
        </is>
      </c>
      <c r="I2015" t="n">
        <v>16.7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31722-2026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46226</v>
      </c>
      <c r="E2016" s="1" t="n">
        <v>46307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2.4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35084-2026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46260</v>
      </c>
      <c r="E2017" s="1" t="n">
        <v>46307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35098-2026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46260</v>
      </c>
      <c r="E2018" s="1" t="n">
        <v>46307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5.6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18982-2026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46129</v>
      </c>
      <c r="E2019" s="1" t="n">
        <v>46307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35433-2026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46262</v>
      </c>
      <c r="E2020" s="1" t="n">
        <v>46307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35128-2026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46260</v>
      </c>
      <c r="E2021" s="1" t="n">
        <v>46307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10.3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3913-2026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46043</v>
      </c>
      <c r="E2022" s="1" t="n">
        <v>46307</v>
      </c>
      <c r="F2022" t="inlineStr">
        <is>
          <t>GÄVLEBORGS LÄN</t>
        </is>
      </c>
      <c r="G2022" t="inlineStr">
        <is>
          <t>BOLLNÄS</t>
        </is>
      </c>
      <c r="I2022" t="n">
        <v>1.4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46029</v>
      </c>
      <c r="E2023" s="1" t="n">
        <v>46307</v>
      </c>
      <c r="F2023" t="inlineStr">
        <is>
          <t>GÄVLEBORGS LÄN</t>
        </is>
      </c>
      <c r="G2023" t="inlineStr">
        <is>
          <t>BOLLNÄS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6330-2026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46055</v>
      </c>
      <c r="E2024" s="1" t="n">
        <v>46307</v>
      </c>
      <c r="F2024" t="inlineStr">
        <is>
          <t>GÄVLEBORGS LÄN</t>
        </is>
      </c>
      <c r="G2024" t="inlineStr">
        <is>
          <t>BOLLNÄS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42121-2026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46304</v>
      </c>
      <c r="E2025" s="1" t="n">
        <v>46307</v>
      </c>
      <c r="F2025" t="inlineStr">
        <is>
          <t>GÄVLEBORGS LÄN</t>
        </is>
      </c>
      <c r="G2025" t="inlineStr">
        <is>
          <t>BOLLNÄS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31643-2026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46225</v>
      </c>
      <c r="E2026" s="1" t="n">
        <v>46307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35097-2026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46260</v>
      </c>
      <c r="E2027" s="1" t="n">
        <v>46307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9304-2026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46070</v>
      </c>
      <c r="E2028" s="1" t="n">
        <v>46307</v>
      </c>
      <c r="F2028" t="inlineStr">
        <is>
          <t>GÄVLEBORGS LÄN</t>
        </is>
      </c>
      <c r="G2028" t="inlineStr">
        <is>
          <t>BOLLNÄS</t>
        </is>
      </c>
      <c r="I2028" t="n">
        <v>0.5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41829-2026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46303</v>
      </c>
      <c r="E2029" s="1" t="n">
        <v>46307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21677-2026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46149</v>
      </c>
      <c r="E2030" s="1" t="n">
        <v>46307</v>
      </c>
      <c r="F2030" t="inlineStr">
        <is>
          <t>GÄVLEBORGS LÄN</t>
        </is>
      </c>
      <c r="G2030" t="inlineStr">
        <is>
          <t>BOLLNÄS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35346-2026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46261</v>
      </c>
      <c r="E2031" s="1" t="n">
        <v>46307</v>
      </c>
      <c r="F2031" t="inlineStr">
        <is>
          <t>GÄVLEBORGS LÄN</t>
        </is>
      </c>
      <c r="G2031" t="inlineStr">
        <is>
          <t>BOLLNÄS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35397-2026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46261</v>
      </c>
      <c r="E2032" s="1" t="n">
        <v>46307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22605-2026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46155</v>
      </c>
      <c r="E2033" s="1" t="n">
        <v>46307</v>
      </c>
      <c r="F2033" t="inlineStr">
        <is>
          <t>GÄVLEBORGS LÄN</t>
        </is>
      </c>
      <c r="G2033" t="inlineStr">
        <is>
          <t>BOLLNÄS</t>
        </is>
      </c>
      <c r="I2033" t="n">
        <v>0.4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21550-2026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46148</v>
      </c>
      <c r="E2034" s="1" t="n">
        <v>46307</v>
      </c>
      <c r="F2034" t="inlineStr">
        <is>
          <t>GÄVLEBORGS LÄN</t>
        </is>
      </c>
      <c r="G2034" t="inlineStr">
        <is>
          <t>BOLLNÄS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35511-2026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46262</v>
      </c>
      <c r="E2035" s="1" t="n">
        <v>46307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4039-2026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46044</v>
      </c>
      <c r="E2036" s="1" t="n">
        <v>46307</v>
      </c>
      <c r="F2036" t="inlineStr">
        <is>
          <t>GÄVLEBORGS LÄN</t>
        </is>
      </c>
      <c r="G2036" t="inlineStr">
        <is>
          <t>BOLLNÄS</t>
        </is>
      </c>
      <c r="I2036" t="n">
        <v>8.9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21643-2026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46149</v>
      </c>
      <c r="E2037" s="1" t="n">
        <v>46307</v>
      </c>
      <c r="F2037" t="inlineStr">
        <is>
          <t>GÄVLEBORGS LÄN</t>
        </is>
      </c>
      <c r="G2037" t="inlineStr">
        <is>
          <t>BOLLNÄS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35129-2026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46260</v>
      </c>
      <c r="E2038" s="1" t="n">
        <v>46307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35132-2026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46307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3.1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14262-2026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46099</v>
      </c>
      <c r="E2040" s="1" t="n">
        <v>46307</v>
      </c>
      <c r="F2040" t="inlineStr">
        <is>
          <t>GÄVLEBORGS LÄN</t>
        </is>
      </c>
      <c r="G2040" t="inlineStr">
        <is>
          <t>BOLLNÄS</t>
        </is>
      </c>
      <c r="I2040" t="n">
        <v>2.7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42059-2026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46304</v>
      </c>
      <c r="E2041" s="1" t="n">
        <v>46307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3.9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21680-2026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46149</v>
      </c>
      <c r="E2042" s="1" t="n">
        <v>46307</v>
      </c>
      <c r="F2042" t="inlineStr">
        <is>
          <t>GÄVLEBORGS LÄN</t>
        </is>
      </c>
      <c r="G2042" t="inlineStr">
        <is>
          <t>BOLLNÄS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9501-2026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46071</v>
      </c>
      <c r="E2043" s="1" t="n">
        <v>46307</v>
      </c>
      <c r="F2043" t="inlineStr">
        <is>
          <t>GÄVLEBORGS LÄN</t>
        </is>
      </c>
      <c r="G2043" t="inlineStr">
        <is>
          <t>BOLLNÄS</t>
        </is>
      </c>
      <c r="I2043" t="n">
        <v>7.2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35149-2026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46260</v>
      </c>
      <c r="E2044" s="1" t="n">
        <v>46307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35150-2026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46260</v>
      </c>
      <c r="E2045" s="1" t="n">
        <v>46307</v>
      </c>
      <c r="F2045" t="inlineStr">
        <is>
          <t>GÄVLEBORGS LÄN</t>
        </is>
      </c>
      <c r="G2045" t="inlineStr">
        <is>
          <t>BOLLNÄS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21666-2026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46149</v>
      </c>
      <c r="E2046" s="1" t="n">
        <v>46307</v>
      </c>
      <c r="F2046" t="inlineStr">
        <is>
          <t>GÄVLEBORGS LÄN</t>
        </is>
      </c>
      <c r="G2046" t="inlineStr">
        <is>
          <t>BOLLNÄS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10329-2021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44546</v>
      </c>
      <c r="E2047" s="1" t="n">
        <v>46307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188.9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188-2022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46307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17.9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44566</v>
      </c>
      <c r="E2049" s="1" t="n">
        <v>46307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60.4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560-2022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44589</v>
      </c>
      <c r="E2050" s="1" t="n">
        <v>46307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56.9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4000-2023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45237</v>
      </c>
      <c r="E2051" s="1" t="n">
        <v>46307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Holmen skog AB</t>
        </is>
      </c>
      <c r="I2051" t="n">
        <v>16.2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972-2023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45005</v>
      </c>
      <c r="E2052" s="1" t="n">
        <v>46307</v>
      </c>
      <c r="F2052" t="inlineStr">
        <is>
          <t>GÄVLEBORGS LÄN</t>
        </is>
      </c>
      <c r="G2052" t="inlineStr">
        <is>
          <t>BOLLNÄS</t>
        </is>
      </c>
      <c r="I2052" t="n">
        <v>0.1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392-2025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45695</v>
      </c>
      <c r="E2053" s="1" t="n">
        <v>46307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5000-2024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45631</v>
      </c>
      <c r="E2054" s="1" t="n">
        <v>46307</v>
      </c>
      <c r="F2054" t="inlineStr">
        <is>
          <t>GÄVLEBORGS LÄN</t>
        </is>
      </c>
      <c r="G2054" t="inlineStr">
        <is>
          <t>BOLLNÄS</t>
        </is>
      </c>
      <c r="I2054" t="n">
        <v>3.7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400-2025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45699</v>
      </c>
      <c r="E2055" s="1" t="n">
        <v>46307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öst AB</t>
        </is>
      </c>
      <c r="I2055" t="n">
        <v>32.2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1092-2024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45391</v>
      </c>
      <c r="E2056" s="1" t="n">
        <v>46307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523.4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586-2024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45351</v>
      </c>
      <c r="E2057" s="1" t="n">
        <v>46307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205.2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1359-2025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45775</v>
      </c>
      <c r="E2058" s="1" t="n">
        <v>46307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1309-2025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45770</v>
      </c>
      <c r="E2059" s="1" t="n">
        <v>46307</v>
      </c>
      <c r="F2059" t="inlineStr">
        <is>
          <t>GÄVLEBORGS LÄN</t>
        </is>
      </c>
      <c r="G2059" t="inlineStr">
        <is>
          <t>BOLLNÄS</t>
        </is>
      </c>
      <c r="I2059" t="n">
        <v>31.8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1894-2025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45825</v>
      </c>
      <c r="E2060" s="1" t="n">
        <v>46307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10.7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1074-2024</t>
        </is>
      </c>
      <c r="B2061" t="inlineStr">
        <is>
          <t>samrådsanmälan</t>
        </is>
      </c>
      <c r="C2061" t="inlineStr">
        <is>
          <t>Skogsgödsling</t>
        </is>
      </c>
      <c r="D2061" s="1" t="n">
        <v>45387</v>
      </c>
      <c r="E2061" s="1" t="n">
        <v>46307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Bergvik skog väst AB</t>
        </is>
      </c>
      <c r="I2061" t="n">
        <v>245.9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479-2026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46072</v>
      </c>
      <c r="E2062" s="1" t="n">
        <v>46307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Sveaskog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1042-2026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46125</v>
      </c>
      <c r="E2063" s="1" t="n">
        <v>46307</v>
      </c>
      <c r="F2063" t="inlineStr">
        <is>
          <t>GÄVLEBORGS LÄN</t>
        </is>
      </c>
      <c r="G2063" t="inlineStr">
        <is>
          <t>BOLLNÄS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1559-2026</t>
        </is>
      </c>
      <c r="B2064" t="inlineStr">
        <is>
          <t>samrådsanmälan</t>
        </is>
      </c>
      <c r="C2064" t="inlineStr">
        <is>
          <t>Stubbskörd</t>
        </is>
      </c>
      <c r="D2064" s="1" t="n">
        <v>46168</v>
      </c>
      <c r="E2064" s="1" t="n">
        <v>46307</v>
      </c>
      <c r="F2064" t="inlineStr">
        <is>
          <t>GÄVLEBORGS LÄN</t>
        </is>
      </c>
      <c r="G2064" t="inlineStr">
        <is>
          <t>BOLLNÄS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1599-2026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46174</v>
      </c>
      <c r="E2065" s="1" t="n">
        <v>46307</v>
      </c>
      <c r="F2065" t="inlineStr">
        <is>
          <t>GÄVLEBORGS LÄN</t>
        </is>
      </c>
      <c r="G2065" t="inlineStr">
        <is>
          <t>BOLLNÄS</t>
        </is>
      </c>
      <c r="I2065" t="n">
        <v>3.7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424-2026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46070</v>
      </c>
      <c r="E2066" s="1" t="n">
        <v>46307</v>
      </c>
      <c r="F2066" t="inlineStr">
        <is>
          <t>GÄVLEBORGS LÄN</t>
        </is>
      </c>
      <c r="G2066" t="inlineStr">
        <is>
          <t>BOLLNÄS</t>
        </is>
      </c>
      <c r="I2066" t="n">
        <v>33.3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2558-2026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46294</v>
      </c>
      <c r="E2067" s="1" t="n">
        <v>46307</v>
      </c>
      <c r="F2067" t="inlineStr">
        <is>
          <t>GÄVLEBORGS LÄN</t>
        </is>
      </c>
      <c r="G2067" t="inlineStr">
        <is>
          <t>BOLLNÄS</t>
        </is>
      </c>
      <c r="H2067" t="inlineStr">
        <is>
          <t>Sveaskog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>
      <c r="A2068" t="inlineStr">
        <is>
          <t>S 672-2026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46090</v>
      </c>
      <c r="E2068" s="1" t="n">
        <v>46307</v>
      </c>
      <c r="F2068" t="inlineStr">
        <is>
          <t>GÄVLEBORGS LÄN</t>
        </is>
      </c>
      <c r="G2068" t="inlineStr">
        <is>
          <t>BOLLNÄS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2026-10-12T02:02:13Z</dcterms:created>
  <dcterms:modified xmlns:dcterms="http://purl.org/dc/terms/" xmlns:xsi="http://www.w3.org/2001/XMLSchema-instance" xsi:type="dcterms:W3CDTF">2026-10-12T02:02:16Z</dcterms:modified>
</cp:coreProperties>
</file>