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46250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46250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46250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46250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46250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46250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46250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46250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46250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46250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46250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46250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46250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46250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46250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46250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46250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46250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46250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46250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46250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46250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12962-2026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46250</v>
      </c>
      <c r="F29" t="inlineStr">
        <is>
          <t>GÄVLEBORGS LÄN</t>
        </is>
      </c>
      <c r="G29" t="inlineStr">
        <is>
          <t>BOLLNÄS</t>
        </is>
      </c>
      <c r="I29" t="n">
        <v>0.6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12962-2026 artfynd.xlsx", "A 12962-2026")</f>
        <v/>
      </c>
      <c r="X29">
        <f>HYPERLINK("https://klasma.github.io/Logging_2183/kartor/A 12962-2026 karta.png", "A 12962-2026")</f>
        <v/>
      </c>
      <c r="Y29">
        <f>HYPERLINK("https://klasma.github.io/Logging_2183/kartor_geotiff/A 12962-2026 georefererad karta.tif", "A 12962-2026")</f>
        <v/>
      </c>
      <c r="AA29">
        <f>HYPERLINK("https://klasma.github.io/Logging_2183/klagomål/A 12962-2026 FSC-klagomål.docx", "A 12962-2026")</f>
        <v/>
      </c>
      <c r="AB29">
        <f>HYPERLINK("https://klasma.github.io/Logging_2183/klagomålsmail/A 12962-2026 FSC-klagomål mail.docx", "A 12962-2026")</f>
        <v/>
      </c>
      <c r="AC29">
        <f>HYPERLINK("https://klasma.github.io/Logging_2183/tillsyn/A 12962-2026 tillsynsbegäran.docx", "A 12962-2026")</f>
        <v/>
      </c>
      <c r="AD29">
        <f>HYPERLINK("https://klasma.github.io/Logging_2183/tillsynsmail/A 12962-2026 tillsynsbegäran mail.docx", "A 12962-2026")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46250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46250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14438-2026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46250</v>
      </c>
      <c r="F32" t="inlineStr">
        <is>
          <t>GÄVLEBORGS LÄN</t>
        </is>
      </c>
      <c r="G32" t="inlineStr">
        <is>
          <t>BOLLNÄS</t>
        </is>
      </c>
      <c r="I32" t="n">
        <v>26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Dofttaggsvamp</t>
        </is>
      </c>
      <c r="W32">
        <f>HYPERLINK("https://klasma.github.io/Logging_2183/artfynd/A 14438-2026 artfynd.xlsx", "A 14438-2026")</f>
        <v/>
      </c>
      <c r="X32">
        <f>HYPERLINK("https://klasma.github.io/Logging_2183/kartor/A 14438-2026 karta.png", "A 14438-2026")</f>
        <v/>
      </c>
      <c r="Y32">
        <f>HYPERLINK("https://klasma.github.io/Logging_2183/kartor_geotiff/A 14438-2026 georefererad karta.tif", "A 14438-2026")</f>
        <v/>
      </c>
      <c r="AA32">
        <f>HYPERLINK("https://klasma.github.io/Logging_2183/klagomål/A 14438-2026 FSC-klagomål.docx", "A 14438-2026")</f>
        <v/>
      </c>
      <c r="AB32">
        <f>HYPERLINK("https://klasma.github.io/Logging_2183/klagomålsmail/A 14438-2026 FSC-klagomål mail.docx", "A 14438-2026")</f>
        <v/>
      </c>
      <c r="AC32">
        <f>HYPERLINK("https://klasma.github.io/Logging_2183/tillsyn/A 14438-2026 tillsynsbegäran.docx", "A 14438-2026")</f>
        <v/>
      </c>
      <c r="AD32">
        <f>HYPERLINK("https://klasma.github.io/Logging_2183/tillsynsmail/A 14438-2026 tillsynsbegäran mail.docx", "A 14438-2026")</f>
        <v/>
      </c>
    </row>
    <row r="33" ht="15" customHeight="1">
      <c r="A33" t="inlineStr">
        <is>
          <t>A 12815-2025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46250</v>
      </c>
      <c r="F33" t="inlineStr">
        <is>
          <t>GÄVLEBORGS LÄN</t>
        </is>
      </c>
      <c r="G33" t="inlineStr">
        <is>
          <t>BOLLNÄS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Plattlummer</t>
        </is>
      </c>
      <c r="W33">
        <f>HYPERLINK("https://klasma.github.io/Logging_2183/artfynd/A 12815-2025 artfynd.xlsx", "A 12815-2025")</f>
        <v/>
      </c>
      <c r="X33">
        <f>HYPERLINK("https://klasma.github.io/Logging_2183/kartor/A 12815-2025 karta.png", "A 12815-2025")</f>
        <v/>
      </c>
      <c r="Y33">
        <f>HYPERLINK("https://klasma.github.io/Logging_2183/kartor_geotiff/A 12815-2025 georefererad karta.tif", "A 12815-2025")</f>
        <v/>
      </c>
      <c r="AA33">
        <f>HYPERLINK("https://klasma.github.io/Logging_2183/klagomål/A 12815-2025 FSC-klagomål.docx", "A 12815-2025")</f>
        <v/>
      </c>
      <c r="AB33">
        <f>HYPERLINK("https://klasma.github.io/Logging_2183/klagomålsmail/A 12815-2025 FSC-klagomål mail.docx", "A 12815-2025")</f>
        <v/>
      </c>
      <c r="AC33">
        <f>HYPERLINK("https://klasma.github.io/Logging_2183/tillsyn/A 12815-2025 tillsynsbegäran.docx", "A 12815-2025")</f>
        <v/>
      </c>
      <c r="AD33">
        <f>HYPERLINK("https://klasma.github.io/Logging_2183/tillsynsmail/A 12815-2025 tillsynsbegäran mail.docx", "A 12815-2025")</f>
        <v/>
      </c>
    </row>
    <row r="34" ht="15" customHeight="1">
      <c r="A34" t="inlineStr">
        <is>
          <t>A 12817-2025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46250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HYPERLINK("https://klasma.github.io/Logging_2183/artfynd/A 12817-2025 artfynd.xlsx", "A 12817-2025")</f>
        <v/>
      </c>
      <c r="X34">
        <f>HYPERLINK("https://klasma.github.io/Logging_2183/kartor/A 12817-2025 karta.png", "A 12817-2025")</f>
        <v/>
      </c>
      <c r="Y34">
        <f>HYPERLINK("https://klasma.github.io/Logging_2183/kartor_geotiff/A 12817-2025 georefererad karta.tif", "A 12817-2025")</f>
        <v/>
      </c>
      <c r="AA34">
        <f>HYPERLINK("https://klasma.github.io/Logging_2183/klagomål/A 12817-2025 FSC-klagomål.docx", "A 12817-2025")</f>
        <v/>
      </c>
      <c r="AB34">
        <f>HYPERLINK("https://klasma.github.io/Logging_2183/klagomålsmail/A 12817-2025 FSC-klagomål mail.docx", "A 12817-2025")</f>
        <v/>
      </c>
      <c r="AC34">
        <f>HYPERLINK("https://klasma.github.io/Logging_2183/tillsyn/A 12817-2025 tillsynsbegäran.docx", "A 12817-2025")</f>
        <v/>
      </c>
      <c r="AD34">
        <f>HYPERLINK("https://klasma.github.io/Logging_2183/tillsynsmail/A 12817-2025 tillsynsbegäran mail.docx", "A 12817-2025")</f>
        <v/>
      </c>
    </row>
    <row r="35" ht="15" customHeight="1">
      <c r="A35" t="inlineStr">
        <is>
          <t>A 32754-2023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45123</v>
      </c>
      <c r="E35" s="1" t="n">
        <v>46250</v>
      </c>
      <c r="F35" t="inlineStr">
        <is>
          <t>GÄVLEBORGS LÄN</t>
        </is>
      </c>
      <c r="G35" t="inlineStr">
        <is>
          <t>BOLLNÄS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32754-2023 artfynd.xlsx", "A 32754-2023")</f>
        <v/>
      </c>
      <c r="X35">
        <f>HYPERLINK("https://klasma.github.io/Logging_2183/kartor/A 32754-2023 karta.png", "A 32754-2023")</f>
        <v/>
      </c>
      <c r="Y35">
        <f>HYPERLINK("https://klasma.github.io/Logging_2183/kartor_geotiff/A 32754-2023 georefererad karta.tif", "A 32754-2023")</f>
        <v/>
      </c>
      <c r="AA35">
        <f>HYPERLINK("https://klasma.github.io/Logging_2183/klagomål/A 32754-2023 FSC-klagomål.docx", "A 32754-2023")</f>
        <v/>
      </c>
      <c r="AB35">
        <f>HYPERLINK("https://klasma.github.io/Logging_2183/klagomålsmail/A 32754-2023 FSC-klagomål mail.docx", "A 32754-2023")</f>
        <v/>
      </c>
      <c r="AC35">
        <f>HYPERLINK("https://klasma.github.io/Logging_2183/tillsyn/A 32754-2023 tillsynsbegäran.docx", "A 32754-2023")</f>
        <v/>
      </c>
      <c r="AD35">
        <f>HYPERLINK("https://klasma.github.io/Logging_2183/tillsynsmail/A 32754-2023 tillsynsbegäran mail.docx", "A 32754-2023")</f>
        <v/>
      </c>
    </row>
    <row r="36" ht="15" customHeight="1">
      <c r="A36" t="inlineStr">
        <is>
          <t>A 55048-2022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46250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55048-2022 artfynd.xlsx", "A 55048-2022")</f>
        <v/>
      </c>
      <c r="X36">
        <f>HYPERLINK("https://klasma.github.io/Logging_2183/kartor/A 55048-2022 karta.png", "A 55048-2022")</f>
        <v/>
      </c>
      <c r="Y36">
        <f>HYPERLINK("https://klasma.github.io/Logging_2183/kartor_geotiff/A 55048-2022 georefererad karta.tif", "A 55048-2022")</f>
        <v/>
      </c>
      <c r="AA36">
        <f>HYPERLINK("https://klasma.github.io/Logging_2183/klagomål/A 55048-2022 FSC-klagomål.docx", "A 55048-2022")</f>
        <v/>
      </c>
      <c r="AB36">
        <f>HYPERLINK("https://klasma.github.io/Logging_2183/klagomålsmail/A 55048-2022 FSC-klagomål mail.docx", "A 55048-2022")</f>
        <v/>
      </c>
      <c r="AC36">
        <f>HYPERLINK("https://klasma.github.io/Logging_2183/tillsyn/A 55048-2022 tillsynsbegäran.docx", "A 55048-2022")</f>
        <v/>
      </c>
      <c r="AD36">
        <f>HYPERLINK("https://klasma.github.io/Logging_2183/tillsynsmail/A 55048-2022 tillsynsbegäran mail.docx", "A 55048-2022")</f>
        <v/>
      </c>
    </row>
    <row r="37" ht="15" customHeight="1">
      <c r="A37" t="inlineStr">
        <is>
          <t>A 22731-2022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46250</v>
      </c>
      <c r="F37" t="inlineStr">
        <is>
          <t>GÄVLEBORGS LÄN</t>
        </is>
      </c>
      <c r="G37" t="inlineStr">
        <is>
          <t>BOLLNÄS</t>
        </is>
      </c>
      <c r="I37" t="n">
        <v>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Brunklöver</t>
        </is>
      </c>
      <c r="W37">
        <f>HYPERLINK("https://klasma.github.io/Logging_2183/artfynd/A 22731-2022 artfynd.xlsx", "A 22731-2022")</f>
        <v/>
      </c>
      <c r="X37">
        <f>HYPERLINK("https://klasma.github.io/Logging_2183/kartor/A 22731-2022 karta.png", "A 22731-2022")</f>
        <v/>
      </c>
      <c r="Y37">
        <f>HYPERLINK("https://klasma.github.io/Logging_2183/kartor_geotiff/A 22731-2022 georefererad karta.tif", "A 22731-2022")</f>
        <v/>
      </c>
      <c r="AA37">
        <f>HYPERLINK("https://klasma.github.io/Logging_2183/klagomål/A 22731-2022 FSC-klagomål.docx", "A 22731-2022")</f>
        <v/>
      </c>
      <c r="AB37">
        <f>HYPERLINK("https://klasma.github.io/Logging_2183/klagomålsmail/A 22731-2022 FSC-klagomål mail.docx", "A 22731-2022")</f>
        <v/>
      </c>
      <c r="AC37">
        <f>HYPERLINK("https://klasma.github.io/Logging_2183/tillsyn/A 22731-2022 tillsynsbegäran.docx", "A 22731-2022")</f>
        <v/>
      </c>
      <c r="AD37">
        <f>HYPERLINK("https://klasma.github.io/Logging_2183/tillsynsmail/A 22731-2022 tillsynsbegäran mail.docx", "A 22731-2022")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46250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46250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46250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46250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46250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46250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46250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HYPERLINK("https://klasma.github.io/Logging_2183/artfynd/A 14979-2026 artfynd.xlsx", "A 14979-2026")</f>
        <v/>
      </c>
      <c r="X44">
        <f>HYPERLINK("https://klasma.github.io/Logging_2183/kartor/A 14979-2026 karta.png", "A 14979-2026")</f>
        <v/>
      </c>
      <c r="Y44">
        <f>HYPERLINK("https://klasma.github.io/Logging_2183/kartor_geotiff/A 14979-2026 georefererad karta.tif", "A 14979-2026")</f>
        <v/>
      </c>
      <c r="AA44">
        <f>HYPERLINK("https://klasma.github.io/Logging_2183/klagomål/A 14979-2026 FSC-klagomål.docx", "A 14979-2026")</f>
        <v/>
      </c>
      <c r="AB44">
        <f>HYPERLINK("https://klasma.github.io/Logging_2183/klagomålsmail/A 14979-2026 FSC-klagomål mail.docx", "A 14979-2026")</f>
        <v/>
      </c>
      <c r="AC44">
        <f>HYPERLINK("https://klasma.github.io/Logging_2183/tillsyn/A 14979-2026 tillsynsbegäran.docx", "A 14979-2026")</f>
        <v/>
      </c>
      <c r="AD44">
        <f>HYPERLINK("https://klasma.github.io/Logging_2183/tillsynsmail/A 14979-2026 tillsynsbegäran mail.docx", "A 14979-2026")</f>
        <v/>
      </c>
    </row>
    <row r="45" ht="15" customHeight="1">
      <c r="A45" t="inlineStr">
        <is>
          <t>A 29712-2023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46250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HYPERLINK("https://klasma.github.io/Logging_2183/artfynd/A 29712-2023 artfynd.xlsx", "A 29712-2023")</f>
        <v/>
      </c>
      <c r="X45">
        <f>HYPERLINK("https://klasma.github.io/Logging_2183/kartor/A 29712-2023 karta.png", "A 29712-2023")</f>
        <v/>
      </c>
      <c r="Y45">
        <f>HYPERLINK("https://klasma.github.io/Logging_2183/kartor_geotiff/A 29712-2023 georefererad karta.tif", "A 29712-2023")</f>
        <v/>
      </c>
      <c r="AA45">
        <f>HYPERLINK("https://klasma.github.io/Logging_2183/klagomål/A 29712-2023 FSC-klagomål.docx", "A 29712-2023")</f>
        <v/>
      </c>
      <c r="AB45">
        <f>HYPERLINK("https://klasma.github.io/Logging_2183/klagomålsmail/A 29712-2023 FSC-klagomål mail.docx", "A 29712-2023")</f>
        <v/>
      </c>
      <c r="AC45">
        <f>HYPERLINK("https://klasma.github.io/Logging_2183/tillsyn/A 29712-2023 tillsynsbegäran.docx", "A 29712-2023")</f>
        <v/>
      </c>
      <c r="AD45">
        <f>HYPERLINK("https://klasma.github.io/Logging_2183/tillsynsmail/A 29712-2023 tillsynsbegäran mail.docx", "A 29712-2023")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46250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46250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10894-2026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46250</v>
      </c>
      <c r="F48" t="inlineStr">
        <is>
          <t>GÄVLEBORGS LÄN</t>
        </is>
      </c>
      <c r="G48" t="inlineStr">
        <is>
          <t>BOLLNÄS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HYPERLINK("https://klasma.github.io/Logging_2183/artfynd/A 10894-2026 artfynd.xlsx", "A 10894-2026")</f>
        <v/>
      </c>
      <c r="X48">
        <f>HYPERLINK("https://klasma.github.io/Logging_2183/kartor/A 10894-2026 karta.png", "A 10894-2026")</f>
        <v/>
      </c>
      <c r="Y48">
        <f>HYPERLINK("https://klasma.github.io/Logging_2183/kartor_geotiff/A 10894-2026 georefererad karta.tif", "A 10894-2026")</f>
        <v/>
      </c>
      <c r="AA48">
        <f>HYPERLINK("https://klasma.github.io/Logging_2183/klagomål/A 10894-2026 FSC-klagomål.docx", "A 10894-2026")</f>
        <v/>
      </c>
      <c r="AB48">
        <f>HYPERLINK("https://klasma.github.io/Logging_2183/klagomålsmail/A 10894-2026 FSC-klagomål mail.docx", "A 10894-2026")</f>
        <v/>
      </c>
      <c r="AC48">
        <f>HYPERLINK("https://klasma.github.io/Logging_2183/tillsyn/A 10894-2026 tillsynsbegäran.docx", "A 10894-2026")</f>
        <v/>
      </c>
      <c r="AD48">
        <f>HYPERLINK("https://klasma.github.io/Logging_2183/tillsynsmail/A 10894-2026 tillsynsbegäran mail.docx", "A 10894-2026")</f>
        <v/>
      </c>
    </row>
    <row r="49" ht="15" customHeight="1">
      <c r="A49" t="inlineStr">
        <is>
          <t>A 5370-2025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46250</v>
      </c>
      <c r="F49" t="inlineStr">
        <is>
          <t>GÄVLEBORGS LÄN</t>
        </is>
      </c>
      <c r="G49" t="inlineStr">
        <is>
          <t>BOLLNÄS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HYPERLINK("https://klasma.github.io/Logging_2183/artfynd/A 5370-2025 artfynd.xlsx", "A 5370-2025")</f>
        <v/>
      </c>
      <c r="X49">
        <f>HYPERLINK("https://klasma.github.io/Logging_2183/kartor/A 5370-2025 karta.png", "A 5370-2025")</f>
        <v/>
      </c>
      <c r="Y49">
        <f>HYPERLINK("https://klasma.github.io/Logging_2183/kartor_geotiff/A 5370-2025 georefererad karta.tif", "A 5370-2025")</f>
        <v/>
      </c>
      <c r="AA49">
        <f>HYPERLINK("https://klasma.github.io/Logging_2183/klagomål/A 5370-2025 FSC-klagomål.docx", "A 5370-2025")</f>
        <v/>
      </c>
      <c r="AB49">
        <f>HYPERLINK("https://klasma.github.io/Logging_2183/klagomålsmail/A 5370-2025 FSC-klagomål mail.docx", "A 5370-2025")</f>
        <v/>
      </c>
      <c r="AC49">
        <f>HYPERLINK("https://klasma.github.io/Logging_2183/tillsyn/A 5370-2025 tillsynsbegäran.docx", "A 5370-2025")</f>
        <v/>
      </c>
      <c r="AD49">
        <f>HYPERLINK("https://klasma.github.io/Logging_2183/tillsynsmail/A 5370-2025 tillsynsbegäran mail.docx", "A 5370-2025")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46250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46250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46250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A 33032-2026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46244</v>
      </c>
      <c r="E53" s="1" t="n">
        <v>46250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Lunglav</t>
        </is>
      </c>
      <c r="W53">
        <f>HYPERLINK("https://klasma.github.io/Logging_2183/artfynd/A 33032-2026 artfynd.xlsx", "A 33032-2026")</f>
        <v/>
      </c>
      <c r="X53">
        <f>HYPERLINK("https://klasma.github.io/Logging_2183/kartor/A 33032-2026 karta.png", "A 33032-2026")</f>
        <v/>
      </c>
      <c r="Y53">
        <f>HYPERLINK("https://klasma.github.io/Logging_2183/kartor_geotiff/A 33032-2026 georefererad karta.tif", "A 33032-2026")</f>
        <v/>
      </c>
      <c r="AA53">
        <f>HYPERLINK("https://klasma.github.io/Logging_2183/klagomål/A 33032-2026 FSC-klagomål.docx", "A 33032-2026")</f>
        <v/>
      </c>
      <c r="AB53">
        <f>HYPERLINK("https://klasma.github.io/Logging_2183/klagomålsmail/A 33032-2026 FSC-klagomål mail.docx", "A 33032-2026")</f>
        <v/>
      </c>
      <c r="AC53">
        <f>HYPERLINK("https://klasma.github.io/Logging_2183/tillsyn/A 33032-2026 tillsynsbegäran.docx", "A 33032-2026")</f>
        <v/>
      </c>
      <c r="AD53">
        <f>HYPERLINK("https://klasma.github.io/Logging_2183/tillsynsmail/A 33032-2026 tillsynsbegäran mail.docx", "A 33032-2026")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46250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46250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46250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46250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46250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46250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46250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46250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46250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46250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46250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46250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46250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46250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46250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46250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46250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46250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46250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46250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46250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46250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46250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46250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46250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46250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46250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46250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46250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46250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46250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46250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46250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46250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46250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46250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46250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46250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46250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46250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46250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46250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46250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46250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46250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46250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46250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46250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46250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46250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46250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46250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46250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46250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45405</v>
      </c>
      <c r="E113" s="1" t="n">
        <v>46250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46250</v>
      </c>
      <c r="F114" t="inlineStr">
        <is>
          <t>GÄVLEBORGS LÄN</t>
        </is>
      </c>
      <c r="G114" t="inlineStr">
        <is>
          <t>BOLLNÄS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46250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46250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46250</v>
      </c>
      <c r="F117" t="inlineStr">
        <is>
          <t>GÄVLEBORGS LÄN</t>
        </is>
      </c>
      <c r="G117" t="inlineStr">
        <is>
          <t>BOLLNÄS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46250</v>
      </c>
      <c r="F118" t="inlineStr">
        <is>
          <t>GÄVLEBORGS LÄN</t>
        </is>
      </c>
      <c r="G118" t="inlineStr">
        <is>
          <t>BOLLNÄS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46250</v>
      </c>
      <c r="F119" t="inlineStr">
        <is>
          <t>GÄVLEBORGS LÄN</t>
        </is>
      </c>
      <c r="G119" t="inlineStr">
        <is>
          <t>BOLLNÄS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46250</v>
      </c>
      <c r="F120" t="inlineStr">
        <is>
          <t>GÄVLEBORGS LÄN</t>
        </is>
      </c>
      <c r="G120" t="inlineStr">
        <is>
          <t>BOLLNÄS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46250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46250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44438</v>
      </c>
      <c r="E123" s="1" t="n">
        <v>46250</v>
      </c>
      <c r="F123" t="inlineStr">
        <is>
          <t>GÄVLEBORGS LÄN</t>
        </is>
      </c>
      <c r="G123" t="inlineStr">
        <is>
          <t>BOLLNÄS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46250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46250</v>
      </c>
      <c r="F125" t="inlineStr">
        <is>
          <t>GÄVLEBORGS LÄN</t>
        </is>
      </c>
      <c r="G125" t="inlineStr">
        <is>
          <t>BOLLNÄS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46250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56547-2023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45243</v>
      </c>
      <c r="E127" s="1" t="n">
        <v>46250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46250</v>
      </c>
      <c r="F128" t="inlineStr">
        <is>
          <t>GÄVLEBORGS LÄN</t>
        </is>
      </c>
      <c r="G128" t="inlineStr">
        <is>
          <t>BOLLNÄS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44722</v>
      </c>
      <c r="E129" s="1" t="n">
        <v>46250</v>
      </c>
      <c r="F129" t="inlineStr">
        <is>
          <t>GÄVLEBORGS LÄN</t>
        </is>
      </c>
      <c r="G129" t="inlineStr">
        <is>
          <t>BOLLNÄS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46250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46250</v>
      </c>
      <c r="F131" t="inlineStr">
        <is>
          <t>GÄVLEBORGS LÄN</t>
        </is>
      </c>
      <c r="G131" t="inlineStr">
        <is>
          <t>BOLLNÄS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46250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46250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46250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46250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46250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46250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46250</v>
      </c>
      <c r="F138" t="inlineStr">
        <is>
          <t>GÄVLEBORGS LÄN</t>
        </is>
      </c>
      <c r="G138" t="inlineStr">
        <is>
          <t>BOLLNÄS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46250</v>
      </c>
      <c r="F139" t="inlineStr">
        <is>
          <t>GÄVLEBORGS LÄN</t>
        </is>
      </c>
      <c r="G139" t="inlineStr">
        <is>
          <t>BOLLNÄS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46250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46250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46250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46250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46250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46250</v>
      </c>
      <c r="F145" t="inlineStr">
        <is>
          <t>GÄVLEBORGS LÄN</t>
        </is>
      </c>
      <c r="G145" t="inlineStr">
        <is>
          <t>BOLLNÄS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46250</v>
      </c>
      <c r="F146" t="inlineStr">
        <is>
          <t>GÄVLEBORGS LÄN</t>
        </is>
      </c>
      <c r="G146" t="inlineStr">
        <is>
          <t>BOLLNÄS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46250</v>
      </c>
      <c r="F147" t="inlineStr">
        <is>
          <t>GÄVLEBORGS LÄN</t>
        </is>
      </c>
      <c r="G147" t="inlineStr">
        <is>
          <t>BOLLNÄS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46250</v>
      </c>
      <c r="F148" t="inlineStr">
        <is>
          <t>GÄVLEBORGS LÄN</t>
        </is>
      </c>
      <c r="G148" t="inlineStr">
        <is>
          <t>BOLLNÄS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46250</v>
      </c>
      <c r="F149" t="inlineStr">
        <is>
          <t>GÄVLEBORGS LÄN</t>
        </is>
      </c>
      <c r="G149" t="inlineStr">
        <is>
          <t>BOLLNÄS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45331</v>
      </c>
      <c r="E150" s="1" t="n">
        <v>46250</v>
      </c>
      <c r="F150" t="inlineStr">
        <is>
          <t>GÄVLEBORGS LÄN</t>
        </is>
      </c>
      <c r="G150" t="inlineStr">
        <is>
          <t>BOLLNÄS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46250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46250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46250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44774</v>
      </c>
      <c r="E154" s="1" t="n">
        <v>46250</v>
      </c>
      <c r="F154" t="inlineStr">
        <is>
          <t>GÄVLEBORGS LÄN</t>
        </is>
      </c>
      <c r="G154" t="inlineStr">
        <is>
          <t>BOLLNÄS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46250</v>
      </c>
      <c r="F155" t="inlineStr">
        <is>
          <t>GÄVLEBORGS LÄN</t>
        </is>
      </c>
      <c r="G155" t="inlineStr">
        <is>
          <t>BOLLNÄS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44712</v>
      </c>
      <c r="E156" s="1" t="n">
        <v>46250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46250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46250</v>
      </c>
      <c r="F158" t="inlineStr">
        <is>
          <t>GÄVLEBORGS LÄN</t>
        </is>
      </c>
      <c r="G158" t="inlineStr">
        <is>
          <t>BOLLNÄS</t>
        </is>
      </c>
      <c r="H158" t="inlineStr">
        <is>
          <t>Kyrkan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46250</v>
      </c>
      <c r="F159" t="inlineStr">
        <is>
          <t>GÄVLEBORGS LÄN</t>
        </is>
      </c>
      <c r="G159" t="inlineStr">
        <is>
          <t>BOLLNÄS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46250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44856</v>
      </c>
      <c r="E161" s="1" t="n">
        <v>46250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46250</v>
      </c>
      <c r="F162" t="inlineStr">
        <is>
          <t>GÄVLEBORGS LÄN</t>
        </is>
      </c>
      <c r="G162" t="inlineStr">
        <is>
          <t>BOLLNÄS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46250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46250</v>
      </c>
      <c r="F164" t="inlineStr">
        <is>
          <t>GÄVLEBORGS LÄN</t>
        </is>
      </c>
      <c r="G164" t="inlineStr">
        <is>
          <t>BOLLNÄS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46250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46250</v>
      </c>
      <c r="F166" t="inlineStr">
        <is>
          <t>GÄVLEBORGS LÄN</t>
        </is>
      </c>
      <c r="G166" t="inlineStr">
        <is>
          <t>BOLLNÄS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44872</v>
      </c>
      <c r="E167" s="1" t="n">
        <v>46250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46250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46250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46250</v>
      </c>
      <c r="F170" t="inlineStr">
        <is>
          <t>GÄVLEBORGS LÄN</t>
        </is>
      </c>
      <c r="G170" t="inlineStr">
        <is>
          <t>BOLLNÄS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46250</v>
      </c>
      <c r="F171" t="inlineStr">
        <is>
          <t>GÄVLEBORGS LÄN</t>
        </is>
      </c>
      <c r="G171" t="inlineStr">
        <is>
          <t>BOLLNÄS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46250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46250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46250</v>
      </c>
      <c r="F174" t="inlineStr">
        <is>
          <t>GÄVLEBORGS LÄN</t>
        </is>
      </c>
      <c r="G174" t="inlineStr">
        <is>
          <t>BOLLNÄS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46250</v>
      </c>
      <c r="F175" t="inlineStr">
        <is>
          <t>GÄVLEBORGS LÄN</t>
        </is>
      </c>
      <c r="G175" t="inlineStr">
        <is>
          <t>BOLLNÄS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46250</v>
      </c>
      <c r="F176" t="inlineStr">
        <is>
          <t>GÄVLEBORGS LÄN</t>
        </is>
      </c>
      <c r="G176" t="inlineStr">
        <is>
          <t>BOLLNÄS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46250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46250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46250</v>
      </c>
      <c r="F179" t="inlineStr">
        <is>
          <t>GÄVLEBORGS LÄN</t>
        </is>
      </c>
      <c r="G179" t="inlineStr">
        <is>
          <t>BOLLNÄS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46250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46250</v>
      </c>
      <c r="F181" t="inlineStr">
        <is>
          <t>GÄVLEBORGS LÄN</t>
        </is>
      </c>
      <c r="G181" t="inlineStr">
        <is>
          <t>BOLLNÄS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46250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45497</v>
      </c>
      <c r="E183" s="1" t="n">
        <v>46250</v>
      </c>
      <c r="F183" t="inlineStr">
        <is>
          <t>GÄVLEBORGS LÄN</t>
        </is>
      </c>
      <c r="G183" t="inlineStr">
        <is>
          <t>BOLLNÄS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46250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46250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46250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46250</v>
      </c>
      <c r="F187" t="inlineStr">
        <is>
          <t>GÄVLEBORGS LÄN</t>
        </is>
      </c>
      <c r="G187" t="inlineStr">
        <is>
          <t>BOLLNÄS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46250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46250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46250</v>
      </c>
      <c r="F190" t="inlineStr">
        <is>
          <t>GÄVLEBORGS LÄN</t>
        </is>
      </c>
      <c r="G190" t="inlineStr">
        <is>
          <t>BOLLNÄS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46250</v>
      </c>
      <c r="F191" t="inlineStr">
        <is>
          <t>GÄVLEBORGS LÄN</t>
        </is>
      </c>
      <c r="G191" t="inlineStr">
        <is>
          <t>BOLLNÄS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46250</v>
      </c>
      <c r="F192" t="inlineStr">
        <is>
          <t>GÄVLEBORGS LÄN</t>
        </is>
      </c>
      <c r="G192" t="inlineStr">
        <is>
          <t>BOLLNÄS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46250</v>
      </c>
      <c r="F193" t="inlineStr">
        <is>
          <t>GÄVLEBORGS LÄN</t>
        </is>
      </c>
      <c r="G193" t="inlineStr">
        <is>
          <t>BOLLNÄS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46250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46250</v>
      </c>
      <c r="F195" t="inlineStr">
        <is>
          <t>GÄVLEBORGS LÄN</t>
        </is>
      </c>
      <c r="G195" t="inlineStr">
        <is>
          <t>BOLLNÄS</t>
        </is>
      </c>
      <c r="H195" t="inlineStr">
        <is>
          <t>Kyrkan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46250</v>
      </c>
      <c r="F196" t="inlineStr">
        <is>
          <t>GÄVLEBORGS LÄN</t>
        </is>
      </c>
      <c r="G196" t="inlineStr">
        <is>
          <t>BOLLNÄS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46250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46250</v>
      </c>
      <c r="F198" t="inlineStr">
        <is>
          <t>GÄVLEBORGS LÄN</t>
        </is>
      </c>
      <c r="G198" t="inlineStr">
        <is>
          <t>BOLLNÄS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46250</v>
      </c>
      <c r="F199" t="inlineStr">
        <is>
          <t>GÄVLEBORGS LÄN</t>
        </is>
      </c>
      <c r="G199" t="inlineStr">
        <is>
          <t>BOLLNÄS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46250</v>
      </c>
      <c r="F200" t="inlineStr">
        <is>
          <t>GÄVLEBORGS LÄN</t>
        </is>
      </c>
      <c r="G200" t="inlineStr">
        <is>
          <t>BOLLNÄS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46250</v>
      </c>
      <c r="F201" t="inlineStr">
        <is>
          <t>GÄVLEBORGS LÄN</t>
        </is>
      </c>
      <c r="G201" t="inlineStr">
        <is>
          <t>BOLLNÄS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46250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46250</v>
      </c>
      <c r="F203" t="inlineStr">
        <is>
          <t>GÄVLEBORGS LÄN</t>
        </is>
      </c>
      <c r="G203" t="inlineStr">
        <is>
          <t>BOLLNÄS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44526</v>
      </c>
      <c r="E204" s="1" t="n">
        <v>46250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45904</v>
      </c>
      <c r="E205" s="1" t="n">
        <v>46250</v>
      </c>
      <c r="F205" t="inlineStr">
        <is>
          <t>GÄVLEBORGS LÄN</t>
        </is>
      </c>
      <c r="G205" t="inlineStr">
        <is>
          <t>BOLLNÄS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46250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46250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46250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46250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46250</v>
      </c>
      <c r="F210" t="inlineStr">
        <is>
          <t>GÄVLEBORGS LÄN</t>
        </is>
      </c>
      <c r="G210" t="inlineStr">
        <is>
          <t>BOLLNÄS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45716</v>
      </c>
      <c r="E211" s="1" t="n">
        <v>46250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46250</v>
      </c>
      <c r="F212" t="inlineStr">
        <is>
          <t>GÄVLEBORGS LÄN</t>
        </is>
      </c>
      <c r="G212" t="inlineStr">
        <is>
          <t>BOLLNÄS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46250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46250</v>
      </c>
      <c r="F214" t="inlineStr">
        <is>
          <t>GÄVLEBORGS LÄN</t>
        </is>
      </c>
      <c r="G214" t="inlineStr">
        <is>
          <t>BOLLNÄS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46250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46250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46250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46250</v>
      </c>
      <c r="F218" t="inlineStr">
        <is>
          <t>GÄVLEBORGS LÄN</t>
        </is>
      </c>
      <c r="G218" t="inlineStr">
        <is>
          <t>BOLLNÄS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46250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46250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46250</v>
      </c>
      <c r="F221" t="inlineStr">
        <is>
          <t>GÄVLEBORGS LÄN</t>
        </is>
      </c>
      <c r="G221" t="inlineStr">
        <is>
          <t>BOLLNÄS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46250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46250</v>
      </c>
      <c r="F223" t="inlineStr">
        <is>
          <t>GÄVLEBORGS LÄN</t>
        </is>
      </c>
      <c r="G223" t="inlineStr">
        <is>
          <t>BOLLNÄS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46250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46250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46250</v>
      </c>
      <c r="F226" t="inlineStr">
        <is>
          <t>GÄVLEBORGS LÄN</t>
        </is>
      </c>
      <c r="G226" t="inlineStr">
        <is>
          <t>BOLLNÄS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46250</v>
      </c>
      <c r="F227" t="inlineStr">
        <is>
          <t>GÄVLEBORGS LÄN</t>
        </is>
      </c>
      <c r="G227" t="inlineStr">
        <is>
          <t>BOLLNÄS</t>
        </is>
      </c>
      <c r="H227" t="inlineStr">
        <is>
          <t>Kyrkan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46250</v>
      </c>
      <c r="F228" t="inlineStr">
        <is>
          <t>GÄVLEBORGS LÄN</t>
        </is>
      </c>
      <c r="G228" t="inlineStr">
        <is>
          <t>BOLLNÄS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46250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46250</v>
      </c>
      <c r="F230" t="inlineStr">
        <is>
          <t>GÄVLEBORGS LÄN</t>
        </is>
      </c>
      <c r="G230" t="inlineStr">
        <is>
          <t>BOLLNÄS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46250</v>
      </c>
      <c r="F231" t="inlineStr">
        <is>
          <t>GÄVLEBORGS LÄN</t>
        </is>
      </c>
      <c r="G231" t="inlineStr">
        <is>
          <t>BOLLNÄS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46250</v>
      </c>
      <c r="F232" t="inlineStr">
        <is>
          <t>GÄVLEBORGS LÄN</t>
        </is>
      </c>
      <c r="G232" t="inlineStr">
        <is>
          <t>BOLLNÄS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46250</v>
      </c>
      <c r="F233" t="inlineStr">
        <is>
          <t>GÄVLEBORGS LÄN</t>
        </is>
      </c>
      <c r="G233" t="inlineStr">
        <is>
          <t>BOLLNÄS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46250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57887-2025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45981</v>
      </c>
      <c r="E235" s="1" t="n">
        <v>46250</v>
      </c>
      <c r="F235" t="inlineStr">
        <is>
          <t>GÄVLEBORGS LÄN</t>
        </is>
      </c>
      <c r="G235" t="inlineStr">
        <is>
          <t>BOLLNÄS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46082</v>
      </c>
      <c r="E236" s="1" t="n">
        <v>46250</v>
      </c>
      <c r="F236" t="inlineStr">
        <is>
          <t>GÄVLEBORGS LÄN</t>
        </is>
      </c>
      <c r="G236" t="inlineStr">
        <is>
          <t>BOLLNÄS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46250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46080</v>
      </c>
      <c r="E238" s="1" t="n">
        <v>46250</v>
      </c>
      <c r="F238" t="inlineStr">
        <is>
          <t>GÄVLEBORGS LÄN</t>
        </is>
      </c>
      <c r="G238" t="inlineStr">
        <is>
          <t>BOLLNÄS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46250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46250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45327-2025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45922</v>
      </c>
      <c r="E241" s="1" t="n">
        <v>46250</v>
      </c>
      <c r="F241" t="inlineStr">
        <is>
          <t>GÄVLEBORGS LÄN</t>
        </is>
      </c>
      <c r="G241" t="inlineStr">
        <is>
          <t>BOLLNÄS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46250</v>
      </c>
      <c r="F242" t="inlineStr">
        <is>
          <t>GÄVLEBORGS LÄN</t>
        </is>
      </c>
      <c r="G242" t="inlineStr">
        <is>
          <t>BOLLNÄS</t>
        </is>
      </c>
      <c r="H242" t="inlineStr">
        <is>
          <t>Bergvik skog väst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46250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46250</v>
      </c>
      <c r="F244" t="inlineStr">
        <is>
          <t>GÄVLEBORGS LÄN</t>
        </is>
      </c>
      <c r="G244" t="inlineStr">
        <is>
          <t>BOLLNÄS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46250</v>
      </c>
      <c r="F245" t="inlineStr">
        <is>
          <t>GÄVLEBORGS LÄN</t>
        </is>
      </c>
      <c r="G245" t="inlineStr">
        <is>
          <t>BOLLNÄS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46250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46250</v>
      </c>
      <c r="F247" t="inlineStr">
        <is>
          <t>GÄVLEBORGS LÄN</t>
        </is>
      </c>
      <c r="G247" t="inlineStr">
        <is>
          <t>BOLLNÄS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46250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46250</v>
      </c>
      <c r="F249" t="inlineStr">
        <is>
          <t>GÄVLEBORGS LÄN</t>
        </is>
      </c>
      <c r="G249" t="inlineStr">
        <is>
          <t>BOLLNÄS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46250</v>
      </c>
      <c r="F250" t="inlineStr">
        <is>
          <t>GÄVLEBORGS LÄN</t>
        </is>
      </c>
      <c r="G250" t="inlineStr">
        <is>
          <t>BOLLNÄS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46250</v>
      </c>
      <c r="F251" t="inlineStr">
        <is>
          <t>GÄVLEBORGS LÄN</t>
        </is>
      </c>
      <c r="G251" t="inlineStr">
        <is>
          <t>BOLLNÄS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45923</v>
      </c>
      <c r="E252" s="1" t="n">
        <v>46250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46250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11308-2026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46080</v>
      </c>
      <c r="E254" s="1" t="n">
        <v>46250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46250</v>
      </c>
      <c r="F255" t="inlineStr">
        <is>
          <t>GÄVLEBORGS LÄN</t>
        </is>
      </c>
      <c r="G255" t="inlineStr">
        <is>
          <t>BOLLNÄS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46250</v>
      </c>
      <c r="F256" t="inlineStr">
        <is>
          <t>GÄVLEBORGS LÄN</t>
        </is>
      </c>
      <c r="G256" t="inlineStr">
        <is>
          <t>BOLLNÄS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46250</v>
      </c>
      <c r="F257" t="inlineStr">
        <is>
          <t>GÄVLEBORGS LÄN</t>
        </is>
      </c>
      <c r="G257" t="inlineStr">
        <is>
          <t>BOLLNÄS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46250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46250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46082</v>
      </c>
      <c r="E260" s="1" t="n">
        <v>46250</v>
      </c>
      <c r="F260" t="inlineStr">
        <is>
          <t>GÄVLEBORGS LÄN</t>
        </is>
      </c>
      <c r="G260" t="inlineStr">
        <is>
          <t>BOLLNÄS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46250</v>
      </c>
      <c r="F261" t="inlineStr">
        <is>
          <t>GÄVLEBORGS LÄN</t>
        </is>
      </c>
      <c r="G261" t="inlineStr">
        <is>
          <t>BOLLNÄS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46250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46883-2025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46250</v>
      </c>
      <c r="F263" t="inlineStr">
        <is>
          <t>GÄVLEBORGS LÄN</t>
        </is>
      </c>
      <c r="G263" t="inlineStr">
        <is>
          <t>BOLLNÄS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46250</v>
      </c>
      <c r="F264" t="inlineStr">
        <is>
          <t>GÄVLEBORGS LÄN</t>
        </is>
      </c>
      <c r="G264" t="inlineStr">
        <is>
          <t>BOLLNÄS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46250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46250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46250</v>
      </c>
      <c r="F267" t="inlineStr">
        <is>
          <t>GÄVLEBORGS LÄN</t>
        </is>
      </c>
      <c r="G267" t="inlineStr">
        <is>
          <t>BOLLNÄS</t>
        </is>
      </c>
      <c r="I267" t="n">
        <v>14.1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45853</v>
      </c>
      <c r="E268" s="1" t="n">
        <v>46250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46250</v>
      </c>
      <c r="F269" t="inlineStr">
        <is>
          <t>GÄVLEBORGS LÄN</t>
        </is>
      </c>
      <c r="G269" t="inlineStr">
        <is>
          <t>BOLLNÄS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46250</v>
      </c>
      <c r="F270" t="inlineStr">
        <is>
          <t>GÄVLEBORGS LÄN</t>
        </is>
      </c>
      <c r="G270" t="inlineStr">
        <is>
          <t>BOLLNÄS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46250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46250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46250</v>
      </c>
      <c r="F273" t="inlineStr">
        <is>
          <t>GÄVLEBORGS LÄN</t>
        </is>
      </c>
      <c r="G273" t="inlineStr">
        <is>
          <t>BOLLNÄS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46250</v>
      </c>
      <c r="F274" t="inlineStr">
        <is>
          <t>GÄVLEBORGS LÄN</t>
        </is>
      </c>
      <c r="G274" t="inlineStr">
        <is>
          <t>BOLLNÄS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46250</v>
      </c>
      <c r="F275" t="inlineStr">
        <is>
          <t>GÄVLEBORGS LÄN</t>
        </is>
      </c>
      <c r="G275" t="inlineStr">
        <is>
          <t>BOLLNÄS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45672</v>
      </c>
      <c r="E276" s="1" t="n">
        <v>46250</v>
      </c>
      <c r="F276" t="inlineStr">
        <is>
          <t>GÄVLEBORGS LÄN</t>
        </is>
      </c>
      <c r="G276" t="inlineStr">
        <is>
          <t>BOLLNÄS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46087</v>
      </c>
      <c r="E277" s="1" t="n">
        <v>46250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46087</v>
      </c>
      <c r="E278" s="1" t="n">
        <v>46250</v>
      </c>
      <c r="F278" t="inlineStr">
        <is>
          <t>GÄVLEBORGS LÄN</t>
        </is>
      </c>
      <c r="G278" t="inlineStr">
        <is>
          <t>BOLLNÄS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46250</v>
      </c>
      <c r="F279" t="inlineStr">
        <is>
          <t>GÄVLEBORGS LÄN</t>
        </is>
      </c>
      <c r="G279" t="inlineStr">
        <is>
          <t>BOLLNÄS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46250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46250</v>
      </c>
      <c r="F281" t="inlineStr">
        <is>
          <t>GÄVLEBORGS LÄN</t>
        </is>
      </c>
      <c r="G281" t="inlineStr">
        <is>
          <t>BOLLNÄS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46087</v>
      </c>
      <c r="E282" s="1" t="n">
        <v>46250</v>
      </c>
      <c r="F282" t="inlineStr">
        <is>
          <t>GÄVLEBORGS LÄN</t>
        </is>
      </c>
      <c r="G282" t="inlineStr">
        <is>
          <t>BOLLNÄS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46090</v>
      </c>
      <c r="E283" s="1" t="n">
        <v>46250</v>
      </c>
      <c r="F283" t="inlineStr">
        <is>
          <t>GÄVLEBORGS LÄN</t>
        </is>
      </c>
      <c r="G283" t="inlineStr">
        <is>
          <t>BOLLNÄS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46250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46250</v>
      </c>
      <c r="F285" t="inlineStr">
        <is>
          <t>GÄVLEBORGS LÄN</t>
        </is>
      </c>
      <c r="G285" t="inlineStr">
        <is>
          <t>BOLLNÄS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46250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46250</v>
      </c>
      <c r="F287" t="inlineStr">
        <is>
          <t>GÄVLEBORGS LÄN</t>
        </is>
      </c>
      <c r="G287" t="inlineStr">
        <is>
          <t>BOLLNÄS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46250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46088</v>
      </c>
      <c r="E289" s="1" t="n">
        <v>46250</v>
      </c>
      <c r="F289" t="inlineStr">
        <is>
          <t>GÄVLEBORGS LÄN</t>
        </is>
      </c>
      <c r="G289" t="inlineStr">
        <is>
          <t>BOLLNÄS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46250</v>
      </c>
      <c r="F290" t="inlineStr">
        <is>
          <t>GÄVLEBORGS LÄN</t>
        </is>
      </c>
      <c r="G290" t="inlineStr">
        <is>
          <t>BOLLNÄS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46250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58333-2022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44901</v>
      </c>
      <c r="E292" s="1" t="n">
        <v>46250</v>
      </c>
      <c r="F292" t="inlineStr">
        <is>
          <t>GÄVLEBORGS LÄN</t>
        </is>
      </c>
      <c r="G292" t="inlineStr">
        <is>
          <t>BOLLNÄS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46250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44869</v>
      </c>
      <c r="E294" s="1" t="n">
        <v>46250</v>
      </c>
      <c r="F294" t="inlineStr">
        <is>
          <t>GÄVLEBORGS LÄN</t>
        </is>
      </c>
      <c r="G294" t="inlineStr">
        <is>
          <t>BOLLNÄS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46250</v>
      </c>
      <c r="F295" t="inlineStr">
        <is>
          <t>GÄVLEBORGS LÄN</t>
        </is>
      </c>
      <c r="G295" t="inlineStr">
        <is>
          <t>BOLLNÄS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46250</v>
      </c>
      <c r="F296" t="inlineStr">
        <is>
          <t>GÄVLEBORGS LÄN</t>
        </is>
      </c>
      <c r="G296" t="inlineStr">
        <is>
          <t>BOLLNÄS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46250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45524</v>
      </c>
      <c r="E298" s="1" t="n">
        <v>46250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46250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46088</v>
      </c>
      <c r="E300" s="1" t="n">
        <v>46250</v>
      </c>
      <c r="F300" t="inlineStr">
        <is>
          <t>GÄVLEBORGS LÄN</t>
        </is>
      </c>
      <c r="G300" t="inlineStr">
        <is>
          <t>BOLLNÄS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46250</v>
      </c>
      <c r="F301" t="inlineStr">
        <is>
          <t>GÄVLEBORGS LÄN</t>
        </is>
      </c>
      <c r="G301" t="inlineStr">
        <is>
          <t>BOLLNÄS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46250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46250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44595</v>
      </c>
      <c r="E304" s="1" t="n">
        <v>46250</v>
      </c>
      <c r="F304" t="inlineStr">
        <is>
          <t>GÄVLEBORGS LÄN</t>
        </is>
      </c>
      <c r="G304" t="inlineStr">
        <is>
          <t>BOLLNÄS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44594</v>
      </c>
      <c r="E305" s="1" t="n">
        <v>46250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46250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46250</v>
      </c>
      <c r="F307" t="inlineStr">
        <is>
          <t>GÄVLEBORGS LÄN</t>
        </is>
      </c>
      <c r="G307" t="inlineStr">
        <is>
          <t>BOLLNÄS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46250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28.3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46250</v>
      </c>
      <c r="F309" t="inlineStr">
        <is>
          <t>GÄVLEBORGS LÄN</t>
        </is>
      </c>
      <c r="G309" t="inlineStr">
        <is>
          <t>BOLLNÄS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46250</v>
      </c>
      <c r="F310" t="inlineStr">
        <is>
          <t>GÄVLEBORGS LÄN</t>
        </is>
      </c>
      <c r="G310" t="inlineStr">
        <is>
          <t>BOLLNÄS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46250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46250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46250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46250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46250</v>
      </c>
      <c r="F315" t="inlineStr">
        <is>
          <t>GÄVLEBORGS LÄN</t>
        </is>
      </c>
      <c r="G315" t="inlineStr">
        <is>
          <t>BOLLNÄS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46250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46250</v>
      </c>
      <c r="F317" t="inlineStr">
        <is>
          <t>GÄVLEBORGS LÄN</t>
        </is>
      </c>
      <c r="G317" t="inlineStr">
        <is>
          <t>BOLLNÄS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45119</v>
      </c>
      <c r="E318" s="1" t="n">
        <v>46250</v>
      </c>
      <c r="F318" t="inlineStr">
        <is>
          <t>GÄVLEBORGS LÄN</t>
        </is>
      </c>
      <c r="G318" t="inlineStr">
        <is>
          <t>BOLLNÄS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46250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46250</v>
      </c>
      <c r="F320" t="inlineStr">
        <is>
          <t>GÄVLEBORGS LÄN</t>
        </is>
      </c>
      <c r="G320" t="inlineStr">
        <is>
          <t>BOLLNÄS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46250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46250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46250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46250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46250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46250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46250</v>
      </c>
      <c r="F327" t="inlineStr">
        <is>
          <t>GÄVLEBORGS LÄN</t>
        </is>
      </c>
      <c r="G327" t="inlineStr">
        <is>
          <t>BOLLNÄS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46250</v>
      </c>
      <c r="F328" t="inlineStr">
        <is>
          <t>GÄVLEBORGS LÄN</t>
        </is>
      </c>
      <c r="G328" t="inlineStr">
        <is>
          <t>BOLLNÄS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44872</v>
      </c>
      <c r="E329" s="1" t="n">
        <v>46250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46250</v>
      </c>
      <c r="F330" t="inlineStr">
        <is>
          <t>GÄVLEBORGS LÄN</t>
        </is>
      </c>
      <c r="G330" t="inlineStr">
        <is>
          <t>BOLLNÄS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46250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46250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46250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46250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46250</v>
      </c>
      <c r="F335" t="inlineStr">
        <is>
          <t>GÄVLEBORGS LÄN</t>
        </is>
      </c>
      <c r="G335" t="inlineStr">
        <is>
          <t>BOLLNÄS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46250</v>
      </c>
      <c r="F336" t="inlineStr">
        <is>
          <t>GÄVLEBORGS LÄN</t>
        </is>
      </c>
      <c r="G336" t="inlineStr">
        <is>
          <t>BOLLNÄS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46097</v>
      </c>
      <c r="E337" s="1" t="n">
        <v>46250</v>
      </c>
      <c r="F337" t="inlineStr">
        <is>
          <t>GÄVLEBORGS LÄN</t>
        </is>
      </c>
      <c r="G337" t="inlineStr">
        <is>
          <t>BOLLNÄS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46250</v>
      </c>
      <c r="F338" t="inlineStr">
        <is>
          <t>GÄVLEBORGS LÄN</t>
        </is>
      </c>
      <c r="G338" t="inlineStr">
        <is>
          <t>BOLLNÄS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46250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46250</v>
      </c>
      <c r="F340" t="inlineStr">
        <is>
          <t>GÄVLEBORGS LÄN</t>
        </is>
      </c>
      <c r="G340" t="inlineStr">
        <is>
          <t>BOLLNÄS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46250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46250</v>
      </c>
      <c r="F342" t="inlineStr">
        <is>
          <t>GÄVLEBORGS LÄN</t>
        </is>
      </c>
      <c r="G342" t="inlineStr">
        <is>
          <t>BOLLNÄS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46250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46250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46250</v>
      </c>
      <c r="F345" t="inlineStr">
        <is>
          <t>GÄVLEBORGS LÄN</t>
        </is>
      </c>
      <c r="G345" t="inlineStr">
        <is>
          <t>BOLLNÄS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46250</v>
      </c>
      <c r="F346" t="inlineStr">
        <is>
          <t>GÄVLEBORGS LÄN</t>
        </is>
      </c>
      <c r="G346" t="inlineStr">
        <is>
          <t>BOLLNÄS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46250</v>
      </c>
      <c r="F347" t="inlineStr">
        <is>
          <t>GÄVLEBORGS LÄN</t>
        </is>
      </c>
      <c r="G347" t="inlineStr">
        <is>
          <t>BOLLNÄS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46250</v>
      </c>
      <c r="F348" t="inlineStr">
        <is>
          <t>GÄVLEBORGS LÄN</t>
        </is>
      </c>
      <c r="G348" t="inlineStr">
        <is>
          <t>BOLLNÄS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46097</v>
      </c>
      <c r="E349" s="1" t="n">
        <v>46250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46250</v>
      </c>
      <c r="F350" t="inlineStr">
        <is>
          <t>GÄVLEBORGS LÄN</t>
        </is>
      </c>
      <c r="G350" t="inlineStr">
        <is>
          <t>BOLLNÄS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46250</v>
      </c>
      <c r="F351" t="inlineStr">
        <is>
          <t>GÄVLEBORGS LÄN</t>
        </is>
      </c>
      <c r="G351" t="inlineStr">
        <is>
          <t>BOLLNÄS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46250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46250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46250</v>
      </c>
      <c r="F354" t="inlineStr">
        <is>
          <t>GÄVLEBORGS LÄN</t>
        </is>
      </c>
      <c r="G354" t="inlineStr">
        <is>
          <t>BOLLNÄS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46250</v>
      </c>
      <c r="F355" t="inlineStr">
        <is>
          <t>GÄVLEBORGS LÄN</t>
        </is>
      </c>
      <c r="G355" t="inlineStr">
        <is>
          <t>BOLLNÄS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46250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46250</v>
      </c>
      <c r="F357" t="inlineStr">
        <is>
          <t>GÄVLEBORGS LÄN</t>
        </is>
      </c>
      <c r="G357" t="inlineStr">
        <is>
          <t>BOLLNÄS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46250</v>
      </c>
      <c r="F358" t="inlineStr">
        <is>
          <t>GÄVLEBORGS LÄN</t>
        </is>
      </c>
      <c r="G358" t="inlineStr">
        <is>
          <t>BOLLNÄS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46250</v>
      </c>
      <c r="F359" t="inlineStr">
        <is>
          <t>GÄVLEBORGS LÄN</t>
        </is>
      </c>
      <c r="G359" t="inlineStr">
        <is>
          <t>BOLLNÄS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46250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44616</v>
      </c>
      <c r="E361" s="1" t="n">
        <v>46250</v>
      </c>
      <c r="F361" t="inlineStr">
        <is>
          <t>GÄVLEBORGS LÄN</t>
        </is>
      </c>
      <c r="G361" t="inlineStr">
        <is>
          <t>BOLLNÄS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46250</v>
      </c>
      <c r="F362" t="inlineStr">
        <is>
          <t>GÄVLEBORGS LÄN</t>
        </is>
      </c>
      <c r="G362" t="inlineStr">
        <is>
          <t>BOLLNÄS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46250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46250</v>
      </c>
      <c r="F364" t="inlineStr">
        <is>
          <t>GÄVLEBORGS LÄN</t>
        </is>
      </c>
      <c r="G364" t="inlineStr">
        <is>
          <t>BOLLNÄS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46250</v>
      </c>
      <c r="F365" t="inlineStr">
        <is>
          <t>GÄVLEBORGS LÄN</t>
        </is>
      </c>
      <c r="G365" t="inlineStr">
        <is>
          <t>BOLLNÄS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46250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46250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46250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46250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46250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46250</v>
      </c>
      <c r="F371" t="inlineStr">
        <is>
          <t>GÄVLEBORGS LÄN</t>
        </is>
      </c>
      <c r="G371" t="inlineStr">
        <is>
          <t>BOLLNÄS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46250</v>
      </c>
      <c r="F372" t="inlineStr">
        <is>
          <t>GÄVLEBORGS LÄN</t>
        </is>
      </c>
      <c r="G372" t="inlineStr">
        <is>
          <t>BOLLNÄS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45951</v>
      </c>
      <c r="E373" s="1" t="n">
        <v>46250</v>
      </c>
      <c r="F373" t="inlineStr">
        <is>
          <t>GÄVLEBORGS LÄN</t>
        </is>
      </c>
      <c r="G373" t="inlineStr">
        <is>
          <t>BOLLNÄS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46250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45572</v>
      </c>
      <c r="E375" s="1" t="n">
        <v>46250</v>
      </c>
      <c r="F375" t="inlineStr">
        <is>
          <t>GÄVLEBORGS LÄN</t>
        </is>
      </c>
      <c r="G375" t="inlineStr">
        <is>
          <t>BOLLNÄS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46250</v>
      </c>
      <c r="F376" t="inlineStr">
        <is>
          <t>GÄVLEBORGS LÄN</t>
        </is>
      </c>
      <c r="G376" t="inlineStr">
        <is>
          <t>BOLLNÄS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46250</v>
      </c>
      <c r="F377" t="inlineStr">
        <is>
          <t>GÄVLEBORGS LÄN</t>
        </is>
      </c>
      <c r="G377" t="inlineStr">
        <is>
          <t>BOLLNÄS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46250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46250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46250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46250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46101</v>
      </c>
      <c r="E382" s="1" t="n">
        <v>46250</v>
      </c>
      <c r="F382" t="inlineStr">
        <is>
          <t>GÄVLEBORGS LÄN</t>
        </is>
      </c>
      <c r="G382" t="inlineStr">
        <is>
          <t>BOLLNÄS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46250</v>
      </c>
      <c r="F383" t="inlineStr">
        <is>
          <t>GÄVLEBORGS LÄN</t>
        </is>
      </c>
      <c r="G383" t="inlineStr">
        <is>
          <t>BOLLNÄS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46250</v>
      </c>
      <c r="F384" t="inlineStr">
        <is>
          <t>GÄVLEBORGS LÄN</t>
        </is>
      </c>
      <c r="G384" t="inlineStr">
        <is>
          <t>BOLLNÄS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46101</v>
      </c>
      <c r="E385" s="1" t="n">
        <v>46250</v>
      </c>
      <c r="F385" t="inlineStr">
        <is>
          <t>GÄVLEBORGS LÄN</t>
        </is>
      </c>
      <c r="G385" t="inlineStr">
        <is>
          <t>BOLLNÄS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46250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46250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46250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46250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46250</v>
      </c>
      <c r="F390" t="inlineStr">
        <is>
          <t>GÄVLEBORGS LÄN</t>
        </is>
      </c>
      <c r="G390" t="inlineStr">
        <is>
          <t>BOLLNÄS</t>
        </is>
      </c>
      <c r="H390" t="inlineStr">
        <is>
          <t>Kommuner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46250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46250</v>
      </c>
      <c r="F392" t="inlineStr">
        <is>
          <t>GÄVLEBORGS LÄN</t>
        </is>
      </c>
      <c r="G392" t="inlineStr">
        <is>
          <t>BOLLNÄS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46250</v>
      </c>
      <c r="F393" t="inlineStr">
        <is>
          <t>GÄVLEBORGS LÄN</t>
        </is>
      </c>
      <c r="G393" t="inlineStr">
        <is>
          <t>BOLLNÄS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44732</v>
      </c>
      <c r="E394" s="1" t="n">
        <v>46250</v>
      </c>
      <c r="F394" t="inlineStr">
        <is>
          <t>GÄVLEBORGS LÄN</t>
        </is>
      </c>
      <c r="G394" t="inlineStr">
        <is>
          <t>BOLLNÄS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46250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46250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46250</v>
      </c>
      <c r="F397" t="inlineStr">
        <is>
          <t>GÄVLEBORGS LÄN</t>
        </is>
      </c>
      <c r="G397" t="inlineStr">
        <is>
          <t>BOLLNÄS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46250</v>
      </c>
      <c r="F398" t="inlineStr">
        <is>
          <t>GÄVLEBORGS LÄN</t>
        </is>
      </c>
      <c r="G398" t="inlineStr">
        <is>
          <t>BOLLNÄS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46250</v>
      </c>
      <c r="F399" t="inlineStr">
        <is>
          <t>GÄVLEBORGS LÄN</t>
        </is>
      </c>
      <c r="G399" t="inlineStr">
        <is>
          <t>BOLLNÄS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46250</v>
      </c>
      <c r="F400" t="inlineStr">
        <is>
          <t>GÄVLEBORGS LÄN</t>
        </is>
      </c>
      <c r="G400" t="inlineStr">
        <is>
          <t>BOLLNÄS</t>
        </is>
      </c>
      <c r="H400" t="inlineStr">
        <is>
          <t>Kommuner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46250</v>
      </c>
      <c r="F401" t="inlineStr">
        <is>
          <t>GÄVLEBORGS LÄN</t>
        </is>
      </c>
      <c r="G401" t="inlineStr">
        <is>
          <t>BOLLNÄS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46250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46250</v>
      </c>
      <c r="F403" t="inlineStr">
        <is>
          <t>GÄVLEBORGS LÄN</t>
        </is>
      </c>
      <c r="G403" t="inlineStr">
        <is>
          <t>BOLLNÄS</t>
        </is>
      </c>
      <c r="H403" t="inlineStr">
        <is>
          <t>Kommuner</t>
        </is>
      </c>
      <c r="I403" t="n">
        <v>23.7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46250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45468</v>
      </c>
      <c r="E405" s="1" t="n">
        <v>46250</v>
      </c>
      <c r="F405" t="inlineStr">
        <is>
          <t>GÄVLEBORGS LÄN</t>
        </is>
      </c>
      <c r="G405" t="inlineStr">
        <is>
          <t>BOLLNÄS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46250</v>
      </c>
      <c r="F406" t="inlineStr">
        <is>
          <t>GÄVLEBORGS LÄN</t>
        </is>
      </c>
      <c r="G406" t="inlineStr">
        <is>
          <t>BOLLNÄS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46250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46250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50066-2022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46250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45486</v>
      </c>
      <c r="E410" s="1" t="n">
        <v>46250</v>
      </c>
      <c r="F410" t="inlineStr">
        <is>
          <t>GÄVLEBORGS LÄN</t>
        </is>
      </c>
      <c r="G410" t="inlineStr">
        <is>
          <t>BOLLNÄS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46250</v>
      </c>
      <c r="F411" t="inlineStr">
        <is>
          <t>GÄVLEBORGS LÄN</t>
        </is>
      </c>
      <c r="G411" t="inlineStr">
        <is>
          <t>BOLLNÄS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45567</v>
      </c>
      <c r="E412" s="1" t="n">
        <v>46250</v>
      </c>
      <c r="F412" t="inlineStr">
        <is>
          <t>GÄVLEBORGS LÄN</t>
        </is>
      </c>
      <c r="G412" t="inlineStr">
        <is>
          <t>BOLLNÄS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46250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46250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46250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46250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46250</v>
      </c>
      <c r="F417" t="inlineStr">
        <is>
          <t>GÄVLEBORGS LÄN</t>
        </is>
      </c>
      <c r="G417" t="inlineStr">
        <is>
          <t>BOLLNÄS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16641-2024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46250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öst AB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46250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46250</v>
      </c>
      <c r="F420" t="inlineStr">
        <is>
          <t>GÄVLEBORGS LÄN</t>
        </is>
      </c>
      <c r="G420" t="inlineStr">
        <is>
          <t>BOLLNÄS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45959</v>
      </c>
      <c r="E421" s="1" t="n">
        <v>46250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46250</v>
      </c>
      <c r="F422" t="inlineStr">
        <is>
          <t>GÄVLEBORGS LÄN</t>
        </is>
      </c>
      <c r="G422" t="inlineStr">
        <is>
          <t>BOLLNÄS</t>
        </is>
      </c>
      <c r="H422" t="inlineStr">
        <is>
          <t>Holmen skog AB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46250</v>
      </c>
      <c r="F423" t="inlineStr">
        <is>
          <t>GÄVLEBORGS LÄN</t>
        </is>
      </c>
      <c r="G423" t="inlineStr">
        <is>
          <t>BOLLNÄS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46250</v>
      </c>
      <c r="F424" t="inlineStr">
        <is>
          <t>GÄVLEBORGS LÄN</t>
        </is>
      </c>
      <c r="G424" t="inlineStr">
        <is>
          <t>BOLLNÄS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46250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46250</v>
      </c>
      <c r="F426" t="inlineStr">
        <is>
          <t>GÄVLEBORGS LÄN</t>
        </is>
      </c>
      <c r="G426" t="inlineStr">
        <is>
          <t>BOLLNÄS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46250</v>
      </c>
      <c r="F427" t="inlineStr">
        <is>
          <t>GÄVLEBORGS LÄN</t>
        </is>
      </c>
      <c r="G427" t="inlineStr">
        <is>
          <t>BOLLNÄS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54097-2025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46250</v>
      </c>
      <c r="F428" t="inlineStr">
        <is>
          <t>GÄVLEBORGS LÄN</t>
        </is>
      </c>
      <c r="G428" t="inlineStr">
        <is>
          <t>BOLLNÄS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46250</v>
      </c>
      <c r="F429" t="inlineStr">
        <is>
          <t>GÄVLEBORGS LÄN</t>
        </is>
      </c>
      <c r="G429" t="inlineStr">
        <is>
          <t>BOLLNÄS</t>
        </is>
      </c>
      <c r="H429" t="inlineStr">
        <is>
          <t>Sveaskog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46250</v>
      </c>
      <c r="F430" t="inlineStr">
        <is>
          <t>GÄVLEBORGS LÄN</t>
        </is>
      </c>
      <c r="G430" t="inlineStr">
        <is>
          <t>BOLLNÄS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46250</v>
      </c>
      <c r="F431" t="inlineStr">
        <is>
          <t>GÄVLEBORGS LÄN</t>
        </is>
      </c>
      <c r="G431" t="inlineStr">
        <is>
          <t>BOLLNÄS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46250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32.5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46250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46250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44967</v>
      </c>
      <c r="E435" s="1" t="n">
        <v>46250</v>
      </c>
      <c r="F435" t="inlineStr">
        <is>
          <t>GÄVLEBORGS LÄN</t>
        </is>
      </c>
      <c r="G435" t="inlineStr">
        <is>
          <t>BOLLNÄS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67547-2021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44524</v>
      </c>
      <c r="E436" s="1" t="n">
        <v>46250</v>
      </c>
      <c r="F436" t="inlineStr">
        <is>
          <t>GÄVLEBORGS LÄN</t>
        </is>
      </c>
      <c r="G436" t="inlineStr">
        <is>
          <t>BOLLNÄS</t>
        </is>
      </c>
      <c r="H436" t="inlineStr">
        <is>
          <t>Övriga statliga verk och myndigheter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46250</v>
      </c>
      <c r="F437" t="inlineStr">
        <is>
          <t>GÄVLEBORGS LÄN</t>
        </is>
      </c>
      <c r="G437" t="inlineStr">
        <is>
          <t>BOLLNÄS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45037</v>
      </c>
      <c r="E438" s="1" t="n">
        <v>46250</v>
      </c>
      <c r="F438" t="inlineStr">
        <is>
          <t>GÄVLEBORGS LÄN</t>
        </is>
      </c>
      <c r="G438" t="inlineStr">
        <is>
          <t>BOLLNÄS</t>
        </is>
      </c>
      <c r="H438" t="inlineStr">
        <is>
          <t>Kyrkan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45613</v>
      </c>
      <c r="E439" s="1" t="n">
        <v>46250</v>
      </c>
      <c r="F439" t="inlineStr">
        <is>
          <t>GÄVLEBORGS LÄN</t>
        </is>
      </c>
      <c r="G439" t="inlineStr">
        <is>
          <t>BOLLNÄS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46250</v>
      </c>
      <c r="F440" t="inlineStr">
        <is>
          <t>GÄVLEBORGS LÄN</t>
        </is>
      </c>
      <c r="G440" t="inlineStr">
        <is>
          <t>BOLLNÄS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46250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46250</v>
      </c>
      <c r="F442" t="inlineStr">
        <is>
          <t>GÄVLEBORGS LÄN</t>
        </is>
      </c>
      <c r="G442" t="inlineStr">
        <is>
          <t>BOLLNÄS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46250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46250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46250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46250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53818-2025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46250</v>
      </c>
      <c r="F447" t="inlineStr">
        <is>
          <t>GÄVLEBORGS LÄN</t>
        </is>
      </c>
      <c r="G447" t="inlineStr">
        <is>
          <t>BOLLNÄS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46250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46250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41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46250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46250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46250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46250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45701</v>
      </c>
      <c r="E454" s="1" t="n">
        <v>46250</v>
      </c>
      <c r="F454" t="inlineStr">
        <is>
          <t>GÄVLEBORGS LÄN</t>
        </is>
      </c>
      <c r="G454" t="inlineStr">
        <is>
          <t>BOLLNÄS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46250</v>
      </c>
      <c r="F455" t="inlineStr">
        <is>
          <t>GÄVLEBORGS LÄN</t>
        </is>
      </c>
      <c r="G455" t="inlineStr">
        <is>
          <t>BOLLNÄS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46250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46250</v>
      </c>
      <c r="F457" t="inlineStr">
        <is>
          <t>GÄVLEBORGS LÄN</t>
        </is>
      </c>
      <c r="G457" t="inlineStr">
        <is>
          <t>BOLLNÄS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46250</v>
      </c>
      <c r="F458" t="inlineStr">
        <is>
          <t>GÄVLEBORGS LÄN</t>
        </is>
      </c>
      <c r="G458" t="inlineStr">
        <is>
          <t>BOLLNÄS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46250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46250</v>
      </c>
      <c r="F460" t="inlineStr">
        <is>
          <t>GÄVLEBORGS LÄN</t>
        </is>
      </c>
      <c r="G460" t="inlineStr">
        <is>
          <t>BOLLNÄS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46250</v>
      </c>
      <c r="F461" t="inlineStr">
        <is>
          <t>GÄVLEBORGS LÄN</t>
        </is>
      </c>
      <c r="G461" t="inlineStr">
        <is>
          <t>BOLLNÄS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46250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46250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46250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46250</v>
      </c>
      <c r="F465" t="inlineStr">
        <is>
          <t>GÄVLEBORGS LÄN</t>
        </is>
      </c>
      <c r="G465" t="inlineStr">
        <is>
          <t>BOLLNÄS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46250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46108</v>
      </c>
      <c r="E467" s="1" t="n">
        <v>46250</v>
      </c>
      <c r="F467" t="inlineStr">
        <is>
          <t>GÄVLEBORGS LÄN</t>
        </is>
      </c>
      <c r="G467" t="inlineStr">
        <is>
          <t>BOLLNÄS</t>
        </is>
      </c>
      <c r="H467" t="inlineStr">
        <is>
          <t>Holmen skog AB</t>
        </is>
      </c>
      <c r="I467" t="n">
        <v>26.2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46250</v>
      </c>
      <c r="F468" t="inlineStr">
        <is>
          <t>GÄVLEBORGS LÄN</t>
        </is>
      </c>
      <c r="G468" t="inlineStr">
        <is>
          <t>BOLLNÄS</t>
        </is>
      </c>
      <c r="H468" t="inlineStr">
        <is>
          <t>Holmen skog AB</t>
        </is>
      </c>
      <c r="I468" t="n">
        <v>51.8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46108</v>
      </c>
      <c r="E469" s="1" t="n">
        <v>46250</v>
      </c>
      <c r="F469" t="inlineStr">
        <is>
          <t>GÄVLEBORGS LÄN</t>
        </is>
      </c>
      <c r="G469" t="inlineStr">
        <is>
          <t>BOLLNÄS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46250</v>
      </c>
      <c r="F470" t="inlineStr">
        <is>
          <t>GÄVLEBORGS LÄN</t>
        </is>
      </c>
      <c r="G470" t="inlineStr">
        <is>
          <t>BOLLNÄS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46250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46250</v>
      </c>
      <c r="F472" t="inlineStr">
        <is>
          <t>GÄVLEBORGS LÄN</t>
        </is>
      </c>
      <c r="G472" t="inlineStr">
        <is>
          <t>BOLLNÄS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46250</v>
      </c>
      <c r="F473" t="inlineStr">
        <is>
          <t>GÄVLEBORGS LÄN</t>
        </is>
      </c>
      <c r="G473" t="inlineStr">
        <is>
          <t>BOLLNÄS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46250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43384-2024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46250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46250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46250</v>
      </c>
      <c r="F477" t="inlineStr">
        <is>
          <t>GÄVLEBORGS LÄN</t>
        </is>
      </c>
      <c r="G477" t="inlineStr">
        <is>
          <t>BOLLNÄS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46250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44628-2025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45917</v>
      </c>
      <c r="E479" s="1" t="n">
        <v>46250</v>
      </c>
      <c r="F479" t="inlineStr">
        <is>
          <t>GÄVLEBORGS LÄN</t>
        </is>
      </c>
      <c r="G479" t="inlineStr">
        <is>
          <t>BOLLNÄS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46250</v>
      </c>
      <c r="F480" t="inlineStr">
        <is>
          <t>GÄVLEBORGS LÄN</t>
        </is>
      </c>
      <c r="G480" t="inlineStr">
        <is>
          <t>BOLLNÄS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46250</v>
      </c>
      <c r="F481" t="inlineStr">
        <is>
          <t>GÄVLEBORGS LÄN</t>
        </is>
      </c>
      <c r="G481" t="inlineStr">
        <is>
          <t>BOLLNÄS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46250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46250</v>
      </c>
      <c r="F483" t="inlineStr">
        <is>
          <t>GÄVLEBORGS LÄN</t>
        </is>
      </c>
      <c r="G483" t="inlineStr">
        <is>
          <t>BOLLNÄS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46250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46250</v>
      </c>
      <c r="F485" t="inlineStr">
        <is>
          <t>GÄVLEBORGS LÄN</t>
        </is>
      </c>
      <c r="G485" t="inlineStr">
        <is>
          <t>BOLLNÄS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46250</v>
      </c>
      <c r="F486" t="inlineStr">
        <is>
          <t>GÄVLEBORGS LÄN</t>
        </is>
      </c>
      <c r="G486" t="inlineStr">
        <is>
          <t>BOLLNÄS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55367-2023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46250</v>
      </c>
      <c r="F487" t="inlineStr">
        <is>
          <t>GÄVLEBORGS LÄN</t>
        </is>
      </c>
      <c r="G487" t="inlineStr">
        <is>
          <t>BOLLNÄS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46250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46250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51149-2023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46250</v>
      </c>
      <c r="F490" t="inlineStr">
        <is>
          <t>GÄVLEBORGS LÄN</t>
        </is>
      </c>
      <c r="G490" t="inlineStr">
        <is>
          <t>BOLLNÄS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44908</v>
      </c>
      <c r="E491" s="1" t="n">
        <v>46250</v>
      </c>
      <c r="F491" t="inlineStr">
        <is>
          <t>GÄVLEBORGS LÄN</t>
        </is>
      </c>
      <c r="G491" t="inlineStr">
        <is>
          <t>BOLLNÄS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46250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12023-2024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45377</v>
      </c>
      <c r="E493" s="1" t="n">
        <v>46250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46250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46250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46250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44594</v>
      </c>
      <c r="E497" s="1" t="n">
        <v>46250</v>
      </c>
      <c r="F497" t="inlineStr">
        <is>
          <t>GÄVLEBORGS LÄN</t>
        </is>
      </c>
      <c r="G497" t="inlineStr">
        <is>
          <t>BOLLNÄS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46250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46250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46250</v>
      </c>
      <c r="F500" t="inlineStr">
        <is>
          <t>GÄVLEBORGS LÄN</t>
        </is>
      </c>
      <c r="G500" t="inlineStr">
        <is>
          <t>BOLLNÄS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45492</v>
      </c>
      <c r="E501" s="1" t="n">
        <v>46250</v>
      </c>
      <c r="F501" t="inlineStr">
        <is>
          <t>GÄVLEBORGS LÄN</t>
        </is>
      </c>
      <c r="G501" t="inlineStr">
        <is>
          <t>BOLLNÄS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46250</v>
      </c>
      <c r="F502" t="inlineStr">
        <is>
          <t>GÄVLEBORGS LÄN</t>
        </is>
      </c>
      <c r="G502" t="inlineStr">
        <is>
          <t>BOLLNÄS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45448</v>
      </c>
      <c r="E503" s="1" t="n">
        <v>46250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46250</v>
      </c>
      <c r="F504" t="inlineStr">
        <is>
          <t>GÄVLEBORGS LÄN</t>
        </is>
      </c>
      <c r="G504" t="inlineStr">
        <is>
          <t>BOLLNÄS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65403-2021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46250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46250</v>
      </c>
      <c r="F506" t="inlineStr">
        <is>
          <t>GÄVLEBORGS LÄN</t>
        </is>
      </c>
      <c r="G506" t="inlineStr">
        <is>
          <t>BOLLNÄS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46250</v>
      </c>
      <c r="F507" t="inlineStr">
        <is>
          <t>GÄVLEBORGS LÄN</t>
        </is>
      </c>
      <c r="G507" t="inlineStr">
        <is>
          <t>BOLLNÄS</t>
        </is>
      </c>
      <c r="H507" t="inlineStr">
        <is>
          <t>Holmen skog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46250</v>
      </c>
      <c r="F508" t="inlineStr">
        <is>
          <t>GÄVLEBORGS LÄN</t>
        </is>
      </c>
      <c r="G508" t="inlineStr">
        <is>
          <t>BOLLNÄS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46250</v>
      </c>
      <c r="F509" t="inlineStr">
        <is>
          <t>GÄVLEBORGS LÄN</t>
        </is>
      </c>
      <c r="G509" t="inlineStr">
        <is>
          <t>BOLLNÄS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46250</v>
      </c>
      <c r="F510" t="inlineStr">
        <is>
          <t>GÄVLEBORGS LÄN</t>
        </is>
      </c>
      <c r="G510" t="inlineStr">
        <is>
          <t>BOLLNÄS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46250</v>
      </c>
      <c r="F511" t="inlineStr">
        <is>
          <t>GÄVLEBORGS LÄN</t>
        </is>
      </c>
      <c r="G511" t="inlineStr">
        <is>
          <t>BOLLNÄS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46250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46250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46250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46250</v>
      </c>
      <c r="F515" t="inlineStr">
        <is>
          <t>GÄVLEBORGS LÄN</t>
        </is>
      </c>
      <c r="G515" t="inlineStr">
        <is>
          <t>BOLLNÄS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17007-2026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46250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46250</v>
      </c>
      <c r="F517" t="inlineStr">
        <is>
          <t>GÄVLEBORGS LÄN</t>
        </is>
      </c>
      <c r="G517" t="inlineStr">
        <is>
          <t>BOLLNÄS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46250</v>
      </c>
      <c r="F518" t="inlineStr">
        <is>
          <t>GÄVLEBORGS LÄN</t>
        </is>
      </c>
      <c r="G518" t="inlineStr">
        <is>
          <t>BOLLNÄS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46250</v>
      </c>
      <c r="F519" t="inlineStr">
        <is>
          <t>GÄVLEBORGS LÄN</t>
        </is>
      </c>
      <c r="G519" t="inlineStr">
        <is>
          <t>BOLLNÄS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46250</v>
      </c>
      <c r="F520" t="inlineStr">
        <is>
          <t>GÄVLEBORGS LÄN</t>
        </is>
      </c>
      <c r="G520" t="inlineStr">
        <is>
          <t>BOLLNÄS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46250</v>
      </c>
      <c r="F521" t="inlineStr">
        <is>
          <t>GÄVLEBORGS LÄN</t>
        </is>
      </c>
      <c r="G521" t="inlineStr">
        <is>
          <t>BOLLNÄS</t>
        </is>
      </c>
      <c r="H521" t="inlineStr">
        <is>
          <t>Holmen skog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45257</v>
      </c>
      <c r="E522" s="1" t="n">
        <v>46250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44897</v>
      </c>
      <c r="E523" s="1" t="n">
        <v>46250</v>
      </c>
      <c r="F523" t="inlineStr">
        <is>
          <t>GÄVLEBORGS LÄN</t>
        </is>
      </c>
      <c r="G523" t="inlineStr">
        <is>
          <t>BOLLNÄS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46250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45975</v>
      </c>
      <c r="E525" s="1" t="n">
        <v>46250</v>
      </c>
      <c r="F525" t="inlineStr">
        <is>
          <t>GÄVLEBORGS LÄN</t>
        </is>
      </c>
      <c r="G525" t="inlineStr">
        <is>
          <t>BOLLNÄS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45008</v>
      </c>
      <c r="E526" s="1" t="n">
        <v>46250</v>
      </c>
      <c r="F526" t="inlineStr">
        <is>
          <t>GÄVLEBORGS LÄN</t>
        </is>
      </c>
      <c r="G526" t="inlineStr">
        <is>
          <t>BOLLNÄS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46117</v>
      </c>
      <c r="E527" s="1" t="n">
        <v>46250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21616-2022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44706</v>
      </c>
      <c r="E528" s="1" t="n">
        <v>46250</v>
      </c>
      <c r="F528" t="inlineStr">
        <is>
          <t>GÄVLEBORGS LÄN</t>
        </is>
      </c>
      <c r="G528" t="inlineStr">
        <is>
          <t>BOLLNÄS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46250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55860-2025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46250</v>
      </c>
      <c r="F530" t="inlineStr">
        <is>
          <t>GÄVLEBORGS LÄN</t>
        </is>
      </c>
      <c r="G530" t="inlineStr">
        <is>
          <t>BOLLNÄS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46250</v>
      </c>
      <c r="F531" t="inlineStr">
        <is>
          <t>GÄVLEBORGS LÄN</t>
        </is>
      </c>
      <c r="G531" t="inlineStr">
        <is>
          <t>BOLLNÄS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46250</v>
      </c>
      <c r="F532" t="inlineStr">
        <is>
          <t>GÄVLEBORGS LÄN</t>
        </is>
      </c>
      <c r="G532" t="inlineStr">
        <is>
          <t>BOLLNÄS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45975</v>
      </c>
      <c r="E533" s="1" t="n">
        <v>46250</v>
      </c>
      <c r="F533" t="inlineStr">
        <is>
          <t>GÄVLEBORGS LÄN</t>
        </is>
      </c>
      <c r="G533" t="inlineStr">
        <is>
          <t>BOLLNÄS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57443-2025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46250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46250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46250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45979</v>
      </c>
      <c r="E537" s="1" t="n">
        <v>46250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55570-2024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46250</v>
      </c>
      <c r="F538" t="inlineStr">
        <is>
          <t>GÄVLEBORGS LÄN</t>
        </is>
      </c>
      <c r="G538" t="inlineStr">
        <is>
          <t>BOLLNÄS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45982</v>
      </c>
      <c r="E539" s="1" t="n">
        <v>46250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46250</v>
      </c>
      <c r="F540" t="inlineStr">
        <is>
          <t>GÄVLEBORGS LÄN</t>
        </is>
      </c>
      <c r="G540" t="inlineStr">
        <is>
          <t>BOLLNÄS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45099</v>
      </c>
      <c r="E541" s="1" t="n">
        <v>46250</v>
      </c>
      <c r="F541" t="inlineStr">
        <is>
          <t>GÄVLEBORGS LÄN</t>
        </is>
      </c>
      <c r="G541" t="inlineStr">
        <is>
          <t>BOLLNÄS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57706-2025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46250</v>
      </c>
      <c r="F542" t="inlineStr">
        <is>
          <t>GÄVLEBORGS LÄN</t>
        </is>
      </c>
      <c r="G542" t="inlineStr">
        <is>
          <t>BOLLNÄS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57995-2025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46250</v>
      </c>
      <c r="F543" t="inlineStr">
        <is>
          <t>GÄVLEBORGS LÄN</t>
        </is>
      </c>
      <c r="G543" t="inlineStr">
        <is>
          <t>BOLLNÄS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46250</v>
      </c>
      <c r="F544" t="inlineStr">
        <is>
          <t>GÄVLEBORGS LÄN</t>
        </is>
      </c>
      <c r="G544" t="inlineStr">
        <is>
          <t>BOLLNÄS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45982</v>
      </c>
      <c r="E545" s="1" t="n">
        <v>46250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45982</v>
      </c>
      <c r="E546" s="1" t="n">
        <v>46250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36877-2022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44805</v>
      </c>
      <c r="E547" s="1" t="n">
        <v>46250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46250</v>
      </c>
      <c r="F548" t="inlineStr">
        <is>
          <t>GÄVLEBORGS LÄN</t>
        </is>
      </c>
      <c r="G548" t="inlineStr">
        <is>
          <t>BOLLNÄS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61592-2022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44916</v>
      </c>
      <c r="E549" s="1" t="n">
        <v>46250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46250</v>
      </c>
      <c r="F550" t="inlineStr">
        <is>
          <t>GÄVLEBORGS LÄN</t>
        </is>
      </c>
      <c r="G550" t="inlineStr">
        <is>
          <t>BOLLNÄS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44967</v>
      </c>
      <c r="E551" s="1" t="n">
        <v>46250</v>
      </c>
      <c r="F551" t="inlineStr">
        <is>
          <t>GÄVLEBORGS LÄN</t>
        </is>
      </c>
      <c r="G551" t="inlineStr">
        <is>
          <t>BOLLNÄS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64422-2023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45280</v>
      </c>
      <c r="E552" s="1" t="n">
        <v>46250</v>
      </c>
      <c r="F552" t="inlineStr">
        <is>
          <t>GÄVLEBORGS LÄN</t>
        </is>
      </c>
      <c r="G552" t="inlineStr">
        <is>
          <t>BOLLNÄS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46250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46250</v>
      </c>
      <c r="F554" t="inlineStr">
        <is>
          <t>GÄVLEBORGS LÄN</t>
        </is>
      </c>
      <c r="G554" t="inlineStr">
        <is>
          <t>BOLLNÄS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46250</v>
      </c>
      <c r="F555" t="inlineStr">
        <is>
          <t>GÄVLEBORGS LÄN</t>
        </is>
      </c>
      <c r="G555" t="inlineStr">
        <is>
          <t>BOLLNÄS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46250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46250</v>
      </c>
      <c r="F557" t="inlineStr">
        <is>
          <t>GÄVLEBORGS LÄN</t>
        </is>
      </c>
      <c r="G557" t="inlineStr">
        <is>
          <t>BOLLNÄS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46250</v>
      </c>
      <c r="F558" t="inlineStr">
        <is>
          <t>GÄVLEBORGS LÄN</t>
        </is>
      </c>
      <c r="G558" t="inlineStr">
        <is>
          <t>BOLLNÄS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45223</v>
      </c>
      <c r="E559" s="1" t="n">
        <v>46250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58808-2025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45987</v>
      </c>
      <c r="E560" s="1" t="n">
        <v>46250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63108-2021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44505</v>
      </c>
      <c r="E561" s="1" t="n">
        <v>46250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45987</v>
      </c>
      <c r="E562" s="1" t="n">
        <v>46250</v>
      </c>
      <c r="F562" t="inlineStr">
        <is>
          <t>GÄVLEBORGS LÄN</t>
        </is>
      </c>
      <c r="G562" t="inlineStr">
        <is>
          <t>BOLLNÄS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46250</v>
      </c>
      <c r="F563" t="inlineStr">
        <is>
          <t>GÄVLEBORGS LÄN</t>
        </is>
      </c>
      <c r="G563" t="inlineStr">
        <is>
          <t>BOLLNÄS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46250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46250</v>
      </c>
      <c r="F565" t="inlineStr">
        <is>
          <t>GÄVLEBORGS LÄN</t>
        </is>
      </c>
      <c r="G565" t="inlineStr">
        <is>
          <t>BOLLNÄS</t>
        </is>
      </c>
      <c r="H565" t="inlineStr">
        <is>
          <t>Holmen skog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46250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46123</v>
      </c>
      <c r="E567" s="1" t="n">
        <v>46250</v>
      </c>
      <c r="F567" t="inlineStr">
        <is>
          <t>GÄVLEBORGS LÄN</t>
        </is>
      </c>
      <c r="G567" t="inlineStr">
        <is>
          <t>BOLLNÄS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18211-2026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46250</v>
      </c>
      <c r="F568" t="inlineStr">
        <is>
          <t>GÄVLEBORGS LÄN</t>
        </is>
      </c>
      <c r="G568" t="inlineStr">
        <is>
          <t>BOLLNÄS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46250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46250</v>
      </c>
      <c r="F570" t="inlineStr">
        <is>
          <t>GÄVLEBORGS LÄN</t>
        </is>
      </c>
      <c r="G570" t="inlineStr">
        <is>
          <t>BOLLNÄS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46250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46250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46250</v>
      </c>
      <c r="F573" t="inlineStr">
        <is>
          <t>GÄVLEBORGS LÄN</t>
        </is>
      </c>
      <c r="G573" t="inlineStr">
        <is>
          <t>BOLLNÄS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46250</v>
      </c>
      <c r="F574" t="inlineStr">
        <is>
          <t>GÄVLEBORGS LÄN</t>
        </is>
      </c>
      <c r="G574" t="inlineStr">
        <is>
          <t>BOLLNÄS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45565</v>
      </c>
      <c r="E575" s="1" t="n">
        <v>46250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18539-2026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46250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45989</v>
      </c>
      <c r="E577" s="1" t="n">
        <v>46250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46250</v>
      </c>
      <c r="F578" t="inlineStr">
        <is>
          <t>GÄVLEBORGS LÄN</t>
        </is>
      </c>
      <c r="G578" t="inlineStr">
        <is>
          <t>BOLLNÄS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46250</v>
      </c>
      <c r="F579" t="inlineStr">
        <is>
          <t>GÄVLEBORGS LÄN</t>
        </is>
      </c>
      <c r="G579" t="inlineStr">
        <is>
          <t>BOLLNÄS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46250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56120-2024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46250</v>
      </c>
      <c r="F581" t="inlineStr">
        <is>
          <t>GÄVLEBORGS LÄN</t>
        </is>
      </c>
      <c r="G581" t="inlineStr">
        <is>
          <t>BOLLNÄS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53036-2024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46250</v>
      </c>
      <c r="F582" t="inlineStr">
        <is>
          <t>GÄVLEBORGS LÄN</t>
        </is>
      </c>
      <c r="G582" t="inlineStr">
        <is>
          <t>BOLLNÄS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46250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44631</v>
      </c>
      <c r="E584" s="1" t="n">
        <v>46250</v>
      </c>
      <c r="F584" t="inlineStr">
        <is>
          <t>GÄVLEBORGS LÄN</t>
        </is>
      </c>
      <c r="G584" t="inlineStr">
        <is>
          <t>BOLLNÄS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46250</v>
      </c>
      <c r="F585" t="inlineStr">
        <is>
          <t>GÄVLEBORGS LÄN</t>
        </is>
      </c>
      <c r="G585" t="inlineStr">
        <is>
          <t>BOLLNÄS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46250</v>
      </c>
      <c r="F586" t="inlineStr">
        <is>
          <t>GÄVLEBORGS LÄN</t>
        </is>
      </c>
      <c r="G586" t="inlineStr">
        <is>
          <t>BOLLNÄS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46250</v>
      </c>
      <c r="F587" t="inlineStr">
        <is>
          <t>GÄVLEBORGS LÄN</t>
        </is>
      </c>
      <c r="G587" t="inlineStr">
        <is>
          <t>BOLLNÄS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44995</v>
      </c>
      <c r="E588" s="1" t="n">
        <v>46250</v>
      </c>
      <c r="F588" t="inlineStr">
        <is>
          <t>GÄVLEBORGS LÄN</t>
        </is>
      </c>
      <c r="G588" t="inlineStr">
        <is>
          <t>BOLLNÄS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58753-2021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44489</v>
      </c>
      <c r="E589" s="1" t="n">
        <v>46250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45265</v>
      </c>
      <c r="E590" s="1" t="n">
        <v>46250</v>
      </c>
      <c r="F590" t="inlineStr">
        <is>
          <t>GÄVLEBORGS LÄN</t>
        </is>
      </c>
      <c r="G590" t="inlineStr">
        <is>
          <t>BOLLNÄS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46664-2024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45583</v>
      </c>
      <c r="E591" s="1" t="n">
        <v>46250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46126</v>
      </c>
      <c r="E592" s="1" t="n">
        <v>46250</v>
      </c>
      <c r="F592" t="inlineStr">
        <is>
          <t>GÄVLEBORGS LÄN</t>
        </is>
      </c>
      <c r="G592" t="inlineStr">
        <is>
          <t>BOLLNÄS</t>
        </is>
      </c>
      <c r="H592" t="inlineStr">
        <is>
          <t>Kyrkan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46250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46250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46126</v>
      </c>
      <c r="E595" s="1" t="n">
        <v>46250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60707-2025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45996</v>
      </c>
      <c r="E596" s="1" t="n">
        <v>46250</v>
      </c>
      <c r="F596" t="inlineStr">
        <is>
          <t>GÄVLEBORGS LÄN</t>
        </is>
      </c>
      <c r="G596" t="inlineStr">
        <is>
          <t>BOLLNÄS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18672-2026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46250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46250</v>
      </c>
      <c r="F598" t="inlineStr">
        <is>
          <t>GÄVLEBORGS LÄN</t>
        </is>
      </c>
      <c r="G598" t="inlineStr">
        <is>
          <t>BOLLNÄS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46250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46250</v>
      </c>
      <c r="F600" t="inlineStr">
        <is>
          <t>GÄVLEBORGS LÄN</t>
        </is>
      </c>
      <c r="G600" t="inlineStr">
        <is>
          <t>BOLLNÄS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60573-2025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45996</v>
      </c>
      <c r="E601" s="1" t="n">
        <v>46250</v>
      </c>
      <c r="F601" t="inlineStr">
        <is>
          <t>GÄVLEBORGS LÄN</t>
        </is>
      </c>
      <c r="G601" t="inlineStr">
        <is>
          <t>BOLLNÄS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46250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46250</v>
      </c>
      <c r="F603" t="inlineStr">
        <is>
          <t>GÄVLEBORGS LÄN</t>
        </is>
      </c>
      <c r="G603" t="inlineStr">
        <is>
          <t>BOLLNÄS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45999</v>
      </c>
      <c r="E604" s="1" t="n">
        <v>46250</v>
      </c>
      <c r="F604" t="inlineStr">
        <is>
          <t>GÄVLEBORGS LÄN</t>
        </is>
      </c>
      <c r="G604" t="inlineStr">
        <is>
          <t>BOLLNÄS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46250</v>
      </c>
      <c r="F605" t="inlineStr">
        <is>
          <t>GÄVLEBORGS LÄN</t>
        </is>
      </c>
      <c r="G605" t="inlineStr">
        <is>
          <t>BOLLNÄS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46132</v>
      </c>
      <c r="E606" s="1" t="n">
        <v>46250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46250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60757-2025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45999</v>
      </c>
      <c r="E608" s="1" t="n">
        <v>46250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60810-2025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45999</v>
      </c>
      <c r="E609" s="1" t="n">
        <v>46250</v>
      </c>
      <c r="F609" t="inlineStr">
        <is>
          <t>GÄVLEBORGS LÄN</t>
        </is>
      </c>
      <c r="G609" t="inlineStr">
        <is>
          <t>BOLLNÄS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46250</v>
      </c>
      <c r="F610" t="inlineStr">
        <is>
          <t>GÄVLEBORGS LÄN</t>
        </is>
      </c>
      <c r="G610" t="inlineStr">
        <is>
          <t>BOLLNÄS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46250</v>
      </c>
      <c r="F611" t="inlineStr">
        <is>
          <t>GÄVLEBORGS LÄN</t>
        </is>
      </c>
      <c r="G611" t="inlineStr">
        <is>
          <t>BOLLNÄS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46250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46250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46250</v>
      </c>
      <c r="F614" t="inlineStr">
        <is>
          <t>GÄVLEBORGS LÄN</t>
        </is>
      </c>
      <c r="G614" t="inlineStr">
        <is>
          <t>BOLLNÄS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46250</v>
      </c>
      <c r="F615" t="inlineStr">
        <is>
          <t>GÄVLEBORGS LÄN</t>
        </is>
      </c>
      <c r="G615" t="inlineStr">
        <is>
          <t>BOLLNÄS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46250</v>
      </c>
      <c r="F616" t="inlineStr">
        <is>
          <t>GÄVLEBORGS LÄN</t>
        </is>
      </c>
      <c r="G616" t="inlineStr">
        <is>
          <t>BOLLNÄS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46250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öst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46250</v>
      </c>
      <c r="F618" t="inlineStr">
        <is>
          <t>GÄVLEBORGS LÄN</t>
        </is>
      </c>
      <c r="G618" t="inlineStr">
        <is>
          <t>BOLLNÄS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46250</v>
      </c>
      <c r="F619" t="inlineStr">
        <is>
          <t>GÄVLEBORGS LÄN</t>
        </is>
      </c>
      <c r="G619" t="inlineStr">
        <is>
          <t>BOLLNÄS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46002</v>
      </c>
      <c r="E620" s="1" t="n">
        <v>46250</v>
      </c>
      <c r="F620" t="inlineStr">
        <is>
          <t>GÄVLEBORGS LÄN</t>
        </is>
      </c>
      <c r="G620" t="inlineStr">
        <is>
          <t>BOLLNÄS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46250</v>
      </c>
      <c r="F621" t="inlineStr">
        <is>
          <t>GÄVLEBORGS LÄN</t>
        </is>
      </c>
      <c r="G621" t="inlineStr">
        <is>
          <t>BOLLNÄS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46250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46250</v>
      </c>
      <c r="F623" t="inlineStr">
        <is>
          <t>GÄVLEBORGS LÄN</t>
        </is>
      </c>
      <c r="G623" t="inlineStr">
        <is>
          <t>BOLLNÄS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46250</v>
      </c>
      <c r="F624" t="inlineStr">
        <is>
          <t>GÄVLEBORGS LÄN</t>
        </is>
      </c>
      <c r="G624" t="inlineStr">
        <is>
          <t>BOLLNÄS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46250</v>
      </c>
      <c r="F625" t="inlineStr">
        <is>
          <t>GÄVLEBORGS LÄN</t>
        </is>
      </c>
      <c r="G625" t="inlineStr">
        <is>
          <t>BOLLNÄS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46129</v>
      </c>
      <c r="E626" s="1" t="n">
        <v>46250</v>
      </c>
      <c r="F626" t="inlineStr">
        <is>
          <t>GÄVLEBORGS LÄN</t>
        </is>
      </c>
      <c r="G626" t="inlineStr">
        <is>
          <t>BOLLNÄS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19228-2026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46250</v>
      </c>
      <c r="F627" t="inlineStr">
        <is>
          <t>GÄVLEBORGS LÄN</t>
        </is>
      </c>
      <c r="G627" t="inlineStr">
        <is>
          <t>BOLLNÄS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16587-2026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46250</v>
      </c>
      <c r="F628" t="inlineStr">
        <is>
          <t>GÄVLEBORGS LÄN</t>
        </is>
      </c>
      <c r="G628" t="inlineStr">
        <is>
          <t>BOLLNÄS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46250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öst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46250</v>
      </c>
      <c r="F630" t="inlineStr">
        <is>
          <t>GÄVLEBORGS LÄN</t>
        </is>
      </c>
      <c r="G630" t="inlineStr">
        <is>
          <t>BOLLNÄS</t>
        </is>
      </c>
      <c r="I630" t="n">
        <v>14.1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46250</v>
      </c>
      <c r="F631" t="inlineStr">
        <is>
          <t>GÄVLEBORGS LÄN</t>
        </is>
      </c>
      <c r="G631" t="inlineStr">
        <is>
          <t>BOLLNÄS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71657-2021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44543</v>
      </c>
      <c r="E632" s="1" t="n">
        <v>46250</v>
      </c>
      <c r="F632" t="inlineStr">
        <is>
          <t>GÄVLEBORGS LÄN</t>
        </is>
      </c>
      <c r="G632" t="inlineStr">
        <is>
          <t>BOLLNÄS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45420</v>
      </c>
      <c r="E633" s="1" t="n">
        <v>46250</v>
      </c>
      <c r="F633" t="inlineStr">
        <is>
          <t>GÄVLEBORGS LÄN</t>
        </is>
      </c>
      <c r="G633" t="inlineStr">
        <is>
          <t>BOLLNÄS</t>
        </is>
      </c>
      <c r="I633" t="n">
        <v>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61689-2025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46002</v>
      </c>
      <c r="E634" s="1" t="n">
        <v>46250</v>
      </c>
      <c r="F634" t="inlineStr">
        <is>
          <t>GÄVLEBORGS LÄN</t>
        </is>
      </c>
      <c r="G634" t="inlineStr">
        <is>
          <t>BOLLNÄS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46250</v>
      </c>
      <c r="F635" t="inlineStr">
        <is>
          <t>GÄVLEBORGS LÄN</t>
        </is>
      </c>
      <c r="G635" t="inlineStr">
        <is>
          <t>BOLLNÄS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46250</v>
      </c>
      <c r="F636" t="inlineStr">
        <is>
          <t>GÄVLEBORGS LÄN</t>
        </is>
      </c>
      <c r="G636" t="inlineStr">
        <is>
          <t>BOLLNÄS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46250</v>
      </c>
      <c r="F637" t="inlineStr">
        <is>
          <t>GÄVLEBORGS LÄN</t>
        </is>
      </c>
      <c r="G637" t="inlineStr">
        <is>
          <t>BOLLNÄS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46250</v>
      </c>
      <c r="F638" t="inlineStr">
        <is>
          <t>GÄVLEBORGS LÄN</t>
        </is>
      </c>
      <c r="G638" t="inlineStr">
        <is>
          <t>BOLLNÄS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52181-2024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45608</v>
      </c>
      <c r="E639" s="1" t="n">
        <v>46250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18791-2026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46128</v>
      </c>
      <c r="E640" s="1" t="n">
        <v>46250</v>
      </c>
      <c r="F640" t="inlineStr">
        <is>
          <t>GÄVLEBORGS LÄN</t>
        </is>
      </c>
      <c r="G640" t="inlineStr">
        <is>
          <t>BOLLNÄS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46250</v>
      </c>
      <c r="F641" t="inlineStr">
        <is>
          <t>GÄVLEBORGS LÄN</t>
        </is>
      </c>
      <c r="G641" t="inlineStr">
        <is>
          <t>BOLLNÄS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46250</v>
      </c>
      <c r="F642" t="inlineStr">
        <is>
          <t>GÄVLEBORGS LÄN</t>
        </is>
      </c>
      <c r="G642" t="inlineStr">
        <is>
          <t>BOLLNÄS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46250</v>
      </c>
      <c r="F643" t="inlineStr">
        <is>
          <t>GÄVLEBORGS LÄN</t>
        </is>
      </c>
      <c r="G643" t="inlineStr">
        <is>
          <t>BOLLNÄS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46250</v>
      </c>
      <c r="F644" t="inlineStr">
        <is>
          <t>GÄVLEBORGS LÄN</t>
        </is>
      </c>
      <c r="G644" t="inlineStr">
        <is>
          <t>BOLLNÄS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46250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51259-2023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45219</v>
      </c>
      <c r="E646" s="1" t="n">
        <v>46250</v>
      </c>
      <c r="F646" t="inlineStr">
        <is>
          <t>GÄVLEBORGS LÄN</t>
        </is>
      </c>
      <c r="G646" t="inlineStr">
        <is>
          <t>BOLLNÄS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46250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46250</v>
      </c>
      <c r="F648" t="inlineStr">
        <is>
          <t>GÄVLEBORGS LÄN</t>
        </is>
      </c>
      <c r="G648" t="inlineStr">
        <is>
          <t>BOLLNÄS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46250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19521-2026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46250</v>
      </c>
      <c r="F650" t="inlineStr">
        <is>
          <t>GÄVLEBORGS LÄN</t>
        </is>
      </c>
      <c r="G650" t="inlineStr">
        <is>
          <t>BOLLNÄS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19534-2026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46250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46250</v>
      </c>
      <c r="F652" t="inlineStr">
        <is>
          <t>GÄVLEBORGS LÄN</t>
        </is>
      </c>
      <c r="G652" t="inlineStr">
        <is>
          <t>BOLLNÄS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46250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46250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46250</v>
      </c>
      <c r="F655" t="inlineStr">
        <is>
          <t>GÄVLEBORGS LÄN</t>
        </is>
      </c>
      <c r="G655" t="inlineStr">
        <is>
          <t>BOLLNÄS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19414-2026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46250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11799-2025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46250</v>
      </c>
      <c r="F657" t="inlineStr">
        <is>
          <t>GÄVLEBORGS LÄN</t>
        </is>
      </c>
      <c r="G657" t="inlineStr">
        <is>
          <t>BOLLNÄS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19279-2026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46133</v>
      </c>
      <c r="E658" s="1" t="n">
        <v>46250</v>
      </c>
      <c r="F658" t="inlineStr">
        <is>
          <t>GÄVLEBORGS LÄN</t>
        </is>
      </c>
      <c r="G658" t="inlineStr">
        <is>
          <t>BOLLNÄS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46250</v>
      </c>
      <c r="F659" t="inlineStr">
        <is>
          <t>GÄVLEBORGS LÄN</t>
        </is>
      </c>
      <c r="G659" t="inlineStr">
        <is>
          <t>BOLLNÄS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46250</v>
      </c>
      <c r="F660" t="inlineStr">
        <is>
          <t>GÄVLEBORGS LÄN</t>
        </is>
      </c>
      <c r="G660" t="inlineStr">
        <is>
          <t>BOLLNÄS</t>
        </is>
      </c>
      <c r="I660" t="n">
        <v>10.4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46250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62272-2025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46006</v>
      </c>
      <c r="E662" s="1" t="n">
        <v>46250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46133</v>
      </c>
      <c r="E663" s="1" t="n">
        <v>46250</v>
      </c>
      <c r="F663" t="inlineStr">
        <is>
          <t>GÄVLEBORGS LÄN</t>
        </is>
      </c>
      <c r="G663" t="inlineStr">
        <is>
          <t>BOLLNÄS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46250</v>
      </c>
      <c r="F664" t="inlineStr">
        <is>
          <t>GÄVLEBORGS LÄN</t>
        </is>
      </c>
      <c r="G664" t="inlineStr">
        <is>
          <t>BOLLNÄS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46250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46133</v>
      </c>
      <c r="E666" s="1" t="n">
        <v>46250</v>
      </c>
      <c r="F666" t="inlineStr">
        <is>
          <t>GÄVLEBORGS LÄN</t>
        </is>
      </c>
      <c r="G666" t="inlineStr">
        <is>
          <t>BOLLNÄS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45476</v>
      </c>
      <c r="E667" s="1" t="n">
        <v>46250</v>
      </c>
      <c r="F667" t="inlineStr">
        <is>
          <t>GÄVLEBORGS LÄN</t>
        </is>
      </c>
      <c r="G667" t="inlineStr">
        <is>
          <t>BOLLNÄS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28523-2023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45103</v>
      </c>
      <c r="E668" s="1" t="n">
        <v>46250</v>
      </c>
      <c r="F668" t="inlineStr">
        <is>
          <t>GÄVLEBORGS LÄN</t>
        </is>
      </c>
      <c r="G668" t="inlineStr">
        <is>
          <t>BOLLNÄS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19412-2026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46133</v>
      </c>
      <c r="E669" s="1" t="n">
        <v>46250</v>
      </c>
      <c r="F669" t="inlineStr">
        <is>
          <t>GÄVLEBORGS LÄN</t>
        </is>
      </c>
      <c r="G669" t="inlineStr">
        <is>
          <t>BOLLNÄS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46250</v>
      </c>
      <c r="F670" t="inlineStr">
        <is>
          <t>GÄVLEBORGS LÄN</t>
        </is>
      </c>
      <c r="G670" t="inlineStr">
        <is>
          <t>BOLLNÄS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19402-2026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46133</v>
      </c>
      <c r="E671" s="1" t="n">
        <v>46250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19409-2026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46133</v>
      </c>
      <c r="E672" s="1" t="n">
        <v>46250</v>
      </c>
      <c r="F672" t="inlineStr">
        <is>
          <t>GÄVLEBORGS LÄN</t>
        </is>
      </c>
      <c r="G672" t="inlineStr">
        <is>
          <t>BOLLNÄS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46134</v>
      </c>
      <c r="E673" s="1" t="n">
        <v>46250</v>
      </c>
      <c r="F673" t="inlineStr">
        <is>
          <t>GÄVLEBORGS LÄN</t>
        </is>
      </c>
      <c r="G673" t="inlineStr">
        <is>
          <t>BOLLNÄS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46250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19284-2026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46133</v>
      </c>
      <c r="E675" s="1" t="n">
        <v>46250</v>
      </c>
      <c r="F675" t="inlineStr">
        <is>
          <t>GÄVLEBORGS LÄN</t>
        </is>
      </c>
      <c r="G675" t="inlineStr">
        <is>
          <t>BOLLNÄS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46250</v>
      </c>
      <c r="F676" t="inlineStr">
        <is>
          <t>GÄVLEBORGS LÄN</t>
        </is>
      </c>
      <c r="G676" t="inlineStr">
        <is>
          <t>BOLLNÄS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46250</v>
      </c>
      <c r="F677" t="inlineStr">
        <is>
          <t>GÄVLEBORGS LÄN</t>
        </is>
      </c>
      <c r="G677" t="inlineStr">
        <is>
          <t>BOLLNÄS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46250</v>
      </c>
      <c r="F678" t="inlineStr">
        <is>
          <t>GÄVLEBORGS LÄN</t>
        </is>
      </c>
      <c r="G678" t="inlineStr">
        <is>
          <t>BOLLNÄS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19404-2026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46133</v>
      </c>
      <c r="E679" s="1" t="n">
        <v>46250</v>
      </c>
      <c r="F679" t="inlineStr">
        <is>
          <t>GÄVLEBORGS LÄN</t>
        </is>
      </c>
      <c r="G679" t="inlineStr">
        <is>
          <t>BOLLNÄS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46133</v>
      </c>
      <c r="E680" s="1" t="n">
        <v>46250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46133</v>
      </c>
      <c r="E681" s="1" t="n">
        <v>46250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46133</v>
      </c>
      <c r="E682" s="1" t="n">
        <v>46250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62355-2025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46007</v>
      </c>
      <c r="E683" s="1" t="n">
        <v>46250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46250</v>
      </c>
      <c r="F684" t="inlineStr">
        <is>
          <t>GÄVLEBORGS LÄN</t>
        </is>
      </c>
      <c r="G684" t="inlineStr">
        <is>
          <t>BOLLNÄS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51983-2024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45607</v>
      </c>
      <c r="E685" s="1" t="n">
        <v>46250</v>
      </c>
      <c r="F685" t="inlineStr">
        <is>
          <t>GÄVLEBORGS LÄN</t>
        </is>
      </c>
      <c r="G685" t="inlineStr">
        <is>
          <t>BOLLNÄS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45016</v>
      </c>
      <c r="E686" s="1" t="n">
        <v>46250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46250</v>
      </c>
      <c r="F687" t="inlineStr">
        <is>
          <t>GÄVLEBORGS LÄN</t>
        </is>
      </c>
      <c r="G687" t="inlineStr">
        <is>
          <t>BOLLNÄS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46250</v>
      </c>
      <c r="F688" t="inlineStr">
        <is>
          <t>GÄVLEBORGS LÄN</t>
        </is>
      </c>
      <c r="G688" t="inlineStr">
        <is>
          <t>BOLLNÄS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46250</v>
      </c>
      <c r="F689" t="inlineStr">
        <is>
          <t>GÄVLEBORGS LÄN</t>
        </is>
      </c>
      <c r="G689" t="inlineStr">
        <is>
          <t>BOLLNÄS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44999</v>
      </c>
      <c r="E690" s="1" t="n">
        <v>46250</v>
      </c>
      <c r="F690" t="inlineStr">
        <is>
          <t>GÄVLEBORGS LÄN</t>
        </is>
      </c>
      <c r="G690" t="inlineStr">
        <is>
          <t>BOLLNÄS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18334-2024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45422</v>
      </c>
      <c r="E691" s="1" t="n">
        <v>46250</v>
      </c>
      <c r="F691" t="inlineStr">
        <is>
          <t>GÄVLEBORGS LÄN</t>
        </is>
      </c>
      <c r="G691" t="inlineStr">
        <is>
          <t>BOLLNÄS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62656-2025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46008</v>
      </c>
      <c r="E692" s="1" t="n">
        <v>46250</v>
      </c>
      <c r="F692" t="inlineStr">
        <is>
          <t>GÄVLEBORGS LÄN</t>
        </is>
      </c>
      <c r="G692" t="inlineStr">
        <is>
          <t>BOLLNÄS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20042-2026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46136</v>
      </c>
      <c r="E693" s="1" t="n">
        <v>46250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46250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46010</v>
      </c>
      <c r="E695" s="1" t="n">
        <v>46250</v>
      </c>
      <c r="F695" t="inlineStr">
        <is>
          <t>GÄVLEBORGS LÄN</t>
        </is>
      </c>
      <c r="G695" t="inlineStr">
        <is>
          <t>BOLLNÄS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63312-2025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46010</v>
      </c>
      <c r="E696" s="1" t="n">
        <v>46250</v>
      </c>
      <c r="F696" t="inlineStr">
        <is>
          <t>GÄVLEBORGS LÄN</t>
        </is>
      </c>
      <c r="G696" t="inlineStr">
        <is>
          <t>BOLLNÄS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46250</v>
      </c>
      <c r="F697" t="inlineStr">
        <is>
          <t>GÄVLEBORGS LÄN</t>
        </is>
      </c>
      <c r="G697" t="inlineStr">
        <is>
          <t>BOLLNÄS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45702</v>
      </c>
      <c r="E698" s="1" t="n">
        <v>46250</v>
      </c>
      <c r="F698" t="inlineStr">
        <is>
          <t>GÄVLEBORGS LÄN</t>
        </is>
      </c>
      <c r="G698" t="inlineStr">
        <is>
          <t>BOLLNÄS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63200-2025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46010</v>
      </c>
      <c r="E699" s="1" t="n">
        <v>46250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63326-2025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46250</v>
      </c>
      <c r="F700" t="inlineStr">
        <is>
          <t>GÄVLEBORGS LÄN</t>
        </is>
      </c>
      <c r="G700" t="inlineStr">
        <is>
          <t>BOLLNÄS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44177-2022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44839</v>
      </c>
      <c r="E701" s="1" t="n">
        <v>46250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46010</v>
      </c>
      <c r="E702" s="1" t="n">
        <v>46250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46250</v>
      </c>
      <c r="F703" t="inlineStr">
        <is>
          <t>GÄVLEBORGS LÄN</t>
        </is>
      </c>
      <c r="G703" t="inlineStr">
        <is>
          <t>BOLLNÄS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53298-2023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46250</v>
      </c>
      <c r="F704" t="inlineStr">
        <is>
          <t>GÄVLEBORGS LÄN</t>
        </is>
      </c>
      <c r="G704" t="inlineStr">
        <is>
          <t>BOLLNÄS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57781-2024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45631</v>
      </c>
      <c r="E705" s="1" t="n">
        <v>46250</v>
      </c>
      <c r="F705" t="inlineStr">
        <is>
          <t>GÄVLEBORGS LÄN</t>
        </is>
      </c>
      <c r="G705" t="inlineStr">
        <is>
          <t>BOLLNÄS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45223</v>
      </c>
      <c r="E706" s="1" t="n">
        <v>46250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46250</v>
      </c>
      <c r="F707" t="inlineStr">
        <is>
          <t>GÄVLEBORGS LÄN</t>
        </is>
      </c>
      <c r="G707" t="inlineStr">
        <is>
          <t>BOLLNÄS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63027-2025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46009</v>
      </c>
      <c r="E708" s="1" t="n">
        <v>46250</v>
      </c>
      <c r="F708" t="inlineStr">
        <is>
          <t>GÄVLEBORGS LÄN</t>
        </is>
      </c>
      <c r="G708" t="inlineStr">
        <is>
          <t>BOLLNÄS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61612-2025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46002</v>
      </c>
      <c r="E709" s="1" t="n">
        <v>46250</v>
      </c>
      <c r="F709" t="inlineStr">
        <is>
          <t>GÄVLEBORGS LÄN</t>
        </is>
      </c>
      <c r="G709" t="inlineStr">
        <is>
          <t>BOLLNÄS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64109-2025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46013</v>
      </c>
      <c r="E710" s="1" t="n">
        <v>46250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19921-2026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46136</v>
      </c>
      <c r="E711" s="1" t="n">
        <v>46250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45677</v>
      </c>
      <c r="E712" s="1" t="n">
        <v>46250</v>
      </c>
      <c r="F712" t="inlineStr">
        <is>
          <t>GÄVLEBORGS LÄN</t>
        </is>
      </c>
      <c r="G712" t="inlineStr">
        <is>
          <t>BOLLNÄS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16935-2026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46113</v>
      </c>
      <c r="E713" s="1" t="n">
        <v>46250</v>
      </c>
      <c r="F713" t="inlineStr">
        <is>
          <t>GÄVLEBORGS LÄN</t>
        </is>
      </c>
      <c r="G713" t="inlineStr">
        <is>
          <t>BOLLNÄS</t>
        </is>
      </c>
      <c r="I713" t="n">
        <v>10.1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20026-2026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46250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46250</v>
      </c>
      <c r="F715" t="inlineStr">
        <is>
          <t>GÄVLEBORGS LÄN</t>
        </is>
      </c>
      <c r="G715" t="inlineStr">
        <is>
          <t>BOLLNÄS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57196-2025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45979</v>
      </c>
      <c r="E716" s="1" t="n">
        <v>46250</v>
      </c>
      <c r="F716" t="inlineStr">
        <is>
          <t>GÄVLEBORGS LÄN</t>
        </is>
      </c>
      <c r="G716" t="inlineStr">
        <is>
          <t>BOLLNÄS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46250</v>
      </c>
      <c r="F717" t="inlineStr">
        <is>
          <t>GÄVLEBORGS LÄN</t>
        </is>
      </c>
      <c r="G717" t="inlineStr">
        <is>
          <t>BOLLNÄS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16122-2026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46250</v>
      </c>
      <c r="F718" t="inlineStr">
        <is>
          <t>GÄVLEBORGS LÄN</t>
        </is>
      </c>
      <c r="G718" t="inlineStr">
        <is>
          <t>BOLLNÄS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46113</v>
      </c>
      <c r="E719" s="1" t="n">
        <v>46250</v>
      </c>
      <c r="F719" t="inlineStr">
        <is>
          <t>GÄVLEBORGS LÄN</t>
        </is>
      </c>
      <c r="G719" t="inlineStr">
        <is>
          <t>BOLLNÄS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46250</v>
      </c>
      <c r="F720" t="inlineStr">
        <is>
          <t>GÄVLEBORGS LÄN</t>
        </is>
      </c>
      <c r="G720" t="inlineStr">
        <is>
          <t>BOLLNÄS</t>
        </is>
      </c>
      <c r="I720" t="n">
        <v>14.2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19745-2026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46250</v>
      </c>
      <c r="F721" t="inlineStr">
        <is>
          <t>GÄVLEBORGS LÄN</t>
        </is>
      </c>
      <c r="G721" t="inlineStr">
        <is>
          <t>BOLLNÄS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46250</v>
      </c>
      <c r="F722" t="inlineStr">
        <is>
          <t>GÄVLEBORGS LÄN</t>
        </is>
      </c>
      <c r="G722" t="inlineStr">
        <is>
          <t>BOLLNÄS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6833-2023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44967</v>
      </c>
      <c r="E723" s="1" t="n">
        <v>46250</v>
      </c>
      <c r="F723" t="inlineStr">
        <is>
          <t>GÄVLEBORGS LÄN</t>
        </is>
      </c>
      <c r="G723" t="inlineStr">
        <is>
          <t>BOLLNÄS</t>
        </is>
      </c>
      <c r="I723" t="n">
        <v>11.1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63876-2025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46020</v>
      </c>
      <c r="E724" s="1" t="n">
        <v>46250</v>
      </c>
      <c r="F724" t="inlineStr">
        <is>
          <t>GÄVLEBORGS LÄN</t>
        </is>
      </c>
      <c r="G724" t="inlineStr">
        <is>
          <t>BOLLNÄS</t>
        </is>
      </c>
      <c r="I724" t="n">
        <v>12.2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46250</v>
      </c>
      <c r="F725" t="inlineStr">
        <is>
          <t>GÄVLEBORGS LÄN</t>
        </is>
      </c>
      <c r="G725" t="inlineStr">
        <is>
          <t>BOLLNÄS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46250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59085-2021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44490</v>
      </c>
      <c r="E727" s="1" t="n">
        <v>46250</v>
      </c>
      <c r="F727" t="inlineStr">
        <is>
          <t>GÄVLEBORGS LÄN</t>
        </is>
      </c>
      <c r="G727" t="inlineStr">
        <is>
          <t>BOLLNÄS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46250</v>
      </c>
      <c r="F728" t="inlineStr">
        <is>
          <t>GÄVLEBORGS LÄN</t>
        </is>
      </c>
      <c r="G728" t="inlineStr">
        <is>
          <t>BOLLNÄS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27590-2023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46250</v>
      </c>
      <c r="F729" t="inlineStr">
        <is>
          <t>GÄVLEBORGS LÄN</t>
        </is>
      </c>
      <c r="G729" t="inlineStr">
        <is>
          <t>BOLLNÄS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16660-2026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46250</v>
      </c>
      <c r="F730" t="inlineStr">
        <is>
          <t>GÄVLEBORGS LÄN</t>
        </is>
      </c>
      <c r="G730" t="inlineStr">
        <is>
          <t>BOLLNÄS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63870-2025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46020</v>
      </c>
      <c r="E731" s="1" t="n">
        <v>46250</v>
      </c>
      <c r="F731" t="inlineStr">
        <is>
          <t>GÄVLEBORGS LÄN</t>
        </is>
      </c>
      <c r="G731" t="inlineStr">
        <is>
          <t>BOLLNÄS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46250</v>
      </c>
      <c r="F732" t="inlineStr">
        <is>
          <t>GÄVLEBORGS LÄN</t>
        </is>
      </c>
      <c r="G732" t="inlineStr">
        <is>
          <t>BOLLNÄS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46250</v>
      </c>
      <c r="F733" t="inlineStr">
        <is>
          <t>GÄVLEBORGS LÄN</t>
        </is>
      </c>
      <c r="G733" t="inlineStr">
        <is>
          <t>BOLLNÄS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46024</v>
      </c>
      <c r="E734" s="1" t="n">
        <v>46250</v>
      </c>
      <c r="F734" t="inlineStr">
        <is>
          <t>GÄVLEBORGS LÄN</t>
        </is>
      </c>
      <c r="G734" t="inlineStr">
        <is>
          <t>BOLLNÄS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46024</v>
      </c>
      <c r="E735" s="1" t="n">
        <v>46250</v>
      </c>
      <c r="F735" t="inlineStr">
        <is>
          <t>GÄVLEBORGS LÄN</t>
        </is>
      </c>
      <c r="G735" t="inlineStr">
        <is>
          <t>BOLLNÄS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46024</v>
      </c>
      <c r="E736" s="1" t="n">
        <v>46250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46250</v>
      </c>
      <c r="F737" t="inlineStr">
        <is>
          <t>GÄVLEBORGS LÄN</t>
        </is>
      </c>
      <c r="G737" t="inlineStr">
        <is>
          <t>BOLLNÄS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46250</v>
      </c>
      <c r="F738" t="inlineStr">
        <is>
          <t>GÄVLEBORGS LÄN</t>
        </is>
      </c>
      <c r="G738" t="inlineStr">
        <is>
          <t>BOLLNÄS</t>
        </is>
      </c>
      <c r="I738" t="n">
        <v>11.8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46002</v>
      </c>
      <c r="E739" s="1" t="n">
        <v>46250</v>
      </c>
      <c r="F739" t="inlineStr">
        <is>
          <t>GÄVLEBORGS LÄN</t>
        </is>
      </c>
      <c r="G739" t="inlineStr">
        <is>
          <t>BOLLNÄS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62825-2025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46250</v>
      </c>
      <c r="F740" t="inlineStr">
        <is>
          <t>GÄVLEBORGS LÄN</t>
        </is>
      </c>
      <c r="G740" t="inlineStr">
        <is>
          <t>BOLLNÄS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45607</v>
      </c>
      <c r="E741" s="1" t="n">
        <v>46250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46024</v>
      </c>
      <c r="E742" s="1" t="n">
        <v>46250</v>
      </c>
      <c r="F742" t="inlineStr">
        <is>
          <t>GÄVLEBORGS LÄN</t>
        </is>
      </c>
      <c r="G742" t="inlineStr">
        <is>
          <t>BOLLNÄS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46027</v>
      </c>
      <c r="E743" s="1" t="n">
        <v>46250</v>
      </c>
      <c r="F743" t="inlineStr">
        <is>
          <t>GÄVLEBORGS LÄN</t>
        </is>
      </c>
      <c r="G743" t="inlineStr">
        <is>
          <t>BOLLNÄS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46029</v>
      </c>
      <c r="E744" s="1" t="n">
        <v>46250</v>
      </c>
      <c r="F744" t="inlineStr">
        <is>
          <t>GÄVLEBORGS LÄN</t>
        </is>
      </c>
      <c r="G744" t="inlineStr">
        <is>
          <t>BOLLNÄS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46250</v>
      </c>
      <c r="F745" t="inlineStr">
        <is>
          <t>GÄVLEBORGS LÄN</t>
        </is>
      </c>
      <c r="G745" t="inlineStr">
        <is>
          <t>BOLLNÄS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46250</v>
      </c>
      <c r="F746" t="inlineStr">
        <is>
          <t>GÄVLEBORGS LÄN</t>
        </is>
      </c>
      <c r="G746" t="inlineStr">
        <is>
          <t>BOLLNÄS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46250</v>
      </c>
      <c r="F747" t="inlineStr">
        <is>
          <t>GÄVLEBORGS LÄN</t>
        </is>
      </c>
      <c r="G747" t="inlineStr">
        <is>
          <t>BOLLNÄS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19770-2026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46250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46250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46030</v>
      </c>
      <c r="E750" s="1" t="n">
        <v>46250</v>
      </c>
      <c r="F750" t="inlineStr">
        <is>
          <t>GÄVLEBORGS LÄN</t>
        </is>
      </c>
      <c r="G750" t="inlineStr">
        <is>
          <t>BOLLNÄS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46250</v>
      </c>
      <c r="F751" t="inlineStr">
        <is>
          <t>GÄVLEBORGS LÄN</t>
        </is>
      </c>
      <c r="G751" t="inlineStr">
        <is>
          <t>BOLLNÄS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41471-2021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44424</v>
      </c>
      <c r="E752" s="1" t="n">
        <v>46250</v>
      </c>
      <c r="F752" t="inlineStr">
        <is>
          <t>GÄVLEBORGS LÄN</t>
        </is>
      </c>
      <c r="G752" t="inlineStr">
        <is>
          <t>BOLLNÄS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46029</v>
      </c>
      <c r="E753" s="1" t="n">
        <v>46250</v>
      </c>
      <c r="F753" t="inlineStr">
        <is>
          <t>GÄVLEBORGS LÄN</t>
        </is>
      </c>
      <c r="G753" t="inlineStr">
        <is>
          <t>BOLLNÄS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46250</v>
      </c>
      <c r="F754" t="inlineStr">
        <is>
          <t>GÄVLEBORGS LÄN</t>
        </is>
      </c>
      <c r="G754" t="inlineStr">
        <is>
          <t>BOLLNÄS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46250</v>
      </c>
      <c r="F755" t="inlineStr">
        <is>
          <t>GÄVLEBORGS LÄN</t>
        </is>
      </c>
      <c r="G755" t="inlineStr">
        <is>
          <t>BOLLNÄS</t>
        </is>
      </c>
      <c r="I755" t="n">
        <v>16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49993-2024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45597</v>
      </c>
      <c r="E756" s="1" t="n">
        <v>46250</v>
      </c>
      <c r="F756" t="inlineStr">
        <is>
          <t>GÄVLEBORGS LÄN</t>
        </is>
      </c>
      <c r="G756" t="inlineStr">
        <is>
          <t>BOLLNÄS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46250</v>
      </c>
      <c r="F757" t="inlineStr">
        <is>
          <t>GÄVLEBORGS LÄN</t>
        </is>
      </c>
      <c r="G757" t="inlineStr">
        <is>
          <t>BOLLNÄS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46250</v>
      </c>
      <c r="F758" t="inlineStr">
        <is>
          <t>GÄVLEBORGS LÄN</t>
        </is>
      </c>
      <c r="G758" t="inlineStr">
        <is>
          <t>BOLLNÄS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13465-2025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45736</v>
      </c>
      <c r="E759" s="1" t="n">
        <v>46250</v>
      </c>
      <c r="F759" t="inlineStr">
        <is>
          <t>GÄVLEBORGS LÄN</t>
        </is>
      </c>
      <c r="G759" t="inlineStr">
        <is>
          <t>BOLLNÄS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46135</v>
      </c>
      <c r="E760" s="1" t="n">
        <v>46250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46250</v>
      </c>
      <c r="F761" t="inlineStr">
        <is>
          <t>GÄVLEBORGS LÄN</t>
        </is>
      </c>
      <c r="G761" t="inlineStr">
        <is>
          <t>BOLLNÄS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8800-2026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46250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46031</v>
      </c>
      <c r="E763" s="1" t="n">
        <v>46250</v>
      </c>
      <c r="F763" t="inlineStr">
        <is>
          <t>GÄVLEBORGS LÄN</t>
        </is>
      </c>
      <c r="G763" t="inlineStr">
        <is>
          <t>BOLLNÄS</t>
        </is>
      </c>
      <c r="I763" t="n">
        <v>15.2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19837-2026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46135</v>
      </c>
      <c r="E764" s="1" t="n">
        <v>46250</v>
      </c>
      <c r="F764" t="inlineStr">
        <is>
          <t>GÄVLEBORGS LÄN</t>
        </is>
      </c>
      <c r="G764" t="inlineStr">
        <is>
          <t>BOLLNÄS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46135</v>
      </c>
      <c r="E765" s="1" t="n">
        <v>46250</v>
      </c>
      <c r="F765" t="inlineStr">
        <is>
          <t>GÄVLEBORGS LÄN</t>
        </is>
      </c>
      <c r="G765" t="inlineStr">
        <is>
          <t>BOLLNÄS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45644</v>
      </c>
      <c r="E766" s="1" t="n">
        <v>46250</v>
      </c>
      <c r="F766" t="inlineStr">
        <is>
          <t>GÄVLEBORGS LÄN</t>
        </is>
      </c>
      <c r="G766" t="inlineStr">
        <is>
          <t>BOLLNÄS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46250</v>
      </c>
      <c r="F767" t="inlineStr">
        <is>
          <t>GÄVLEBORGS LÄN</t>
        </is>
      </c>
      <c r="G767" t="inlineStr">
        <is>
          <t>BOLLNÄS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34887-2022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44796</v>
      </c>
      <c r="E768" s="1" t="n">
        <v>46250</v>
      </c>
      <c r="F768" t="inlineStr">
        <is>
          <t>GÄVLEBORGS LÄN</t>
        </is>
      </c>
      <c r="G768" t="inlineStr">
        <is>
          <t>BOLLNÄS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19862-2026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46135</v>
      </c>
      <c r="E769" s="1" t="n">
        <v>46250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46250</v>
      </c>
      <c r="F770" t="inlineStr">
        <is>
          <t>GÄVLEBORGS LÄN</t>
        </is>
      </c>
      <c r="G770" t="inlineStr">
        <is>
          <t>BOLLNÄS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46250</v>
      </c>
      <c r="F771" t="inlineStr">
        <is>
          <t>GÄVLEBORGS LÄN</t>
        </is>
      </c>
      <c r="G771" t="inlineStr">
        <is>
          <t>BOLLNÄS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46085</v>
      </c>
      <c r="E772" s="1" t="n">
        <v>46250</v>
      </c>
      <c r="F772" t="inlineStr">
        <is>
          <t>GÄVLEBORGS LÄN</t>
        </is>
      </c>
      <c r="G772" t="inlineStr">
        <is>
          <t>BOLLNÄS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19747-2026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46250</v>
      </c>
      <c r="F773" t="inlineStr">
        <is>
          <t>GÄVLEBORGS LÄN</t>
        </is>
      </c>
      <c r="G773" t="inlineStr">
        <is>
          <t>BOLLNÄS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46250</v>
      </c>
      <c r="F774" t="inlineStr">
        <is>
          <t>GÄVLEBORGS LÄN</t>
        </is>
      </c>
      <c r="G774" t="inlineStr">
        <is>
          <t>BOLLNÄS</t>
        </is>
      </c>
      <c r="I774" t="n">
        <v>18.3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46058</v>
      </c>
      <c r="E775" s="1" t="n">
        <v>46250</v>
      </c>
      <c r="F775" t="inlineStr">
        <is>
          <t>GÄVLEBORGS LÄN</t>
        </is>
      </c>
      <c r="G775" t="inlineStr">
        <is>
          <t>BOLLNÄS</t>
        </is>
      </c>
      <c r="I775" t="n">
        <v>12.1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29241-2022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44750</v>
      </c>
      <c r="E776" s="1" t="n">
        <v>46250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46250</v>
      </c>
      <c r="F777" t="inlineStr">
        <is>
          <t>GÄVLEBORGS LÄN</t>
        </is>
      </c>
      <c r="G777" t="inlineStr">
        <is>
          <t>BOLLNÄS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28795-2024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46250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46036</v>
      </c>
      <c r="E779" s="1" t="n">
        <v>46250</v>
      </c>
      <c r="F779" t="inlineStr">
        <is>
          <t>GÄVLEBORGS LÄN</t>
        </is>
      </c>
      <c r="G779" t="inlineStr">
        <is>
          <t>BOLLNÄS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46250</v>
      </c>
      <c r="F780" t="inlineStr">
        <is>
          <t>GÄVLEBORGS LÄN</t>
        </is>
      </c>
      <c r="G780" t="inlineStr">
        <is>
          <t>BOLLNÄS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46250</v>
      </c>
      <c r="F781" t="inlineStr">
        <is>
          <t>GÄVLEBORGS LÄN</t>
        </is>
      </c>
      <c r="G781" t="inlineStr">
        <is>
          <t>BOLLNÄS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46250</v>
      </c>
      <c r="F782" t="inlineStr">
        <is>
          <t>GÄVLEBORGS LÄN</t>
        </is>
      </c>
      <c r="G782" t="inlineStr">
        <is>
          <t>BOLLNÄS</t>
        </is>
      </c>
      <c r="H782" t="inlineStr">
        <is>
          <t>Sveaskog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14623-2023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46250</v>
      </c>
      <c r="F783" t="inlineStr">
        <is>
          <t>GÄVLEBORGS LÄN</t>
        </is>
      </c>
      <c r="G783" t="inlineStr">
        <is>
          <t>BOLLNÄS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46034</v>
      </c>
      <c r="E784" s="1" t="n">
        <v>46250</v>
      </c>
      <c r="F784" t="inlineStr">
        <is>
          <t>GÄVLEBORGS LÄN</t>
        </is>
      </c>
      <c r="G784" t="inlineStr">
        <is>
          <t>BOLLNÄS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46250</v>
      </c>
      <c r="F785" t="inlineStr">
        <is>
          <t>GÄVLEBORGS LÄN</t>
        </is>
      </c>
      <c r="G785" t="inlineStr">
        <is>
          <t>BOLLNÄS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7576-2026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46061</v>
      </c>
      <c r="E786" s="1" t="n">
        <v>46250</v>
      </c>
      <c r="F786" t="inlineStr">
        <is>
          <t>GÄVLEBORGS LÄN</t>
        </is>
      </c>
      <c r="G786" t="inlineStr">
        <is>
          <t>BOLLNÄS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46056</v>
      </c>
      <c r="E787" s="1" t="n">
        <v>46250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46250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46250</v>
      </c>
      <c r="F789" t="inlineStr">
        <is>
          <t>GÄVLEBORGS LÄN</t>
        </is>
      </c>
      <c r="G789" t="inlineStr">
        <is>
          <t>BOLLNÄS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20180-2026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46139</v>
      </c>
      <c r="E790" s="1" t="n">
        <v>46250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46250</v>
      </c>
      <c r="F791" t="inlineStr">
        <is>
          <t>GÄVLEBORGS LÄN</t>
        </is>
      </c>
      <c r="G791" t="inlineStr">
        <is>
          <t>BOLLNÄS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46250</v>
      </c>
      <c r="F792" t="inlineStr">
        <is>
          <t>GÄVLEBORGS LÄN</t>
        </is>
      </c>
      <c r="G792" t="inlineStr">
        <is>
          <t>BOLLNÄS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59237-2024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46250</v>
      </c>
      <c r="F793" t="inlineStr">
        <is>
          <t>GÄVLEBORGS LÄN</t>
        </is>
      </c>
      <c r="G793" t="inlineStr">
        <is>
          <t>BOLLNÄS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46034</v>
      </c>
      <c r="E794" s="1" t="n">
        <v>46250</v>
      </c>
      <c r="F794" t="inlineStr">
        <is>
          <t>GÄVLEBORGS LÄN</t>
        </is>
      </c>
      <c r="G794" t="inlineStr">
        <is>
          <t>BOLLNÄS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46250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46250</v>
      </c>
      <c r="F796" t="inlineStr">
        <is>
          <t>GÄVLEBORGS LÄN</t>
        </is>
      </c>
      <c r="G796" t="inlineStr">
        <is>
          <t>BOLLNÄS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20486-2026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46250</v>
      </c>
      <c r="F797" t="inlineStr">
        <is>
          <t>GÄVLEBORGS LÄN</t>
        </is>
      </c>
      <c r="G797" t="inlineStr">
        <is>
          <t>BOLLNÄS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63958-2025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46020</v>
      </c>
      <c r="E798" s="1" t="n">
        <v>46250</v>
      </c>
      <c r="F798" t="inlineStr">
        <is>
          <t>GÄVLEBORGS LÄN</t>
        </is>
      </c>
      <c r="G798" t="inlineStr">
        <is>
          <t>BOLLNÄS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46035</v>
      </c>
      <c r="E799" s="1" t="n">
        <v>46250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44625-2023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45189</v>
      </c>
      <c r="E800" s="1" t="n">
        <v>46250</v>
      </c>
      <c r="F800" t="inlineStr">
        <is>
          <t>GÄVLEBORGS LÄN</t>
        </is>
      </c>
      <c r="G800" t="inlineStr">
        <is>
          <t>BOLLNÄS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46250</v>
      </c>
      <c r="F801" t="inlineStr">
        <is>
          <t>GÄVLEBORGS LÄN</t>
        </is>
      </c>
      <c r="G801" t="inlineStr">
        <is>
          <t>BOLLNÄS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46036</v>
      </c>
      <c r="E802" s="1" t="n">
        <v>46250</v>
      </c>
      <c r="F802" t="inlineStr">
        <is>
          <t>GÄVLEBORGS LÄN</t>
        </is>
      </c>
      <c r="G802" t="inlineStr">
        <is>
          <t>BOLLNÄS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46035</v>
      </c>
      <c r="E803" s="1" t="n">
        <v>46250</v>
      </c>
      <c r="F803" t="inlineStr">
        <is>
          <t>GÄVLEBORGS LÄN</t>
        </is>
      </c>
      <c r="G803" t="inlineStr">
        <is>
          <t>BOLLNÄS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46250</v>
      </c>
      <c r="F804" t="inlineStr">
        <is>
          <t>GÄVLEBORGS LÄN</t>
        </is>
      </c>
      <c r="G804" t="inlineStr">
        <is>
          <t>BOLLNÄS</t>
        </is>
      </c>
      <c r="I804" t="n">
        <v>13.2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9697-2025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45716</v>
      </c>
      <c r="E805" s="1" t="n">
        <v>46250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46049</v>
      </c>
      <c r="E806" s="1" t="n">
        <v>46250</v>
      </c>
      <c r="F806" t="inlineStr">
        <is>
          <t>GÄVLEBORGS LÄN</t>
        </is>
      </c>
      <c r="G806" t="inlineStr">
        <is>
          <t>BOLLNÄS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46250</v>
      </c>
      <c r="F807" t="inlineStr">
        <is>
          <t>GÄVLEBORGS LÄN</t>
        </is>
      </c>
      <c r="G807" t="inlineStr">
        <is>
          <t>BOLLNÄS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8966-2026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46250</v>
      </c>
      <c r="F808" t="inlineStr">
        <is>
          <t>GÄVLEBORGS LÄN</t>
        </is>
      </c>
      <c r="G808" t="inlineStr">
        <is>
          <t>BOLLNÄS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46250</v>
      </c>
      <c r="F809" t="inlineStr">
        <is>
          <t>GÄVLEBORGS LÄN</t>
        </is>
      </c>
      <c r="G809" t="inlineStr">
        <is>
          <t>BOLLNÄS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46083</v>
      </c>
      <c r="E810" s="1" t="n">
        <v>46250</v>
      </c>
      <c r="F810" t="inlineStr">
        <is>
          <t>GÄVLEBORGS LÄN</t>
        </is>
      </c>
      <c r="G810" t="inlineStr">
        <is>
          <t>BOLLNÄS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30152-2022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44757</v>
      </c>
      <c r="E811" s="1" t="n">
        <v>46250</v>
      </c>
      <c r="F811" t="inlineStr">
        <is>
          <t>GÄVLEBORGS LÄN</t>
        </is>
      </c>
      <c r="G811" t="inlineStr">
        <is>
          <t>BOLLNÄS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9555-2026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46250</v>
      </c>
      <c r="F812" t="inlineStr">
        <is>
          <t>GÄVLEBORGS LÄN</t>
        </is>
      </c>
      <c r="G812" t="inlineStr">
        <is>
          <t>BOLLNÄS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10447-2026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46077</v>
      </c>
      <c r="E813" s="1" t="n">
        <v>46250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46250</v>
      </c>
      <c r="F814" t="inlineStr">
        <is>
          <t>GÄVLEBORGS LÄN</t>
        </is>
      </c>
      <c r="G814" t="inlineStr">
        <is>
          <t>BOLLNÄS</t>
        </is>
      </c>
      <c r="I814" t="n">
        <v>34.4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46048</v>
      </c>
      <c r="E815" s="1" t="n">
        <v>46250</v>
      </c>
      <c r="F815" t="inlineStr">
        <is>
          <t>GÄVLEBORGS LÄN</t>
        </is>
      </c>
      <c r="G815" t="inlineStr">
        <is>
          <t>BOLLNÄS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8560-2026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46250</v>
      </c>
      <c r="F816" t="inlineStr">
        <is>
          <t>GÄVLEBORGS LÄN</t>
        </is>
      </c>
      <c r="G816" t="inlineStr">
        <is>
          <t>BOLLNÄS</t>
        </is>
      </c>
      <c r="I816" t="n">
        <v>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46036</v>
      </c>
      <c r="E817" s="1" t="n">
        <v>46250</v>
      </c>
      <c r="F817" t="inlineStr">
        <is>
          <t>GÄVLEBORGS LÄN</t>
        </is>
      </c>
      <c r="G817" t="inlineStr">
        <is>
          <t>BOLLNÄS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9495-2026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46250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46068</v>
      </c>
      <c r="E819" s="1" t="n">
        <v>46250</v>
      </c>
      <c r="F819" t="inlineStr">
        <is>
          <t>GÄVLEBORGS LÄN</t>
        </is>
      </c>
      <c r="G819" t="inlineStr">
        <is>
          <t>BOLLNÄS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46250</v>
      </c>
      <c r="F820" t="inlineStr">
        <is>
          <t>GÄVLEBORGS LÄN</t>
        </is>
      </c>
      <c r="G820" t="inlineStr">
        <is>
          <t>BOLLNÄS</t>
        </is>
      </c>
      <c r="I820" t="n">
        <v>11.6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46250</v>
      </c>
      <c r="F821" t="inlineStr">
        <is>
          <t>GÄVLEBORGS LÄN</t>
        </is>
      </c>
      <c r="G821" t="inlineStr">
        <is>
          <t>BOLLNÄS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14632-2026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46250</v>
      </c>
      <c r="F822" t="inlineStr">
        <is>
          <t>GÄVLEBORGS LÄN</t>
        </is>
      </c>
      <c r="G822" t="inlineStr">
        <is>
          <t>BOLLNÄS</t>
        </is>
      </c>
      <c r="H822" t="inlineStr">
        <is>
          <t>Kyrkan</t>
        </is>
      </c>
      <c r="I822" t="n">
        <v>8.1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15150-2023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45016</v>
      </c>
      <c r="E823" s="1" t="n">
        <v>46250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8914-2026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46069</v>
      </c>
      <c r="E824" s="1" t="n">
        <v>46250</v>
      </c>
      <c r="F824" t="inlineStr">
        <is>
          <t>GÄVLEBORGS LÄN</t>
        </is>
      </c>
      <c r="G824" t="inlineStr">
        <is>
          <t>BOLLNÄS</t>
        </is>
      </c>
      <c r="I824" t="n">
        <v>37.3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12595-2026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46250</v>
      </c>
      <c r="F825" t="inlineStr">
        <is>
          <t>GÄVLEBORGS LÄN</t>
        </is>
      </c>
      <c r="G825" t="inlineStr">
        <is>
          <t>BOLLNÄS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46250</v>
      </c>
      <c r="F826" t="inlineStr">
        <is>
          <t>GÄVLEBORGS LÄN</t>
        </is>
      </c>
      <c r="G826" t="inlineStr">
        <is>
          <t>BOLLNÄS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45583</v>
      </c>
      <c r="E827" s="1" t="n">
        <v>46250</v>
      </c>
      <c r="F827" t="inlineStr">
        <is>
          <t>GÄVLEBORGS LÄN</t>
        </is>
      </c>
      <c r="G827" t="inlineStr">
        <is>
          <t>BOLLNÄS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35071-2023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45145</v>
      </c>
      <c r="E828" s="1" t="n">
        <v>46250</v>
      </c>
      <c r="F828" t="inlineStr">
        <is>
          <t>GÄVLEBORGS LÄN</t>
        </is>
      </c>
      <c r="G828" t="inlineStr">
        <is>
          <t>BOLLNÄS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8008-2026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46250</v>
      </c>
      <c r="F829" t="inlineStr">
        <is>
          <t>GÄVLEBORGS LÄN</t>
        </is>
      </c>
      <c r="G829" t="inlineStr">
        <is>
          <t>BOLLNÄS</t>
        </is>
      </c>
      <c r="I829" t="n">
        <v>14.6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49931-2023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45215</v>
      </c>
      <c r="E830" s="1" t="n">
        <v>46250</v>
      </c>
      <c r="F830" t="inlineStr">
        <is>
          <t>GÄVLEBORGS LÄN</t>
        </is>
      </c>
      <c r="G830" t="inlineStr">
        <is>
          <t>BOLLNÄS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15858-2026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46250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6.4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46036</v>
      </c>
      <c r="E832" s="1" t="n">
        <v>46250</v>
      </c>
      <c r="F832" t="inlineStr">
        <is>
          <t>GÄVLEBORGS LÄN</t>
        </is>
      </c>
      <c r="G832" t="inlineStr">
        <is>
          <t>BOLLNÄS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46250</v>
      </c>
      <c r="F833" t="inlineStr">
        <is>
          <t>GÄVLEBORGS LÄN</t>
        </is>
      </c>
      <c r="G833" t="inlineStr">
        <is>
          <t>BOLLNÄS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46250</v>
      </c>
      <c r="F834" t="inlineStr">
        <is>
          <t>GÄVLEBORGS LÄN</t>
        </is>
      </c>
      <c r="G834" t="inlineStr">
        <is>
          <t>BOLLNÄS</t>
        </is>
      </c>
      <c r="I834" t="n">
        <v>12.6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46038</v>
      </c>
      <c r="E835" s="1" t="n">
        <v>46250</v>
      </c>
      <c r="F835" t="inlineStr">
        <is>
          <t>GÄVLEBORGS LÄN</t>
        </is>
      </c>
      <c r="G835" t="inlineStr">
        <is>
          <t>BOLLNÄS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46038</v>
      </c>
      <c r="E836" s="1" t="n">
        <v>46250</v>
      </c>
      <c r="F836" t="inlineStr">
        <is>
          <t>GÄVLEBORGS LÄN</t>
        </is>
      </c>
      <c r="G836" t="inlineStr">
        <is>
          <t>BOLLNÄS</t>
        </is>
      </c>
      <c r="I836" t="n">
        <v>26.9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46250</v>
      </c>
      <c r="F837" t="inlineStr">
        <is>
          <t>GÄVLEBORGS LÄN</t>
        </is>
      </c>
      <c r="G837" t="inlineStr">
        <is>
          <t>BOLLNÄS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46029</v>
      </c>
      <c r="E838" s="1" t="n">
        <v>46250</v>
      </c>
      <c r="F838" t="inlineStr">
        <is>
          <t>GÄVLEBORGS LÄN</t>
        </is>
      </c>
      <c r="G838" t="inlineStr">
        <is>
          <t>BOLLNÄS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46038</v>
      </c>
      <c r="E839" s="1" t="n">
        <v>46250</v>
      </c>
      <c r="F839" t="inlineStr">
        <is>
          <t>GÄVLEBORGS LÄN</t>
        </is>
      </c>
      <c r="G839" t="inlineStr">
        <is>
          <t>BOLLNÄS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46038</v>
      </c>
      <c r="E840" s="1" t="n">
        <v>46250</v>
      </c>
      <c r="F840" t="inlineStr">
        <is>
          <t>GÄVLEBORGS LÄN</t>
        </is>
      </c>
      <c r="G840" t="inlineStr">
        <is>
          <t>BOLLNÄS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2741-2026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46038</v>
      </c>
      <c r="E841" s="1" t="n">
        <v>46250</v>
      </c>
      <c r="F841" t="inlineStr">
        <is>
          <t>GÄVLEBORGS LÄN</t>
        </is>
      </c>
      <c r="G841" t="inlineStr">
        <is>
          <t>BOLLNÄS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46138</v>
      </c>
      <c r="E842" s="1" t="n">
        <v>46250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20263-2026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46250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46250</v>
      </c>
      <c r="F844" t="inlineStr">
        <is>
          <t>GÄVLEBORGS LÄN</t>
        </is>
      </c>
      <c r="G844" t="inlineStr">
        <is>
          <t>BOLLNÄS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46250</v>
      </c>
      <c r="F845" t="inlineStr">
        <is>
          <t>GÄVLEBORGS LÄN</t>
        </is>
      </c>
      <c r="G845" t="inlineStr">
        <is>
          <t>BOLLNÄS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46250</v>
      </c>
      <c r="F846" t="inlineStr">
        <is>
          <t>GÄVLEBORGS LÄN</t>
        </is>
      </c>
      <c r="G846" t="inlineStr">
        <is>
          <t>BOLLNÄS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28179-2023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45099</v>
      </c>
      <c r="E847" s="1" t="n">
        <v>46250</v>
      </c>
      <c r="F847" t="inlineStr">
        <is>
          <t>GÄVLEBORGS LÄN</t>
        </is>
      </c>
      <c r="G847" t="inlineStr">
        <is>
          <t>BOLLNÄS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14615-2026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46101</v>
      </c>
      <c r="E848" s="1" t="n">
        <v>46250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46250</v>
      </c>
      <c r="F849" t="inlineStr">
        <is>
          <t>GÄVLEBORGS LÄN</t>
        </is>
      </c>
      <c r="G849" t="inlineStr">
        <is>
          <t>BOLLNÄS</t>
        </is>
      </c>
      <c r="I849" t="n">
        <v>8.800000000000001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2985-2026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46038</v>
      </c>
      <c r="E850" s="1" t="n">
        <v>46250</v>
      </c>
      <c r="F850" t="inlineStr">
        <is>
          <t>GÄVLEBORGS LÄN</t>
        </is>
      </c>
      <c r="G850" t="inlineStr">
        <is>
          <t>BOLLNÄS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46250</v>
      </c>
      <c r="F851" t="inlineStr">
        <is>
          <t>GÄVLEBORGS LÄN</t>
        </is>
      </c>
      <c r="G851" t="inlineStr">
        <is>
          <t>BOLLNÄS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46250</v>
      </c>
      <c r="F852" t="inlineStr">
        <is>
          <t>GÄVLEBORGS LÄN</t>
        </is>
      </c>
      <c r="G852" t="inlineStr">
        <is>
          <t>BOLLNÄS</t>
        </is>
      </c>
      <c r="I852" t="n">
        <v>17.7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46250</v>
      </c>
      <c r="F853" t="inlineStr">
        <is>
          <t>GÄVLEBORGS LÄN</t>
        </is>
      </c>
      <c r="G853" t="inlineStr">
        <is>
          <t>BOLLNÄS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26531-2023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45092</v>
      </c>
      <c r="E854" s="1" t="n">
        <v>46250</v>
      </c>
      <c r="F854" t="inlineStr">
        <is>
          <t>GÄVLEBORGS LÄN</t>
        </is>
      </c>
      <c r="G854" t="inlineStr">
        <is>
          <t>BOLLNÄS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7841-2026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46250</v>
      </c>
      <c r="F855" t="inlineStr">
        <is>
          <t>GÄVLEBORGS LÄN</t>
        </is>
      </c>
      <c r="G855" t="inlineStr">
        <is>
          <t>BOLLNÄS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46140</v>
      </c>
      <c r="E856" s="1" t="n">
        <v>46250</v>
      </c>
      <c r="F856" t="inlineStr">
        <is>
          <t>GÄVLEBORGS LÄN</t>
        </is>
      </c>
      <c r="G856" t="inlineStr">
        <is>
          <t>BOLLNÄS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40653-2023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45169</v>
      </c>
      <c r="E857" s="1" t="n">
        <v>46250</v>
      </c>
      <c r="F857" t="inlineStr">
        <is>
          <t>GÄVLEBORGS LÄN</t>
        </is>
      </c>
      <c r="G857" t="inlineStr">
        <is>
          <t>BOLLNÄS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51306-2023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45219</v>
      </c>
      <c r="E858" s="1" t="n">
        <v>46250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2311-2024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45310</v>
      </c>
      <c r="E859" s="1" t="n">
        <v>46250</v>
      </c>
      <c r="F859" t="inlineStr">
        <is>
          <t>GÄVLEBORGS LÄN</t>
        </is>
      </c>
      <c r="G859" t="inlineStr">
        <is>
          <t>BOLLNÄS</t>
        </is>
      </c>
      <c r="H859" t="inlineStr">
        <is>
          <t>Övriga statliga verk och myndigheter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14256-2026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46250</v>
      </c>
      <c r="F860" t="inlineStr">
        <is>
          <t>GÄVLEBORGS LÄN</t>
        </is>
      </c>
      <c r="G860" t="inlineStr">
        <is>
          <t>BOLLNÄS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20547-2026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46140</v>
      </c>
      <c r="E861" s="1" t="n">
        <v>46250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20548-2026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46140</v>
      </c>
      <c r="E862" s="1" t="n">
        <v>46250</v>
      </c>
      <c r="F862" t="inlineStr">
        <is>
          <t>GÄVLEBORGS LÄN</t>
        </is>
      </c>
      <c r="G862" t="inlineStr">
        <is>
          <t>BOLLNÄS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20252-2026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46139</v>
      </c>
      <c r="E863" s="1" t="n">
        <v>46250</v>
      </c>
      <c r="F863" t="inlineStr">
        <is>
          <t>GÄVLEBORGS LÄN</t>
        </is>
      </c>
      <c r="G863" t="inlineStr">
        <is>
          <t>BOLLNÄS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20264-2026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46250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20285-2026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46139</v>
      </c>
      <c r="E865" s="1" t="n">
        <v>46250</v>
      </c>
      <c r="F865" t="inlineStr">
        <is>
          <t>GÄVLEBORGS LÄN</t>
        </is>
      </c>
      <c r="G865" t="inlineStr">
        <is>
          <t>BOLLNÄS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20287-2026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46139</v>
      </c>
      <c r="E866" s="1" t="n">
        <v>46250</v>
      </c>
      <c r="F866" t="inlineStr">
        <is>
          <t>GÄVLEBORGS LÄN</t>
        </is>
      </c>
      <c r="G866" t="inlineStr">
        <is>
          <t>BOLLNÄS</t>
        </is>
      </c>
      <c r="I866" t="n">
        <v>6.9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20609-2026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46140</v>
      </c>
      <c r="E867" s="1" t="n">
        <v>46250</v>
      </c>
      <c r="F867" t="inlineStr">
        <is>
          <t>GÄVLEBORGS LÄN</t>
        </is>
      </c>
      <c r="G867" t="inlineStr">
        <is>
          <t>BOLLNÄS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46250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10198-2026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46250</v>
      </c>
      <c r="F869" t="inlineStr">
        <is>
          <t>GÄVLEBORGS LÄN</t>
        </is>
      </c>
      <c r="G869" t="inlineStr">
        <is>
          <t>BOLLNÄS</t>
        </is>
      </c>
      <c r="I869" t="n">
        <v>15.9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46048</v>
      </c>
      <c r="E870" s="1" t="n">
        <v>46250</v>
      </c>
      <c r="F870" t="inlineStr">
        <is>
          <t>GÄVLEBORGS LÄN</t>
        </is>
      </c>
      <c r="G870" t="inlineStr">
        <is>
          <t>BOLLNÄS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46042</v>
      </c>
      <c r="E871" s="1" t="n">
        <v>46250</v>
      </c>
      <c r="F871" t="inlineStr">
        <is>
          <t>GÄVLEBORGS LÄN</t>
        </is>
      </c>
      <c r="G871" t="inlineStr">
        <is>
          <t>BOLLNÄS</t>
        </is>
      </c>
      <c r="I871" t="n">
        <v>8.9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46041</v>
      </c>
      <c r="E872" s="1" t="n">
        <v>46250</v>
      </c>
      <c r="F872" t="inlineStr">
        <is>
          <t>GÄVLEBORGS LÄN</t>
        </is>
      </c>
      <c r="G872" t="inlineStr">
        <is>
          <t>BOLLNÄS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25632-2022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44732</v>
      </c>
      <c r="E873" s="1" t="n">
        <v>46250</v>
      </c>
      <c r="F873" t="inlineStr">
        <is>
          <t>GÄVLEBORGS LÄN</t>
        </is>
      </c>
      <c r="G873" t="inlineStr">
        <is>
          <t>BOLLNÄS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46040</v>
      </c>
      <c r="E874" s="1" t="n">
        <v>46250</v>
      </c>
      <c r="F874" t="inlineStr">
        <is>
          <t>GÄVLEBORGS LÄN</t>
        </is>
      </c>
      <c r="G874" t="inlineStr">
        <is>
          <t>BOLLNÄS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46250</v>
      </c>
      <c r="F875" t="inlineStr">
        <is>
          <t>GÄVLEBORGS LÄN</t>
        </is>
      </c>
      <c r="G875" t="inlineStr">
        <is>
          <t>BOLLNÄS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50544-2023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45217</v>
      </c>
      <c r="E876" s="1" t="n">
        <v>46250</v>
      </c>
      <c r="F876" t="inlineStr">
        <is>
          <t>GÄVLEBORGS LÄN</t>
        </is>
      </c>
      <c r="G876" t="inlineStr">
        <is>
          <t>BOLLNÄS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46042</v>
      </c>
      <c r="E877" s="1" t="n">
        <v>46250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45310</v>
      </c>
      <c r="E878" s="1" t="n">
        <v>46250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46250</v>
      </c>
      <c r="F879" t="inlineStr">
        <is>
          <t>GÄVLEBORGS LÄN</t>
        </is>
      </c>
      <c r="G879" t="inlineStr">
        <is>
          <t>BOLLNÄS</t>
        </is>
      </c>
      <c r="I879" t="n">
        <v>18.3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3355-2026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46250</v>
      </c>
      <c r="F880" t="inlineStr">
        <is>
          <t>GÄVLEBORGS LÄN</t>
        </is>
      </c>
      <c r="G880" t="inlineStr">
        <is>
          <t>BOLLNÄS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46040</v>
      </c>
      <c r="E881" s="1" t="n">
        <v>46250</v>
      </c>
      <c r="F881" t="inlineStr">
        <is>
          <t>GÄVLEBORGS LÄN</t>
        </is>
      </c>
      <c r="G881" t="inlineStr">
        <is>
          <t>BOLLNÄS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46040</v>
      </c>
      <c r="E882" s="1" t="n">
        <v>46250</v>
      </c>
      <c r="F882" t="inlineStr">
        <is>
          <t>GÄVLEBORGS LÄN</t>
        </is>
      </c>
      <c r="G882" t="inlineStr">
        <is>
          <t>BOLLNÄS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46250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3356-2026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46042</v>
      </c>
      <c r="E884" s="1" t="n">
        <v>46250</v>
      </c>
      <c r="F884" t="inlineStr">
        <is>
          <t>GÄVLEBORGS LÄN</t>
        </is>
      </c>
      <c r="G884" t="inlineStr">
        <is>
          <t>BOLLNÄS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20483-2026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46140</v>
      </c>
      <c r="E885" s="1" t="n">
        <v>46250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3080-2026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46040</v>
      </c>
      <c r="E886" s="1" t="n">
        <v>46250</v>
      </c>
      <c r="F886" t="inlineStr">
        <is>
          <t>GÄVLEBORGS LÄN</t>
        </is>
      </c>
      <c r="G886" t="inlineStr">
        <is>
          <t>BOLLNÄS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46040</v>
      </c>
      <c r="E887" s="1" t="n">
        <v>46250</v>
      </c>
      <c r="F887" t="inlineStr">
        <is>
          <t>GÄVLEBORGS LÄN</t>
        </is>
      </c>
      <c r="G887" t="inlineStr">
        <is>
          <t>BOLLNÄS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46040</v>
      </c>
      <c r="E888" s="1" t="n">
        <v>46250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46040</v>
      </c>
      <c r="E889" s="1" t="n">
        <v>46250</v>
      </c>
      <c r="F889" t="inlineStr">
        <is>
          <t>GÄVLEBORGS LÄN</t>
        </is>
      </c>
      <c r="G889" t="inlineStr">
        <is>
          <t>BOLLNÄS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46040</v>
      </c>
      <c r="E890" s="1" t="n">
        <v>46250</v>
      </c>
      <c r="F890" t="inlineStr">
        <is>
          <t>GÄVLEBORGS LÄN</t>
        </is>
      </c>
      <c r="G890" t="inlineStr">
        <is>
          <t>BOLLNÄS</t>
        </is>
      </c>
      <c r="I890" t="n">
        <v>31.3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46040</v>
      </c>
      <c r="E891" s="1" t="n">
        <v>46250</v>
      </c>
      <c r="F891" t="inlineStr">
        <is>
          <t>GÄVLEBORGS LÄN</t>
        </is>
      </c>
      <c r="G891" t="inlineStr">
        <is>
          <t>BOLLNÄS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46040</v>
      </c>
      <c r="E892" s="1" t="n">
        <v>46250</v>
      </c>
      <c r="F892" t="inlineStr">
        <is>
          <t>GÄVLEBORGS LÄN</t>
        </is>
      </c>
      <c r="G892" t="inlineStr">
        <is>
          <t>BOLLNÄS</t>
        </is>
      </c>
      <c r="I892" t="n">
        <v>12.9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46040</v>
      </c>
      <c r="E893" s="1" t="n">
        <v>46250</v>
      </c>
      <c r="F893" t="inlineStr">
        <is>
          <t>GÄVLEBORGS LÄN</t>
        </is>
      </c>
      <c r="G893" t="inlineStr">
        <is>
          <t>BOLLNÄS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46250</v>
      </c>
      <c r="F894" t="inlineStr">
        <is>
          <t>GÄVLEBORGS LÄN</t>
        </is>
      </c>
      <c r="G894" t="inlineStr">
        <is>
          <t>BOLLNÄS</t>
        </is>
      </c>
      <c r="I894" t="n">
        <v>34.3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46250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46250</v>
      </c>
      <c r="F896" t="inlineStr">
        <is>
          <t>GÄVLEBORGS LÄN</t>
        </is>
      </c>
      <c r="G896" t="inlineStr">
        <is>
          <t>BOLLNÄS</t>
        </is>
      </c>
      <c r="I896" t="n">
        <v>18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46250</v>
      </c>
      <c r="F897" t="inlineStr">
        <is>
          <t>GÄVLEBORGS LÄN</t>
        </is>
      </c>
      <c r="G897" t="inlineStr">
        <is>
          <t>BOLLNÄS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46250</v>
      </c>
      <c r="F898" t="inlineStr">
        <is>
          <t>GÄVLEBORGS LÄN</t>
        </is>
      </c>
      <c r="G898" t="inlineStr">
        <is>
          <t>BOLLNÄS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41730-2023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45176</v>
      </c>
      <c r="E899" s="1" t="n">
        <v>46250</v>
      </c>
      <c r="F899" t="inlineStr">
        <is>
          <t>GÄVLEBORGS LÄN</t>
        </is>
      </c>
      <c r="G899" t="inlineStr">
        <is>
          <t>BOLLNÄS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59331-2022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44904</v>
      </c>
      <c r="E900" s="1" t="n">
        <v>46250</v>
      </c>
      <c r="F900" t="inlineStr">
        <is>
          <t>GÄVLEBORGS LÄN</t>
        </is>
      </c>
      <c r="G900" t="inlineStr">
        <is>
          <t>BOLLNÄS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46043</v>
      </c>
      <c r="E901" s="1" t="n">
        <v>46250</v>
      </c>
      <c r="F901" t="inlineStr">
        <is>
          <t>GÄVLEBORGS LÄN</t>
        </is>
      </c>
      <c r="G901" t="inlineStr">
        <is>
          <t>BOLLNÄS</t>
        </is>
      </c>
      <c r="I901" t="n">
        <v>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29219-2024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45482</v>
      </c>
      <c r="E902" s="1" t="n">
        <v>46250</v>
      </c>
      <c r="F902" t="inlineStr">
        <is>
          <t>GÄVLEBORGS LÄN</t>
        </is>
      </c>
      <c r="G902" t="inlineStr">
        <is>
          <t>BOLLNÄS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14913-2025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45743</v>
      </c>
      <c r="E903" s="1" t="n">
        <v>46250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46042</v>
      </c>
      <c r="E904" s="1" t="n">
        <v>46250</v>
      </c>
      <c r="F904" t="inlineStr">
        <is>
          <t>GÄVLEBORGS LÄN</t>
        </is>
      </c>
      <c r="G904" t="inlineStr">
        <is>
          <t>BOLLNÄS</t>
        </is>
      </c>
      <c r="I904" t="n">
        <v>36.1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46029</v>
      </c>
      <c r="E905" s="1" t="n">
        <v>46250</v>
      </c>
      <c r="F905" t="inlineStr">
        <is>
          <t>GÄVLEBORGS LÄN</t>
        </is>
      </c>
      <c r="G905" t="inlineStr">
        <is>
          <t>BOLLNÄS</t>
        </is>
      </c>
      <c r="I905" t="n">
        <v>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46250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3888-2026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46250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46043</v>
      </c>
      <c r="E908" s="1" t="n">
        <v>46250</v>
      </c>
      <c r="F908" t="inlineStr">
        <is>
          <t>GÄVLEBORGS LÄN</t>
        </is>
      </c>
      <c r="G908" t="inlineStr">
        <is>
          <t>BOLLNÄS</t>
        </is>
      </c>
      <c r="I908" t="n">
        <v>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46043</v>
      </c>
      <c r="E909" s="1" t="n">
        <v>46250</v>
      </c>
      <c r="F909" t="inlineStr">
        <is>
          <t>GÄVLEBORGS LÄN</t>
        </is>
      </c>
      <c r="G909" t="inlineStr">
        <is>
          <t>BOLLNÄS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3639-2026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46250</v>
      </c>
      <c r="F910" t="inlineStr">
        <is>
          <t>GÄVLEBORGS LÄN</t>
        </is>
      </c>
      <c r="G910" t="inlineStr">
        <is>
          <t>BOLLNÄS</t>
        </is>
      </c>
      <c r="H910" t="inlineStr">
        <is>
          <t>Kyrkan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46044</v>
      </c>
      <c r="E911" s="1" t="n">
        <v>46250</v>
      </c>
      <c r="F911" t="inlineStr">
        <is>
          <t>GÄVLEBORGS LÄN</t>
        </is>
      </c>
      <c r="G911" t="inlineStr">
        <is>
          <t>BOLLNÄS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46250</v>
      </c>
      <c r="F912" t="inlineStr">
        <is>
          <t>GÄVLEBORGS LÄN</t>
        </is>
      </c>
      <c r="G912" t="inlineStr">
        <is>
          <t>BOLLNÄS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46250</v>
      </c>
      <c r="F913" t="inlineStr">
        <is>
          <t>GÄVLEBORGS LÄN</t>
        </is>
      </c>
      <c r="G913" t="inlineStr">
        <is>
          <t>BOLLNÄS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45660</v>
      </c>
      <c r="E914" s="1" t="n">
        <v>46250</v>
      </c>
      <c r="F914" t="inlineStr">
        <is>
          <t>GÄVLEBORGS LÄN</t>
        </is>
      </c>
      <c r="G914" t="inlineStr">
        <is>
          <t>BOLLNÄS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54974-2022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44886</v>
      </c>
      <c r="E915" s="1" t="n">
        <v>46250</v>
      </c>
      <c r="F915" t="inlineStr">
        <is>
          <t>GÄVLEBORGS LÄN</t>
        </is>
      </c>
      <c r="G915" t="inlineStr">
        <is>
          <t>BOLLNÄS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50053-2022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44865</v>
      </c>
      <c r="E916" s="1" t="n">
        <v>46250</v>
      </c>
      <c r="F916" t="inlineStr">
        <is>
          <t>GÄVLEBORGS LÄN</t>
        </is>
      </c>
      <c r="G916" t="inlineStr">
        <is>
          <t>BOLLNÄS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36629-2023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45153</v>
      </c>
      <c r="E917" s="1" t="n">
        <v>46250</v>
      </c>
      <c r="F917" t="inlineStr">
        <is>
          <t>GÄVLEBORGS LÄN</t>
        </is>
      </c>
      <c r="G917" t="inlineStr">
        <is>
          <t>BOLLNÄS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36699-2023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45153</v>
      </c>
      <c r="E918" s="1" t="n">
        <v>46250</v>
      </c>
      <c r="F918" t="inlineStr">
        <is>
          <t>GÄVLEBORGS LÄN</t>
        </is>
      </c>
      <c r="G918" t="inlineStr">
        <is>
          <t>BOLLNÄS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46045</v>
      </c>
      <c r="E919" s="1" t="n">
        <v>46250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46250</v>
      </c>
      <c r="F920" t="inlineStr">
        <is>
          <t>GÄVLEBORGS LÄN</t>
        </is>
      </c>
      <c r="G920" t="inlineStr">
        <is>
          <t>BOLLNÄS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46048</v>
      </c>
      <c r="E921" s="1" t="n">
        <v>46250</v>
      </c>
      <c r="F921" t="inlineStr">
        <is>
          <t>GÄVLEBORGS LÄN</t>
        </is>
      </c>
      <c r="G921" t="inlineStr">
        <is>
          <t>BOLLNÄS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833-2026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46030</v>
      </c>
      <c r="E922" s="1" t="n">
        <v>46250</v>
      </c>
      <c r="F922" t="inlineStr">
        <is>
          <t>GÄVLEBORGS LÄN</t>
        </is>
      </c>
      <c r="G922" t="inlineStr">
        <is>
          <t>BOLLNÄS</t>
        </is>
      </c>
      <c r="I922" t="n">
        <v>10.8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46250</v>
      </c>
      <c r="F923" t="inlineStr">
        <is>
          <t>GÄVLEBORGS LÄN</t>
        </is>
      </c>
      <c r="G923" t="inlineStr">
        <is>
          <t>BOLLNÄS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46250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23930-2025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45795</v>
      </c>
      <c r="E925" s="1" t="n">
        <v>46250</v>
      </c>
      <c r="F925" t="inlineStr">
        <is>
          <t>GÄVLEBORGS LÄN</t>
        </is>
      </c>
      <c r="G925" t="inlineStr">
        <is>
          <t>BOLLNÄS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36594-2023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45153</v>
      </c>
      <c r="E926" s="1" t="n">
        <v>46250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4851-2026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46250</v>
      </c>
      <c r="F927" t="inlineStr">
        <is>
          <t>GÄVLEBORGS LÄN</t>
        </is>
      </c>
      <c r="G927" t="inlineStr">
        <is>
          <t>BOLLNÄS</t>
        </is>
      </c>
      <c r="H927" t="inlineStr">
        <is>
          <t>Kyrkan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46045</v>
      </c>
      <c r="E928" s="1" t="n">
        <v>46250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4449-2026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46250</v>
      </c>
      <c r="F929" t="inlineStr">
        <is>
          <t>GÄVLEBORGS LÄN</t>
        </is>
      </c>
      <c r="G929" t="inlineStr">
        <is>
          <t>BOLLNÄS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46250</v>
      </c>
      <c r="F930" t="inlineStr">
        <is>
          <t>GÄVLEBORGS LÄN</t>
        </is>
      </c>
      <c r="G930" t="inlineStr">
        <is>
          <t>BOLLNÄS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44944</v>
      </c>
      <c r="E931" s="1" t="n">
        <v>46250</v>
      </c>
      <c r="F931" t="inlineStr">
        <is>
          <t>GÄVLEBORGS LÄN</t>
        </is>
      </c>
      <c r="G931" t="inlineStr">
        <is>
          <t>BOLLNÄS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24958-2023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45085</v>
      </c>
      <c r="E932" s="1" t="n">
        <v>46250</v>
      </c>
      <c r="F932" t="inlineStr">
        <is>
          <t>GÄVLEBORGS LÄN</t>
        </is>
      </c>
      <c r="G932" t="inlineStr">
        <is>
          <t>BOLLNÄS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4693-2026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46048</v>
      </c>
      <c r="E933" s="1" t="n">
        <v>46250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54908-2025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45967</v>
      </c>
      <c r="E934" s="1" t="n">
        <v>46250</v>
      </c>
      <c r="F934" t="inlineStr">
        <is>
          <t>GÄVLEBORGS LÄN</t>
        </is>
      </c>
      <c r="G934" t="inlineStr">
        <is>
          <t>BOLLNÄS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46250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20413-2026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46140</v>
      </c>
      <c r="E936" s="1" t="n">
        <v>46250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46250</v>
      </c>
      <c r="F937" t="inlineStr">
        <is>
          <t>GÄVLEBORGS LÄN</t>
        </is>
      </c>
      <c r="G937" t="inlineStr">
        <is>
          <t>BOLLNÄS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46049</v>
      </c>
      <c r="E938" s="1" t="n">
        <v>46250</v>
      </c>
      <c r="F938" t="inlineStr">
        <is>
          <t>GÄVLEBORGS LÄN</t>
        </is>
      </c>
      <c r="G938" t="inlineStr">
        <is>
          <t>BOLLNÄS</t>
        </is>
      </c>
      <c r="I938" t="n">
        <v>5.8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46250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46250</v>
      </c>
      <c r="F940" t="inlineStr">
        <is>
          <t>GÄVLEBORGS LÄN</t>
        </is>
      </c>
      <c r="G940" t="inlineStr">
        <is>
          <t>BOLLNÄS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46250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46250</v>
      </c>
      <c r="F942" t="inlineStr">
        <is>
          <t>GÄVLEBORGS LÄN</t>
        </is>
      </c>
      <c r="G942" t="inlineStr">
        <is>
          <t>BOLLNÄS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46050</v>
      </c>
      <c r="E943" s="1" t="n">
        <v>46250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46050</v>
      </c>
      <c r="E944" s="1" t="n">
        <v>46250</v>
      </c>
      <c r="F944" t="inlineStr">
        <is>
          <t>GÄVLEBORGS LÄN</t>
        </is>
      </c>
      <c r="G944" t="inlineStr">
        <is>
          <t>BOLLNÄS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46250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5262-2026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46050</v>
      </c>
      <c r="E946" s="1" t="n">
        <v>46250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5161-2026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46250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5571-2026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46250</v>
      </c>
      <c r="F948" t="inlineStr">
        <is>
          <t>GÄVLEBORGS LÄN</t>
        </is>
      </c>
      <c r="G948" t="inlineStr">
        <is>
          <t>BOLLNÄS</t>
        </is>
      </c>
      <c r="I948" t="n">
        <v>5.4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20219-2026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46250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46250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46250</v>
      </c>
      <c r="F951" t="inlineStr">
        <is>
          <t>GÄVLEBORGS LÄN</t>
        </is>
      </c>
      <c r="G951" t="inlineStr">
        <is>
          <t>BOLLNÄS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46250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46050</v>
      </c>
      <c r="E953" s="1" t="n">
        <v>46250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46250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46250</v>
      </c>
      <c r="F955" t="inlineStr">
        <is>
          <t>GÄVLEBORGS LÄN</t>
        </is>
      </c>
      <c r="G955" t="inlineStr">
        <is>
          <t>BOLLNÄS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46041</v>
      </c>
      <c r="E956" s="1" t="n">
        <v>46250</v>
      </c>
      <c r="F956" t="inlineStr">
        <is>
          <t>GÄVLEBORGS LÄN</t>
        </is>
      </c>
      <c r="G956" t="inlineStr">
        <is>
          <t>BOLLNÄS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6063-2026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46250</v>
      </c>
      <c r="F957" t="inlineStr">
        <is>
          <t>GÄVLEBORGS LÄN</t>
        </is>
      </c>
      <c r="G957" t="inlineStr">
        <is>
          <t>BOLLNÄS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5968-2026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46250</v>
      </c>
      <c r="F958" t="inlineStr">
        <is>
          <t>GÄVLEBORGS LÄN</t>
        </is>
      </c>
      <c r="G958" t="inlineStr">
        <is>
          <t>BOLLNÄS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6017-2026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46052</v>
      </c>
      <c r="E959" s="1" t="n">
        <v>46250</v>
      </c>
      <c r="F959" t="inlineStr">
        <is>
          <t>GÄVLEBORGS LÄN</t>
        </is>
      </c>
      <c r="G959" t="inlineStr">
        <is>
          <t>BOLLNÄS</t>
        </is>
      </c>
      <c r="I959" t="n">
        <v>28.2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5660-2026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46250</v>
      </c>
      <c r="F960" t="inlineStr">
        <is>
          <t>GÄVLEBORGS LÄN</t>
        </is>
      </c>
      <c r="G960" t="inlineStr">
        <is>
          <t>BOLLNÄS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6059-2026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46052</v>
      </c>
      <c r="E961" s="1" t="n">
        <v>46250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46250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46250</v>
      </c>
      <c r="F963" t="inlineStr">
        <is>
          <t>GÄVLEBORGS LÄN</t>
        </is>
      </c>
      <c r="G963" t="inlineStr">
        <is>
          <t>BOLLNÄS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6026-2026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46250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46051</v>
      </c>
      <c r="E965" s="1" t="n">
        <v>46250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46250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46051</v>
      </c>
      <c r="E967" s="1" t="n">
        <v>46250</v>
      </c>
      <c r="F967" t="inlineStr">
        <is>
          <t>GÄVLEBORGS LÄN</t>
        </is>
      </c>
      <c r="G967" t="inlineStr">
        <is>
          <t>BOLLNÄS</t>
        </is>
      </c>
      <c r="I967" t="n">
        <v>12.3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46051</v>
      </c>
      <c r="E968" s="1" t="n">
        <v>46250</v>
      </c>
      <c r="F968" t="inlineStr">
        <is>
          <t>GÄVLEBORGS LÄN</t>
        </is>
      </c>
      <c r="G968" t="inlineStr">
        <is>
          <t>BOLLNÄS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5678-2026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46250</v>
      </c>
      <c r="F969" t="inlineStr">
        <is>
          <t>GÄVLEBORGS LÄN</t>
        </is>
      </c>
      <c r="G969" t="inlineStr">
        <is>
          <t>BOLLNÄS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46250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45258</v>
      </c>
      <c r="E971" s="1" t="n">
        <v>46250</v>
      </c>
      <c r="F971" t="inlineStr">
        <is>
          <t>GÄVLEBORGS LÄN</t>
        </is>
      </c>
      <c r="G971" t="inlineStr">
        <is>
          <t>BOLLNÄS</t>
        </is>
      </c>
      <c r="I971" t="n">
        <v>7.1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54511-2024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45617</v>
      </c>
      <c r="E972" s="1" t="n">
        <v>46250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46052</v>
      </c>
      <c r="E973" s="1" t="n">
        <v>46250</v>
      </c>
      <c r="F973" t="inlineStr">
        <is>
          <t>GÄVLEBORGS LÄN</t>
        </is>
      </c>
      <c r="G973" t="inlineStr">
        <is>
          <t>BOLLNÄS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6012-2026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46250</v>
      </c>
      <c r="F974" t="inlineStr">
        <is>
          <t>GÄVLEBORGS LÄN</t>
        </is>
      </c>
      <c r="G974" t="inlineStr">
        <is>
          <t>BOLLNÄS</t>
        </is>
      </c>
      <c r="I974" t="n">
        <v>10.2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46250</v>
      </c>
      <c r="F975" t="inlineStr">
        <is>
          <t>GÄVLEBORGS LÄN</t>
        </is>
      </c>
      <c r="G975" t="inlineStr">
        <is>
          <t>BOLLNÄS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46051</v>
      </c>
      <c r="E976" s="1" t="n">
        <v>46250</v>
      </c>
      <c r="F976" t="inlineStr">
        <is>
          <t>GÄVLEBORGS LÄN</t>
        </is>
      </c>
      <c r="G976" t="inlineStr">
        <is>
          <t>BOLLNÄS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46250</v>
      </c>
      <c r="F977" t="inlineStr">
        <is>
          <t>GÄVLEBORGS LÄN</t>
        </is>
      </c>
      <c r="G977" t="inlineStr">
        <is>
          <t>BOLLNÄS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46052</v>
      </c>
      <c r="E978" s="1" t="n">
        <v>46250</v>
      </c>
      <c r="F978" t="inlineStr">
        <is>
          <t>GÄVLEBORGS LÄN</t>
        </is>
      </c>
      <c r="G978" t="inlineStr">
        <is>
          <t>BOLLNÄS</t>
        </is>
      </c>
      <c r="I978" t="n">
        <v>16.9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1515-2026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46034</v>
      </c>
      <c r="E979" s="1" t="n">
        <v>46250</v>
      </c>
      <c r="F979" t="inlineStr">
        <is>
          <t>GÄVLEBORGS LÄN</t>
        </is>
      </c>
      <c r="G979" t="inlineStr">
        <is>
          <t>BOLLNÄS</t>
        </is>
      </c>
      <c r="I979" t="n">
        <v>16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6752-2024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45342</v>
      </c>
      <c r="E980" s="1" t="n">
        <v>46250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6755-2024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45342</v>
      </c>
      <c r="E981" s="1" t="n">
        <v>46250</v>
      </c>
      <c r="F981" t="inlineStr">
        <is>
          <t>GÄVLEBORGS LÄN</t>
        </is>
      </c>
      <c r="G981" t="inlineStr">
        <is>
          <t>BOLLNÄS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46250</v>
      </c>
      <c r="F982" t="inlineStr">
        <is>
          <t>GÄVLEBORGS LÄN</t>
        </is>
      </c>
      <c r="G982" t="inlineStr">
        <is>
          <t>BOLLNÄS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6528-2026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46250</v>
      </c>
      <c r="F983" t="inlineStr">
        <is>
          <t>GÄVLEBORGS LÄN</t>
        </is>
      </c>
      <c r="G983" t="inlineStr">
        <is>
          <t>BOLLNÄS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46250</v>
      </c>
      <c r="F984" t="inlineStr">
        <is>
          <t>GÄVLEBORGS LÄN</t>
        </is>
      </c>
      <c r="G984" t="inlineStr">
        <is>
          <t>BOLLNÄS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46250</v>
      </c>
      <c r="F985" t="inlineStr">
        <is>
          <t>GÄVLEBORGS LÄN</t>
        </is>
      </c>
      <c r="G985" t="inlineStr">
        <is>
          <t>BOLLNÄS</t>
        </is>
      </c>
      <c r="I985" t="n">
        <v>16.2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6461-2026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46250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5.9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46250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6387-2026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46250</v>
      </c>
      <c r="F988" t="inlineStr">
        <is>
          <t>GÄVLEBORGS LÄN</t>
        </is>
      </c>
      <c r="G988" t="inlineStr">
        <is>
          <t>BOLLNÄS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46055</v>
      </c>
      <c r="E989" s="1" t="n">
        <v>46250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24551-2024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45460</v>
      </c>
      <c r="E990" s="1" t="n">
        <v>46250</v>
      </c>
      <c r="F990" t="inlineStr">
        <is>
          <t>GÄVLEBORGS LÄN</t>
        </is>
      </c>
      <c r="G990" t="inlineStr">
        <is>
          <t>BOLLNÄS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24742-2024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45460</v>
      </c>
      <c r="E991" s="1" t="n">
        <v>46250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46055</v>
      </c>
      <c r="E992" s="1" t="n">
        <v>46250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46055</v>
      </c>
      <c r="E993" s="1" t="n">
        <v>46250</v>
      </c>
      <c r="F993" t="inlineStr">
        <is>
          <t>GÄVLEBORGS LÄN</t>
        </is>
      </c>
      <c r="G993" t="inlineStr">
        <is>
          <t>BOLLNÄS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11335-2026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46082</v>
      </c>
      <c r="E994" s="1" t="n">
        <v>46250</v>
      </c>
      <c r="F994" t="inlineStr">
        <is>
          <t>GÄVLEBORGS LÄN</t>
        </is>
      </c>
      <c r="G994" t="inlineStr">
        <is>
          <t>BOLLNÄS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6537-2026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46250</v>
      </c>
      <c r="F995" t="inlineStr">
        <is>
          <t>GÄVLEBORGS LÄN</t>
        </is>
      </c>
      <c r="G995" t="inlineStr">
        <is>
          <t>BOLLNÄS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46250</v>
      </c>
      <c r="F996" t="inlineStr">
        <is>
          <t>GÄVLEBORGS LÄN</t>
        </is>
      </c>
      <c r="G996" t="inlineStr">
        <is>
          <t>BOLLNÄS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6436-2026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46250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46250</v>
      </c>
      <c r="F998" t="inlineStr">
        <is>
          <t>GÄVLEBORGS LÄN</t>
        </is>
      </c>
      <c r="G998" t="inlineStr">
        <is>
          <t>BOLLNÄS</t>
        </is>
      </c>
      <c r="H998" t="inlineStr">
        <is>
          <t>Kyrkan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46250</v>
      </c>
      <c r="F999" t="inlineStr">
        <is>
          <t>GÄVLEBORGS LÄN</t>
        </is>
      </c>
      <c r="G999" t="inlineStr">
        <is>
          <t>BOLLNÄS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6643-2026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46250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46250</v>
      </c>
      <c r="F1001" t="inlineStr">
        <is>
          <t>GÄVLEBORGS LÄN</t>
        </is>
      </c>
      <c r="G1001" t="inlineStr">
        <is>
          <t>BOLLNÄS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46250</v>
      </c>
      <c r="F1002" t="inlineStr">
        <is>
          <t>GÄVLEBORGS LÄN</t>
        </is>
      </c>
      <c r="G1002" t="inlineStr">
        <is>
          <t>BOLLNÄS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46250</v>
      </c>
      <c r="F1003" t="inlineStr">
        <is>
          <t>GÄVLEBORGS LÄN</t>
        </is>
      </c>
      <c r="G1003" t="inlineStr">
        <is>
          <t>BOLLNÄS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29777-2025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45825</v>
      </c>
      <c r="E1004" s="1" t="n">
        <v>46250</v>
      </c>
      <c r="F1004" t="inlineStr">
        <is>
          <t>GÄVLEBORGS LÄN</t>
        </is>
      </c>
      <c r="G1004" t="inlineStr">
        <is>
          <t>BOLLNÄS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46250</v>
      </c>
      <c r="F1005" t="inlineStr">
        <is>
          <t>GÄVLEBORGS LÄN</t>
        </is>
      </c>
      <c r="G1005" t="inlineStr">
        <is>
          <t>BOLLNÄS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46056</v>
      </c>
      <c r="E1006" s="1" t="n">
        <v>46250</v>
      </c>
      <c r="F1006" t="inlineStr">
        <is>
          <t>GÄVLEBORGS LÄN</t>
        </is>
      </c>
      <c r="G1006" t="inlineStr">
        <is>
          <t>BOLLNÄS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46250</v>
      </c>
      <c r="F1007" t="inlineStr">
        <is>
          <t>GÄVLEBORGS LÄN</t>
        </is>
      </c>
      <c r="G1007" t="inlineStr">
        <is>
          <t>BOLLNÄS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9667-2026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46250</v>
      </c>
      <c r="F1008" t="inlineStr">
        <is>
          <t>GÄVLEBORGS LÄN</t>
        </is>
      </c>
      <c r="G1008" t="inlineStr">
        <is>
          <t>BOLLNÄS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46250</v>
      </c>
      <c r="F1009" t="inlineStr">
        <is>
          <t>GÄVLEBORGS LÄN</t>
        </is>
      </c>
      <c r="G1009" t="inlineStr">
        <is>
          <t>BOLLNÄS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46250</v>
      </c>
      <c r="F1010" t="inlineStr">
        <is>
          <t>GÄVLEBORGS LÄN</t>
        </is>
      </c>
      <c r="G1010" t="inlineStr">
        <is>
          <t>BOLLNÄS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46250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46250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46250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6666-2026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46250</v>
      </c>
      <c r="F1014" t="inlineStr">
        <is>
          <t>GÄVLEBORGS LÄN</t>
        </is>
      </c>
      <c r="G1014" t="inlineStr">
        <is>
          <t>BOLLNÄS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6784-2026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46250</v>
      </c>
      <c r="F1015" t="inlineStr">
        <is>
          <t>GÄVLEBORGS LÄN</t>
        </is>
      </c>
      <c r="G1015" t="inlineStr">
        <is>
          <t>BOLLNÄS</t>
        </is>
      </c>
      <c r="I1015" t="n">
        <v>21.8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7261-2026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46058</v>
      </c>
      <c r="E1016" s="1" t="n">
        <v>46250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10043-2026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46250</v>
      </c>
      <c r="F1017" t="inlineStr">
        <is>
          <t>GÄVLEBORGS LÄN</t>
        </is>
      </c>
      <c r="G1017" t="inlineStr">
        <is>
          <t>BOLLNÄS</t>
        </is>
      </c>
      <c r="I1017" t="n">
        <v>12.2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46250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12018-2024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45377</v>
      </c>
      <c r="E1019" s="1" t="n">
        <v>46250</v>
      </c>
      <c r="F1019" t="inlineStr">
        <is>
          <t>GÄVLEBORGS LÄN</t>
        </is>
      </c>
      <c r="G1019" t="inlineStr">
        <is>
          <t>BOLLNÄS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32859-2024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45516</v>
      </c>
      <c r="E1020" s="1" t="n">
        <v>46250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Sveaskog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46669-2024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45583</v>
      </c>
      <c r="E1021" s="1" t="n">
        <v>46250</v>
      </c>
      <c r="F1021" t="inlineStr">
        <is>
          <t>GÄVLEBORGS LÄN</t>
        </is>
      </c>
      <c r="G1021" t="inlineStr">
        <is>
          <t>BOLLNÄS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46027</v>
      </c>
      <c r="E1022" s="1" t="n">
        <v>46250</v>
      </c>
      <c r="F1022" t="inlineStr">
        <is>
          <t>GÄVLEBORGS LÄN</t>
        </is>
      </c>
      <c r="G1022" t="inlineStr">
        <is>
          <t>BOLLNÄS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51797-2023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45222</v>
      </c>
      <c r="E1023" s="1" t="n">
        <v>46250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46250</v>
      </c>
      <c r="F1024" t="inlineStr">
        <is>
          <t>GÄVLEBORGS LÄN</t>
        </is>
      </c>
      <c r="G1024" t="inlineStr">
        <is>
          <t>BOLLNÄS</t>
        </is>
      </c>
      <c r="I1024" t="n">
        <v>24.2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7878-2026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46250</v>
      </c>
      <c r="F1025" t="inlineStr">
        <is>
          <t>GÄVLEBORGS LÄN</t>
        </is>
      </c>
      <c r="G1025" t="inlineStr">
        <is>
          <t>BOLLNÄS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13238-2026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46093</v>
      </c>
      <c r="E1026" s="1" t="n">
        <v>46250</v>
      </c>
      <c r="F1026" t="inlineStr">
        <is>
          <t>GÄVLEBORGS LÄN</t>
        </is>
      </c>
      <c r="G1026" t="inlineStr">
        <is>
          <t>BOLLNÄS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58431-2021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44488</v>
      </c>
      <c r="E1027" s="1" t="n">
        <v>46250</v>
      </c>
      <c r="F1027" t="inlineStr">
        <is>
          <t>GÄVLEBORGS LÄN</t>
        </is>
      </c>
      <c r="G1027" t="inlineStr">
        <is>
          <t>BOLLNÄS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46038</v>
      </c>
      <c r="E1028" s="1" t="n">
        <v>46250</v>
      </c>
      <c r="F1028" t="inlineStr">
        <is>
          <t>GÄVLEBORGS LÄN</t>
        </is>
      </c>
      <c r="G1028" t="inlineStr">
        <is>
          <t>BOLLNÄS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46250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46250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46250</v>
      </c>
      <c r="F1031" t="inlineStr">
        <is>
          <t>GÄVLEBORGS LÄN</t>
        </is>
      </c>
      <c r="G1031" t="inlineStr">
        <is>
          <t>BOLLNÄS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6853-2026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46250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63936-2025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46250</v>
      </c>
      <c r="F1033" t="inlineStr">
        <is>
          <t>GÄVLEBORGS LÄN</t>
        </is>
      </c>
      <c r="G1033" t="inlineStr">
        <is>
          <t>BOLLNÄS</t>
        </is>
      </c>
      <c r="I1033" t="n">
        <v>48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46027</v>
      </c>
      <c r="E1034" s="1" t="n">
        <v>46250</v>
      </c>
      <c r="F1034" t="inlineStr">
        <is>
          <t>GÄVLEBORGS LÄN</t>
        </is>
      </c>
      <c r="G1034" t="inlineStr">
        <is>
          <t>BOLLNÄS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46044</v>
      </c>
      <c r="E1035" s="1" t="n">
        <v>46250</v>
      </c>
      <c r="F1035" t="inlineStr">
        <is>
          <t>GÄVLEBORGS LÄN</t>
        </is>
      </c>
      <c r="G1035" t="inlineStr">
        <is>
          <t>BOLLNÄS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63877-2025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46020</v>
      </c>
      <c r="E1036" s="1" t="n">
        <v>46250</v>
      </c>
      <c r="F1036" t="inlineStr">
        <is>
          <t>GÄVLEBORGS LÄN</t>
        </is>
      </c>
      <c r="G1036" t="inlineStr">
        <is>
          <t>BOLLNÄS</t>
        </is>
      </c>
      <c r="I1036" t="n">
        <v>8.800000000000001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7139-2026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46250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3322-2026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46041</v>
      </c>
      <c r="E1038" s="1" t="n">
        <v>46250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20361-2026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46250</v>
      </c>
      <c r="F1039" t="inlineStr">
        <is>
          <t>GÄVLEBORGS LÄN</t>
        </is>
      </c>
      <c r="G1039" t="inlineStr">
        <is>
          <t>BOLLNÄS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46055</v>
      </c>
      <c r="E1040" s="1" t="n">
        <v>46250</v>
      </c>
      <c r="F1040" t="inlineStr">
        <is>
          <t>GÄVLEBORGS LÄN</t>
        </is>
      </c>
      <c r="G1040" t="inlineStr">
        <is>
          <t>BOLLNÄS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46250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7203-2026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46250</v>
      </c>
      <c r="F1042" t="inlineStr">
        <is>
          <t>GÄVLEBORGS LÄN</t>
        </is>
      </c>
      <c r="G1042" t="inlineStr">
        <is>
          <t>BOLLNÄS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7095-2026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46250</v>
      </c>
      <c r="F1043" t="inlineStr">
        <is>
          <t>GÄVLEBORGS LÄN</t>
        </is>
      </c>
      <c r="G1043" t="inlineStr">
        <is>
          <t>BOLLNÄS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46250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46250</v>
      </c>
      <c r="F1045" t="inlineStr">
        <is>
          <t>GÄVLEBORGS LÄN</t>
        </is>
      </c>
      <c r="G1045" t="inlineStr">
        <is>
          <t>BOLLNÄS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6759-2026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46250</v>
      </c>
      <c r="F1046" t="inlineStr">
        <is>
          <t>GÄVLEBORGS LÄN</t>
        </is>
      </c>
      <c r="G1046" t="inlineStr">
        <is>
          <t>BOLLNÄS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6917-2026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46057</v>
      </c>
      <c r="E1047" s="1" t="n">
        <v>46250</v>
      </c>
      <c r="F1047" t="inlineStr">
        <is>
          <t>GÄVLEBORGS LÄN</t>
        </is>
      </c>
      <c r="G1047" t="inlineStr">
        <is>
          <t>BOLLNÄS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6760-2026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46250</v>
      </c>
      <c r="F1048" t="inlineStr">
        <is>
          <t>GÄVLEBORGS LÄN</t>
        </is>
      </c>
      <c r="G1048" t="inlineStr">
        <is>
          <t>BOLLNÄS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6777-2026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46250</v>
      </c>
      <c r="F1049" t="inlineStr">
        <is>
          <t>GÄVLEBORGS LÄN</t>
        </is>
      </c>
      <c r="G1049" t="inlineStr">
        <is>
          <t>BOLLNÄS</t>
        </is>
      </c>
      <c r="I1049" t="n">
        <v>10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42306-2023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45180</v>
      </c>
      <c r="E1050" s="1" t="n">
        <v>46250</v>
      </c>
      <c r="F1050" t="inlineStr">
        <is>
          <t>GÄVLEBORGS LÄN</t>
        </is>
      </c>
      <c r="G1050" t="inlineStr">
        <is>
          <t>BOLLNÄS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4770-2026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46250</v>
      </c>
      <c r="F1051" t="inlineStr">
        <is>
          <t>GÄVLEBORGS LÄN</t>
        </is>
      </c>
      <c r="G1051" t="inlineStr">
        <is>
          <t>BOLLNÄS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7217-2026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46058</v>
      </c>
      <c r="E1052" s="1" t="n">
        <v>46250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46250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46069</v>
      </c>
      <c r="E1054" s="1" t="n">
        <v>46250</v>
      </c>
      <c r="F1054" t="inlineStr">
        <is>
          <t>GÄVLEBORGS LÄN</t>
        </is>
      </c>
      <c r="G1054" t="inlineStr">
        <is>
          <t>BOLLNÄS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13878-2026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46250</v>
      </c>
      <c r="F1055" t="inlineStr">
        <is>
          <t>GÄVLEBORGS LÄN</t>
        </is>
      </c>
      <c r="G1055" t="inlineStr">
        <is>
          <t>BOLLNÄS</t>
        </is>
      </c>
      <c r="I1055" t="n">
        <v>8.699999999999999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2910-2026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46038</v>
      </c>
      <c r="E1056" s="1" t="n">
        <v>46250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55593-2024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45622</v>
      </c>
      <c r="E1057" s="1" t="n">
        <v>46250</v>
      </c>
      <c r="F1057" t="inlineStr">
        <is>
          <t>GÄVLEBORGS LÄN</t>
        </is>
      </c>
      <c r="G1057" t="inlineStr">
        <is>
          <t>BOLLNÄS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56453-2023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45243</v>
      </c>
      <c r="E1058" s="1" t="n">
        <v>46250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46059</v>
      </c>
      <c r="E1059" s="1" t="n">
        <v>46250</v>
      </c>
      <c r="F1059" t="inlineStr">
        <is>
          <t>GÄVLEBORGS LÄN</t>
        </is>
      </c>
      <c r="G1059" t="inlineStr">
        <is>
          <t>BOLLNÄS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46250</v>
      </c>
      <c r="F1060" t="inlineStr">
        <is>
          <t>GÄVLEBORGS LÄN</t>
        </is>
      </c>
      <c r="G1060" t="inlineStr">
        <is>
          <t>BOLLNÄS</t>
        </is>
      </c>
      <c r="I1060" t="n">
        <v>18.3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7336-2026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46058</v>
      </c>
      <c r="E1061" s="1" t="n">
        <v>46250</v>
      </c>
      <c r="F1061" t="inlineStr">
        <is>
          <t>GÄVLEBORGS LÄN</t>
        </is>
      </c>
      <c r="G1061" t="inlineStr">
        <is>
          <t>BOLLNÄS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46250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4300-2026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46250</v>
      </c>
      <c r="F1063" t="inlineStr">
        <is>
          <t>GÄVLEBORGS LÄN</t>
        </is>
      </c>
      <c r="G1063" t="inlineStr">
        <is>
          <t>BOLLNÄS</t>
        </is>
      </c>
      <c r="I1063" t="n">
        <v>8.699999999999999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46250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42233-2023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45180</v>
      </c>
      <c r="E1065" s="1" t="n">
        <v>46250</v>
      </c>
      <c r="F1065" t="inlineStr">
        <is>
          <t>GÄVLEBORGS LÄN</t>
        </is>
      </c>
      <c r="G1065" t="inlineStr">
        <is>
          <t>BOLLNÄS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46250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46250</v>
      </c>
      <c r="F1067" t="inlineStr">
        <is>
          <t>GÄVLEBORGS LÄN</t>
        </is>
      </c>
      <c r="G1067" t="inlineStr">
        <is>
          <t>BOLLNÄS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15654-2025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45748</v>
      </c>
      <c r="E1068" s="1" t="n">
        <v>46250</v>
      </c>
      <c r="F1068" t="inlineStr">
        <is>
          <t>GÄVLEBORGS LÄN</t>
        </is>
      </c>
      <c r="G1068" t="inlineStr">
        <is>
          <t>BOLLNÄS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7569-2026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46060</v>
      </c>
      <c r="E1069" s="1" t="n">
        <v>46250</v>
      </c>
      <c r="F1069" t="inlineStr">
        <is>
          <t>GÄVLEBORGS LÄN</t>
        </is>
      </c>
      <c r="G1069" t="inlineStr">
        <is>
          <t>BOLLNÄS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7660-2026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46062</v>
      </c>
      <c r="E1070" s="1" t="n">
        <v>46250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12243-2026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46250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3271-2025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45679</v>
      </c>
      <c r="E1072" s="1" t="n">
        <v>46250</v>
      </c>
      <c r="F1072" t="inlineStr">
        <is>
          <t>GÄVLEBORGS LÄN</t>
        </is>
      </c>
      <c r="G1072" t="inlineStr">
        <is>
          <t>BOLLNÄS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15355-2025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45747</v>
      </c>
      <c r="E1073" s="1" t="n">
        <v>46250</v>
      </c>
      <c r="F1073" t="inlineStr">
        <is>
          <t>GÄVLEBORGS LÄN</t>
        </is>
      </c>
      <c r="G1073" t="inlineStr">
        <is>
          <t>BOLLNÄS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12342-2026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46087</v>
      </c>
      <c r="E1074" s="1" t="n">
        <v>46250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13041-2026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46250</v>
      </c>
      <c r="F1075" t="inlineStr">
        <is>
          <t>GÄVLEBORGS LÄN</t>
        </is>
      </c>
      <c r="G1075" t="inlineStr">
        <is>
          <t>BOLLNÄS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61220-2022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44915</v>
      </c>
      <c r="E1076" s="1" t="n">
        <v>46250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7616-2026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46062</v>
      </c>
      <c r="E1077" s="1" t="n">
        <v>46250</v>
      </c>
      <c r="F1077" t="inlineStr">
        <is>
          <t>GÄVLEBORGS LÄN</t>
        </is>
      </c>
      <c r="G1077" t="inlineStr">
        <is>
          <t>BOLLNÄS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7642-2026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46062</v>
      </c>
      <c r="E1078" s="1" t="n">
        <v>46250</v>
      </c>
      <c r="F1078" t="inlineStr">
        <is>
          <t>GÄVLEBORGS LÄN</t>
        </is>
      </c>
      <c r="G1078" t="inlineStr">
        <is>
          <t>BOLLNÄS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5808-2026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46250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Kommuner</t>
        </is>
      </c>
      <c r="I1079" t="n">
        <v>8.9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46062</v>
      </c>
      <c r="E1080" s="1" t="n">
        <v>46250</v>
      </c>
      <c r="F1080" t="inlineStr">
        <is>
          <t>GÄVLEBORGS LÄN</t>
        </is>
      </c>
      <c r="G1080" t="inlineStr">
        <is>
          <t>BOLLNÄS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45819</v>
      </c>
      <c r="E1081" s="1" t="n">
        <v>46250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40453-2024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45555</v>
      </c>
      <c r="E1082" s="1" t="n">
        <v>46250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7618-2026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46062</v>
      </c>
      <c r="E1083" s="1" t="n">
        <v>46250</v>
      </c>
      <c r="F1083" t="inlineStr">
        <is>
          <t>GÄVLEBORGS LÄN</t>
        </is>
      </c>
      <c r="G1083" t="inlineStr">
        <is>
          <t>BOLLNÄS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7621-2026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46250</v>
      </c>
      <c r="F1084" t="inlineStr">
        <is>
          <t>GÄVLEBORGS LÄN</t>
        </is>
      </c>
      <c r="G1084" t="inlineStr">
        <is>
          <t>BOLLNÄS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46051</v>
      </c>
      <c r="E1085" s="1" t="n">
        <v>46250</v>
      </c>
      <c r="F1085" t="inlineStr">
        <is>
          <t>GÄVLEBORGS LÄN</t>
        </is>
      </c>
      <c r="G1085" t="inlineStr">
        <is>
          <t>BOLLNÄS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46035</v>
      </c>
      <c r="E1086" s="1" t="n">
        <v>46250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22.7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46027</v>
      </c>
      <c r="E1087" s="1" t="n">
        <v>46250</v>
      </c>
      <c r="F1087" t="inlineStr">
        <is>
          <t>GÄVLEBORGS LÄN</t>
        </is>
      </c>
      <c r="G1087" t="inlineStr">
        <is>
          <t>BOLLNÄS</t>
        </is>
      </c>
      <c r="I1087" t="n">
        <v>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5806-2022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44596</v>
      </c>
      <c r="E1088" s="1" t="n">
        <v>46250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46250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46064</v>
      </c>
      <c r="E1090" s="1" t="n">
        <v>46250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46035</v>
      </c>
      <c r="E1091" s="1" t="n">
        <v>46250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8052-2026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46063</v>
      </c>
      <c r="E1092" s="1" t="n">
        <v>46250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46029</v>
      </c>
      <c r="E1093" s="1" t="n">
        <v>46250</v>
      </c>
      <c r="F1093" t="inlineStr">
        <is>
          <t>GÄVLEBORGS LÄN</t>
        </is>
      </c>
      <c r="G1093" t="inlineStr">
        <is>
          <t>BOLLNÄS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8010-2026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46063</v>
      </c>
      <c r="E1094" s="1" t="n">
        <v>46250</v>
      </c>
      <c r="F1094" t="inlineStr">
        <is>
          <t>GÄVLEBORGS LÄN</t>
        </is>
      </c>
      <c r="G1094" t="inlineStr">
        <is>
          <t>BOLLNÄS</t>
        </is>
      </c>
      <c r="I1094" t="n">
        <v>4.2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4907-2026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46250</v>
      </c>
      <c r="F1095" t="inlineStr">
        <is>
          <t>GÄVLEBORGS LÄN</t>
        </is>
      </c>
      <c r="G1095" t="inlineStr">
        <is>
          <t>BOLLNÄS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20447-2026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46140</v>
      </c>
      <c r="E1096" s="1" t="n">
        <v>46250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8166-2026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46064</v>
      </c>
      <c r="E1097" s="1" t="n">
        <v>46250</v>
      </c>
      <c r="F1097" t="inlineStr">
        <is>
          <t>GÄVLEBORGS LÄN</t>
        </is>
      </c>
      <c r="G1097" t="inlineStr">
        <is>
          <t>BOLLNÄS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8174-2026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46250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7919-2026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46063</v>
      </c>
      <c r="E1099" s="1" t="n">
        <v>46250</v>
      </c>
      <c r="F1099" t="inlineStr">
        <is>
          <t>GÄVLEBORGS LÄN</t>
        </is>
      </c>
      <c r="G1099" t="inlineStr">
        <is>
          <t>BOLLNÄS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825-2026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46250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8070-2026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46063</v>
      </c>
      <c r="E1101" s="1" t="n">
        <v>46250</v>
      </c>
      <c r="F1101" t="inlineStr">
        <is>
          <t>GÄVLEBORGS LÄN</t>
        </is>
      </c>
      <c r="G1101" t="inlineStr">
        <is>
          <t>BOLLNÄS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46052</v>
      </c>
      <c r="E1102" s="1" t="n">
        <v>46250</v>
      </c>
      <c r="F1102" t="inlineStr">
        <is>
          <t>GÄVLEBORGS LÄN</t>
        </is>
      </c>
      <c r="G1102" t="inlineStr">
        <is>
          <t>BOLLNÄS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6430-2026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46250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Kyrkan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46052</v>
      </c>
      <c r="E1104" s="1" t="n">
        <v>46250</v>
      </c>
      <c r="F1104" t="inlineStr">
        <is>
          <t>GÄVLEBORGS LÄN</t>
        </is>
      </c>
      <c r="G1104" t="inlineStr">
        <is>
          <t>BOLLNÄS</t>
        </is>
      </c>
      <c r="I1104" t="n">
        <v>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6783-2026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46057</v>
      </c>
      <c r="E1105" s="1" t="n">
        <v>46250</v>
      </c>
      <c r="F1105" t="inlineStr">
        <is>
          <t>GÄVLEBORGS LÄN</t>
        </is>
      </c>
      <c r="G1105" t="inlineStr">
        <is>
          <t>BOLLNÄS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6850-2026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46057</v>
      </c>
      <c r="E1106" s="1" t="n">
        <v>46250</v>
      </c>
      <c r="F1106" t="inlineStr">
        <is>
          <t>GÄVLEBORGS LÄN</t>
        </is>
      </c>
      <c r="G1106" t="inlineStr">
        <is>
          <t>BOLLNÄS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46250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Kyrkan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49445-2021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44454</v>
      </c>
      <c r="E1108" s="1" t="n">
        <v>46250</v>
      </c>
      <c r="F1108" t="inlineStr">
        <is>
          <t>GÄVLEBORGS LÄN</t>
        </is>
      </c>
      <c r="G1108" t="inlineStr">
        <is>
          <t>BOLLNÄS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6479-2026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46250</v>
      </c>
      <c r="F1109" t="inlineStr">
        <is>
          <t>GÄVLEBORGS LÄN</t>
        </is>
      </c>
      <c r="G1109" t="inlineStr">
        <is>
          <t>BOLLNÄS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20189-2026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46250</v>
      </c>
      <c r="F1110" t="inlineStr">
        <is>
          <t>GÄVLEBORGS LÄN</t>
        </is>
      </c>
      <c r="G1110" t="inlineStr">
        <is>
          <t>BOLLNÄS</t>
        </is>
      </c>
      <c r="I1110" t="n">
        <v>11.7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18013-2023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45040</v>
      </c>
      <c r="E1111" s="1" t="n">
        <v>46250</v>
      </c>
      <c r="F1111" t="inlineStr">
        <is>
          <t>GÄVLEBORGS LÄN</t>
        </is>
      </c>
      <c r="G1111" t="inlineStr">
        <is>
          <t>BOLLNÄS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46029</v>
      </c>
      <c r="E1112" s="1" t="n">
        <v>46250</v>
      </c>
      <c r="F1112" t="inlineStr">
        <is>
          <t>GÄVLEBORGS LÄN</t>
        </is>
      </c>
      <c r="G1112" t="inlineStr">
        <is>
          <t>BOLLNÄS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10727-2026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46078</v>
      </c>
      <c r="E1113" s="1" t="n">
        <v>46250</v>
      </c>
      <c r="F1113" t="inlineStr">
        <is>
          <t>GÄVLEBORGS LÄN</t>
        </is>
      </c>
      <c r="G1113" t="inlineStr">
        <is>
          <t>BOLLNÄS</t>
        </is>
      </c>
      <c r="I1113" t="n">
        <v>3.6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46250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46042</v>
      </c>
      <c r="E1115" s="1" t="n">
        <v>46250</v>
      </c>
      <c r="F1115" t="inlineStr">
        <is>
          <t>GÄVLEBORGS LÄN</t>
        </is>
      </c>
      <c r="G1115" t="inlineStr">
        <is>
          <t>BOLLNÄS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8938-2026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46069</v>
      </c>
      <c r="E1116" s="1" t="n">
        <v>46250</v>
      </c>
      <c r="F1116" t="inlineStr">
        <is>
          <t>GÄVLEBORGS LÄN</t>
        </is>
      </c>
      <c r="G1116" t="inlineStr">
        <is>
          <t>BOLLNÄS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10978-2026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46250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11656-2026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46084</v>
      </c>
      <c r="E1118" s="1" t="n">
        <v>46250</v>
      </c>
      <c r="F1118" t="inlineStr">
        <is>
          <t>GÄVLEBORGS LÄN</t>
        </is>
      </c>
      <c r="G1118" t="inlineStr">
        <is>
          <t>BOLLNÄS</t>
        </is>
      </c>
      <c r="I1118" t="n">
        <v>7.1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8012-2026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46250</v>
      </c>
      <c r="F1119" t="inlineStr">
        <is>
          <t>GÄVLEBORGS LÄN</t>
        </is>
      </c>
      <c r="G1119" t="inlineStr">
        <is>
          <t>BOLLNÄS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8181-2026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46064</v>
      </c>
      <c r="E1120" s="1" t="n">
        <v>46250</v>
      </c>
      <c r="F1120" t="inlineStr">
        <is>
          <t>GÄVLEBORGS LÄN</t>
        </is>
      </c>
      <c r="G1120" t="inlineStr">
        <is>
          <t>BOLLNÄS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8184-2026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46250</v>
      </c>
      <c r="F1121" t="inlineStr">
        <is>
          <t>GÄVLEBORGS LÄN</t>
        </is>
      </c>
      <c r="G1121" t="inlineStr">
        <is>
          <t>BOLLNÄS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37983-2025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45881</v>
      </c>
      <c r="E1122" s="1" t="n">
        <v>46250</v>
      </c>
      <c r="F1122" t="inlineStr">
        <is>
          <t>GÄVLEBORGS LÄN</t>
        </is>
      </c>
      <c r="G1122" t="inlineStr">
        <is>
          <t>BOLLNÄS</t>
        </is>
      </c>
      <c r="I1122" t="n">
        <v>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8528-2026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46065</v>
      </c>
      <c r="E1123" s="1" t="n">
        <v>46250</v>
      </c>
      <c r="F1123" t="inlineStr">
        <is>
          <t>GÄVLEBORGS LÄN</t>
        </is>
      </c>
      <c r="G1123" t="inlineStr">
        <is>
          <t>BOLLNÄS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8916-2026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46069</v>
      </c>
      <c r="E1124" s="1" t="n">
        <v>46250</v>
      </c>
      <c r="F1124" t="inlineStr">
        <is>
          <t>GÄVLEBORGS LÄN</t>
        </is>
      </c>
      <c r="G1124" t="inlineStr">
        <is>
          <t>BOLLNÄS</t>
        </is>
      </c>
      <c r="I1124" t="n">
        <v>3.4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46250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Sveaskog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9873-2026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46073</v>
      </c>
      <c r="E1126" s="1" t="n">
        <v>46250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64043-2025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46021</v>
      </c>
      <c r="E1127" s="1" t="n">
        <v>46250</v>
      </c>
      <c r="F1127" t="inlineStr">
        <is>
          <t>GÄVLEBORGS LÄN</t>
        </is>
      </c>
      <c r="G1127" t="inlineStr">
        <is>
          <t>BOLLNÄS</t>
        </is>
      </c>
      <c r="I1127" t="n">
        <v>17.6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8660-2026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46250</v>
      </c>
      <c r="F1128" t="inlineStr">
        <is>
          <t>GÄVLEBORGS LÄN</t>
        </is>
      </c>
      <c r="G1128" t="inlineStr">
        <is>
          <t>BOLLNÄS</t>
        </is>
      </c>
      <c r="I1128" t="n">
        <v>13.7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8669-2026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46250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8670-2026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46250</v>
      </c>
      <c r="F1130" t="inlineStr">
        <is>
          <t>GÄVLEBORGS LÄN</t>
        </is>
      </c>
      <c r="G1130" t="inlineStr">
        <is>
          <t>BOLLNÄS</t>
        </is>
      </c>
      <c r="I1130" t="n">
        <v>12.2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8700-2026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46066</v>
      </c>
      <c r="E1131" s="1" t="n">
        <v>46250</v>
      </c>
      <c r="F1131" t="inlineStr">
        <is>
          <t>GÄVLEBORGS LÄN</t>
        </is>
      </c>
      <c r="G1131" t="inlineStr">
        <is>
          <t>BOLLNÄS</t>
        </is>
      </c>
      <c r="I1131" t="n">
        <v>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8761-2026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46066</v>
      </c>
      <c r="E1132" s="1" t="n">
        <v>46250</v>
      </c>
      <c r="F1132" t="inlineStr">
        <is>
          <t>GÄVLEBORGS LÄN</t>
        </is>
      </c>
      <c r="G1132" t="inlineStr">
        <is>
          <t>BOLLNÄS</t>
        </is>
      </c>
      <c r="I1132" t="n">
        <v>6.8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8710-2026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46066</v>
      </c>
      <c r="E1133" s="1" t="n">
        <v>46250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8799-2026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46066</v>
      </c>
      <c r="E1134" s="1" t="n">
        <v>46250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20611-2026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46140</v>
      </c>
      <c r="E1135" s="1" t="n">
        <v>46250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8397-2026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46250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46079</v>
      </c>
      <c r="E1137" s="1" t="n">
        <v>46250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7144-2026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46058</v>
      </c>
      <c r="E1138" s="1" t="n">
        <v>46250</v>
      </c>
      <c r="F1138" t="inlineStr">
        <is>
          <t>GÄVLEBORGS LÄN</t>
        </is>
      </c>
      <c r="G1138" t="inlineStr">
        <is>
          <t>BOLLNÄS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8793-2026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46066</v>
      </c>
      <c r="E1139" s="1" t="n">
        <v>46250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Sveaskog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15147-2023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45016</v>
      </c>
      <c r="E1140" s="1" t="n">
        <v>46250</v>
      </c>
      <c r="F1140" t="inlineStr">
        <is>
          <t>GÄVLEBORGS LÄN</t>
        </is>
      </c>
      <c r="G1140" t="inlineStr">
        <is>
          <t>BOLLNÄS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8702-2026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46066</v>
      </c>
      <c r="E1141" s="1" t="n">
        <v>46250</v>
      </c>
      <c r="F1141" t="inlineStr">
        <is>
          <t>GÄVLEBORGS LÄN</t>
        </is>
      </c>
      <c r="G1141" t="inlineStr">
        <is>
          <t>BOLLNÄS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8406-2026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46065</v>
      </c>
      <c r="E1142" s="1" t="n">
        <v>46250</v>
      </c>
      <c r="F1142" t="inlineStr">
        <is>
          <t>GÄVLEBORGS LÄN</t>
        </is>
      </c>
      <c r="G1142" t="inlineStr">
        <is>
          <t>BOLLNÄS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9085-2026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46069</v>
      </c>
      <c r="E1143" s="1" t="n">
        <v>46250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Kommuner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9177-2026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46070</v>
      </c>
      <c r="E1144" s="1" t="n">
        <v>46250</v>
      </c>
      <c r="F1144" t="inlineStr">
        <is>
          <t>GÄVLEBORGS LÄN</t>
        </is>
      </c>
      <c r="G1144" t="inlineStr">
        <is>
          <t>BOLLNÄS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9178-2026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46070</v>
      </c>
      <c r="E1145" s="1" t="n">
        <v>46250</v>
      </c>
      <c r="F1145" t="inlineStr">
        <is>
          <t>GÄVLEBORGS LÄN</t>
        </is>
      </c>
      <c r="G1145" t="inlineStr">
        <is>
          <t>BOLLNÄS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9022-2026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46069</v>
      </c>
      <c r="E1146" s="1" t="n">
        <v>46250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46250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46250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47438-2023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45202</v>
      </c>
      <c r="E1149" s="1" t="n">
        <v>46250</v>
      </c>
      <c r="F1149" t="inlineStr">
        <is>
          <t>GÄVLEBORGS LÄN</t>
        </is>
      </c>
      <c r="G1149" t="inlineStr">
        <is>
          <t>BOLLNÄS</t>
        </is>
      </c>
      <c r="I1149" t="n">
        <v>9.1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46250</v>
      </c>
      <c r="F1150" t="inlineStr">
        <is>
          <t>GÄVLEBORGS LÄN</t>
        </is>
      </c>
      <c r="G1150" t="inlineStr">
        <is>
          <t>BOLLNÄS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9304-2026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46070</v>
      </c>
      <c r="E1151" s="1" t="n">
        <v>46250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9323-2026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46070</v>
      </c>
      <c r="E1152" s="1" t="n">
        <v>46250</v>
      </c>
      <c r="F1152" t="inlineStr">
        <is>
          <t>GÄVLEBORGS LÄN</t>
        </is>
      </c>
      <c r="G1152" t="inlineStr">
        <is>
          <t>BOLLNÄS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46138</v>
      </c>
      <c r="E1153" s="1" t="n">
        <v>46250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46041</v>
      </c>
      <c r="E1154" s="1" t="n">
        <v>46250</v>
      </c>
      <c r="F1154" t="inlineStr">
        <is>
          <t>GÄVLEBORGS LÄN</t>
        </is>
      </c>
      <c r="G1154" t="inlineStr">
        <is>
          <t>BOLLNÄS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46250</v>
      </c>
      <c r="F1155" t="inlineStr">
        <is>
          <t>GÄVLEBORGS LÄN</t>
        </is>
      </c>
      <c r="G1155" t="inlineStr">
        <is>
          <t>BOLLNÄS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45639-2023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45194</v>
      </c>
      <c r="E1156" s="1" t="n">
        <v>46250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33086-2022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44785</v>
      </c>
      <c r="E1157" s="1" t="n">
        <v>46250</v>
      </c>
      <c r="F1157" t="inlineStr">
        <is>
          <t>GÄVLEBORGS LÄN</t>
        </is>
      </c>
      <c r="G1157" t="inlineStr">
        <is>
          <t>BOLLNÄS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9059-2026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46069</v>
      </c>
      <c r="E1158" s="1" t="n">
        <v>46250</v>
      </c>
      <c r="F1158" t="inlineStr">
        <is>
          <t>GÄVLEBORGS LÄN</t>
        </is>
      </c>
      <c r="G1158" t="inlineStr">
        <is>
          <t>BOLLNÄS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9235-2026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46070</v>
      </c>
      <c r="E1159" s="1" t="n">
        <v>46250</v>
      </c>
      <c r="F1159" t="inlineStr">
        <is>
          <t>GÄVLEBORGS LÄN</t>
        </is>
      </c>
      <c r="G1159" t="inlineStr">
        <is>
          <t>BOLLNÄS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9237-2026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46070</v>
      </c>
      <c r="E1160" s="1" t="n">
        <v>46250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9184-2026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46070</v>
      </c>
      <c r="E1161" s="1" t="n">
        <v>46250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9188-2026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46070</v>
      </c>
      <c r="E1162" s="1" t="n">
        <v>46250</v>
      </c>
      <c r="F1162" t="inlineStr">
        <is>
          <t>GÄVLEBORGS LÄN</t>
        </is>
      </c>
      <c r="G1162" t="inlineStr">
        <is>
          <t>BOLLNÄS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9230-2026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46250</v>
      </c>
      <c r="F1163" t="inlineStr">
        <is>
          <t>GÄVLEBORGS LÄN</t>
        </is>
      </c>
      <c r="G1163" t="inlineStr">
        <is>
          <t>BOLLNÄS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9241-2026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46070</v>
      </c>
      <c r="E1164" s="1" t="n">
        <v>46250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9242-2026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46070</v>
      </c>
      <c r="E1165" s="1" t="n">
        <v>46250</v>
      </c>
      <c r="F1165" t="inlineStr">
        <is>
          <t>GÄVLEBORGS LÄN</t>
        </is>
      </c>
      <c r="G1165" t="inlineStr">
        <is>
          <t>BOLLNÄS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9213-2026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46070</v>
      </c>
      <c r="E1166" s="1" t="n">
        <v>46250</v>
      </c>
      <c r="F1166" t="inlineStr">
        <is>
          <t>GÄVLEBORGS LÄN</t>
        </is>
      </c>
      <c r="G1166" t="inlineStr">
        <is>
          <t>BOLLNÄS</t>
        </is>
      </c>
      <c r="I1166" t="n">
        <v>4.4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8898-2026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46068</v>
      </c>
      <c r="E1167" s="1" t="n">
        <v>46250</v>
      </c>
      <c r="F1167" t="inlineStr">
        <is>
          <t>GÄVLEBORGS LÄN</t>
        </is>
      </c>
      <c r="G1167" t="inlineStr">
        <is>
          <t>BOLLNÄS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9307-2026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46070</v>
      </c>
      <c r="E1168" s="1" t="n">
        <v>46250</v>
      </c>
      <c r="F1168" t="inlineStr">
        <is>
          <t>GÄVLEBORGS LÄN</t>
        </is>
      </c>
      <c r="G1168" t="inlineStr">
        <is>
          <t>BOLLNÄS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9308-2026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46070</v>
      </c>
      <c r="E1169" s="1" t="n">
        <v>46250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46029</v>
      </c>
      <c r="E1170" s="1" t="n">
        <v>46250</v>
      </c>
      <c r="F1170" t="inlineStr">
        <is>
          <t>GÄVLEBORGS LÄN</t>
        </is>
      </c>
      <c r="G1170" t="inlineStr">
        <is>
          <t>BOLLNÄS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9004-2026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46069</v>
      </c>
      <c r="E1171" s="1" t="n">
        <v>46250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9043-2026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46069</v>
      </c>
      <c r="E1172" s="1" t="n">
        <v>46250</v>
      </c>
      <c r="F1172" t="inlineStr">
        <is>
          <t>GÄVLEBORGS LÄN</t>
        </is>
      </c>
      <c r="G1172" t="inlineStr">
        <is>
          <t>BOLLNÄS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46038</v>
      </c>
      <c r="E1173" s="1" t="n">
        <v>46250</v>
      </c>
      <c r="F1173" t="inlineStr">
        <is>
          <t>GÄVLEBORGS LÄN</t>
        </is>
      </c>
      <c r="G1173" t="inlineStr">
        <is>
          <t>BOLLNÄS</t>
        </is>
      </c>
      <c r="I1173" t="n">
        <v>8.6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46034</v>
      </c>
      <c r="E1174" s="1" t="n">
        <v>46250</v>
      </c>
      <c r="F1174" t="inlineStr">
        <is>
          <t>GÄVLEBORGS LÄN</t>
        </is>
      </c>
      <c r="G1174" t="inlineStr">
        <is>
          <t>BOLLNÄS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15826-2026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46107</v>
      </c>
      <c r="E1175" s="1" t="n">
        <v>46250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8268-2026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46250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10225-2026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46076</v>
      </c>
      <c r="E1177" s="1" t="n">
        <v>46250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46106</v>
      </c>
      <c r="E1178" s="1" t="n">
        <v>46250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Kyrkan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15519-2026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46250</v>
      </c>
      <c r="F1179" t="inlineStr">
        <is>
          <t>GÄVLEBORGS LÄN</t>
        </is>
      </c>
      <c r="G1179" t="inlineStr">
        <is>
          <t>BOLLNÄS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46250</v>
      </c>
      <c r="F1180" t="inlineStr">
        <is>
          <t>GÄVLEBORGS LÄN</t>
        </is>
      </c>
      <c r="G1180" t="inlineStr">
        <is>
          <t>BOLLNÄS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5995-2026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46052</v>
      </c>
      <c r="E1181" s="1" t="n">
        <v>46250</v>
      </c>
      <c r="F1181" t="inlineStr">
        <is>
          <t>GÄVLEBORGS LÄN</t>
        </is>
      </c>
      <c r="G1181" t="inlineStr">
        <is>
          <t>BOLLNÄS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20028-2026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46250</v>
      </c>
      <c r="F1182" t="inlineStr">
        <is>
          <t>GÄVLEBORGS LÄN</t>
        </is>
      </c>
      <c r="G1182" t="inlineStr">
        <is>
          <t>BOLLNÄS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8148-2026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46250</v>
      </c>
      <c r="F1183" t="inlineStr">
        <is>
          <t>GÄVLEBORGS LÄN</t>
        </is>
      </c>
      <c r="G1183" t="inlineStr">
        <is>
          <t>BOLLNÄS</t>
        </is>
      </c>
      <c r="I1183" t="n">
        <v>23.9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5561-2022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44595</v>
      </c>
      <c r="E1184" s="1" t="n">
        <v>46250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45733</v>
      </c>
      <c r="E1185" s="1" t="n">
        <v>46250</v>
      </c>
      <c r="F1185" t="inlineStr">
        <is>
          <t>GÄVLEBORGS LÄN</t>
        </is>
      </c>
      <c r="G1185" t="inlineStr">
        <is>
          <t>BOLLNÄS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20227-2026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46250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öst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20236-2026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46250</v>
      </c>
      <c r="F1187" t="inlineStr">
        <is>
          <t>GÄVLEBORGS LÄN</t>
        </is>
      </c>
      <c r="G1187" t="inlineStr">
        <is>
          <t>BOLLNÄS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13807-2026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46098</v>
      </c>
      <c r="E1188" s="1" t="n">
        <v>46250</v>
      </c>
      <c r="F1188" t="inlineStr">
        <is>
          <t>GÄVLEBORGS LÄN</t>
        </is>
      </c>
      <c r="G1188" t="inlineStr">
        <is>
          <t>BOLLNÄS</t>
        </is>
      </c>
      <c r="I1188" t="n">
        <v>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6330-2026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46055</v>
      </c>
      <c r="E1189" s="1" t="n">
        <v>46250</v>
      </c>
      <c r="F1189" t="inlineStr">
        <is>
          <t>GÄVLEBORGS LÄN</t>
        </is>
      </c>
      <c r="G1189" t="inlineStr">
        <is>
          <t>BOLLNÄS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20292-2026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46250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20176-2026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46250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Kyrkan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20186-2026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46250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14870-2026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46104</v>
      </c>
      <c r="E1193" s="1" t="n">
        <v>46250</v>
      </c>
      <c r="F1193" t="inlineStr">
        <is>
          <t>GÄVLEBORGS LÄN</t>
        </is>
      </c>
      <c r="G1193" t="inlineStr">
        <is>
          <t>BOLLNÄS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4908-2026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46048</v>
      </c>
      <c r="E1194" s="1" t="n">
        <v>46250</v>
      </c>
      <c r="F1194" t="inlineStr">
        <is>
          <t>GÄVLEBORGS LÄN</t>
        </is>
      </c>
      <c r="G1194" t="inlineStr">
        <is>
          <t>BOLLNÄS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14783-2026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46250</v>
      </c>
      <c r="F1195" t="inlineStr">
        <is>
          <t>GÄVLEBORGS LÄN</t>
        </is>
      </c>
      <c r="G1195" t="inlineStr">
        <is>
          <t>BOLLNÄS</t>
        </is>
      </c>
      <c r="I1195" t="n">
        <v>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20422-2026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46250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20426-2026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46140</v>
      </c>
      <c r="E1197" s="1" t="n">
        <v>46250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3908-2026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46043</v>
      </c>
      <c r="E1198" s="1" t="n">
        <v>46250</v>
      </c>
      <c r="F1198" t="inlineStr">
        <is>
          <t>GÄVLEBORGS LÄN</t>
        </is>
      </c>
      <c r="G1198" t="inlineStr">
        <is>
          <t>BOLLNÄS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8204-2026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46064</v>
      </c>
      <c r="E1199" s="1" t="n">
        <v>46250</v>
      </c>
      <c r="F1199" t="inlineStr">
        <is>
          <t>GÄVLEBORGS LÄN</t>
        </is>
      </c>
      <c r="G1199" t="inlineStr">
        <is>
          <t>BOLLNÄS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8594-2026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46065</v>
      </c>
      <c r="E1200" s="1" t="n">
        <v>46250</v>
      </c>
      <c r="F1200" t="inlineStr">
        <is>
          <t>GÄVLEBORGS LÄN</t>
        </is>
      </c>
      <c r="G1200" t="inlineStr">
        <is>
          <t>BOLLNÄS</t>
        </is>
      </c>
      <c r="I1200" t="n">
        <v>17.2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46250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9355-2026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46070</v>
      </c>
      <c r="E1202" s="1" t="n">
        <v>46250</v>
      </c>
      <c r="F1202" t="inlineStr">
        <is>
          <t>GÄVLEBORGS LÄN</t>
        </is>
      </c>
      <c r="G1202" t="inlineStr">
        <is>
          <t>BOLLNÄS</t>
        </is>
      </c>
      <c r="I1202" t="n">
        <v>7.7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9298-2026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46070</v>
      </c>
      <c r="E1203" s="1" t="n">
        <v>46250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9529-2026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46071</v>
      </c>
      <c r="E1204" s="1" t="n">
        <v>46250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9533-2026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46071</v>
      </c>
      <c r="E1205" s="1" t="n">
        <v>46250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9608-2026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46071</v>
      </c>
      <c r="E1206" s="1" t="n">
        <v>46250</v>
      </c>
      <c r="F1206" t="inlineStr">
        <is>
          <t>GÄVLEBORGS LÄN</t>
        </is>
      </c>
      <c r="G1206" t="inlineStr">
        <is>
          <t>BOLLNÄS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9652-2026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46071</v>
      </c>
      <c r="E1207" s="1" t="n">
        <v>46250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Kommuner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9520-2026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46250</v>
      </c>
      <c r="F1208" t="inlineStr">
        <is>
          <t>GÄVLEBORGS LÄN</t>
        </is>
      </c>
      <c r="G1208" t="inlineStr">
        <is>
          <t>BOLLNÄS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9385-2026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46071</v>
      </c>
      <c r="E1209" s="1" t="n">
        <v>46250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9386-2026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46250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Kyrkan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9526-2026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46071</v>
      </c>
      <c r="E1211" s="1" t="n">
        <v>46250</v>
      </c>
      <c r="F1211" t="inlineStr">
        <is>
          <t>GÄVLEBORGS LÄN</t>
        </is>
      </c>
      <c r="G1211" t="inlineStr">
        <is>
          <t>BOLLNÄS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46250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46250</v>
      </c>
      <c r="F1213" t="inlineStr">
        <is>
          <t>GÄVLEBORGS LÄN</t>
        </is>
      </c>
      <c r="G1213" t="inlineStr">
        <is>
          <t>BOLLNÄS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9501-2026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46250</v>
      </c>
      <c r="F1214" t="inlineStr">
        <is>
          <t>GÄVLEBORGS LÄN</t>
        </is>
      </c>
      <c r="G1214" t="inlineStr">
        <is>
          <t>BOLLNÄS</t>
        </is>
      </c>
      <c r="I1214" t="n">
        <v>7.2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9545-2026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46071</v>
      </c>
      <c r="E1215" s="1" t="n">
        <v>46250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Sveaskog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46055</v>
      </c>
      <c r="E1216" s="1" t="n">
        <v>46250</v>
      </c>
      <c r="F1216" t="inlineStr">
        <is>
          <t>GÄVLEBORGS LÄN</t>
        </is>
      </c>
      <c r="G1216" t="inlineStr">
        <is>
          <t>BOLLNÄS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9827-2026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46250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Sveaskog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11164-2026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46080</v>
      </c>
      <c r="E1218" s="1" t="n">
        <v>46250</v>
      </c>
      <c r="F1218" t="inlineStr">
        <is>
          <t>GÄVLEBORGS LÄN</t>
        </is>
      </c>
      <c r="G1218" t="inlineStr">
        <is>
          <t>BOLLNÄS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46139</v>
      </c>
      <c r="E1219" s="1" t="n">
        <v>46250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9523-2026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46250</v>
      </c>
      <c r="F1220" t="inlineStr">
        <is>
          <t>GÄVLEBORGS LÄN</t>
        </is>
      </c>
      <c r="G1220" t="inlineStr">
        <is>
          <t>BOLLNÄS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20308-2026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46250</v>
      </c>
      <c r="F1221" t="inlineStr">
        <is>
          <t>GÄVLEBORGS LÄN</t>
        </is>
      </c>
      <c r="G1221" t="inlineStr">
        <is>
          <t>BOLLNÄS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46250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13914-2026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46250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20531-2026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46250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5.7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9616-2026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46072</v>
      </c>
      <c r="E1225" s="1" t="n">
        <v>46250</v>
      </c>
      <c r="F1225" t="inlineStr">
        <is>
          <t>GÄVLEBORGS LÄN</t>
        </is>
      </c>
      <c r="G1225" t="inlineStr">
        <is>
          <t>BOLLNÄS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46250</v>
      </c>
      <c r="F1226" t="inlineStr">
        <is>
          <t>GÄVLEBORGS LÄN</t>
        </is>
      </c>
      <c r="G1226" t="inlineStr">
        <is>
          <t>BOLLNÄS</t>
        </is>
      </c>
      <c r="I1226" t="n">
        <v>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19623-2026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46250</v>
      </c>
      <c r="F1227" t="inlineStr">
        <is>
          <t>GÄVLEBORGS LÄN</t>
        </is>
      </c>
      <c r="G1227" t="inlineStr">
        <is>
          <t>BOLLNÄS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7408-2026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46059</v>
      </c>
      <c r="E1228" s="1" t="n">
        <v>46250</v>
      </c>
      <c r="F1228" t="inlineStr">
        <is>
          <t>GÄVLEBORGS LÄN</t>
        </is>
      </c>
      <c r="G1228" t="inlineStr">
        <is>
          <t>BOLLNÄS</t>
        </is>
      </c>
      <c r="I1228" t="n">
        <v>10.8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9609-2026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46250</v>
      </c>
      <c r="F1229" t="inlineStr">
        <is>
          <t>GÄVLEBORGS LÄN</t>
        </is>
      </c>
      <c r="G1229" t="inlineStr">
        <is>
          <t>BOLLNÄS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20192-2026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46250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46052</v>
      </c>
      <c r="E1231" s="1" t="n">
        <v>46250</v>
      </c>
      <c r="F1231" t="inlineStr">
        <is>
          <t>GÄVLEBORGS LÄN</t>
        </is>
      </c>
      <c r="G1231" t="inlineStr">
        <is>
          <t>BOLLNÄS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15163-2026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46250</v>
      </c>
      <c r="F1232" t="inlineStr">
        <is>
          <t>GÄVLEBORGS LÄN</t>
        </is>
      </c>
      <c r="G1232" t="inlineStr">
        <is>
          <t>BOLLNÄS</t>
        </is>
      </c>
      <c r="I1232" t="n">
        <v>10.4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10606-2024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45366</v>
      </c>
      <c r="E1233" s="1" t="n">
        <v>46250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20767-2026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46141</v>
      </c>
      <c r="E1234" s="1" t="n">
        <v>46250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46250</v>
      </c>
      <c r="F1235" t="inlineStr">
        <is>
          <t>GÄVLEBORGS LÄN</t>
        </is>
      </c>
      <c r="G1235" t="inlineStr">
        <is>
          <t>BOLLNÄS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46250</v>
      </c>
      <c r="F1236" t="inlineStr">
        <is>
          <t>GÄVLEBORGS LÄN</t>
        </is>
      </c>
      <c r="G1236" t="inlineStr">
        <is>
          <t>BOLLNÄS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44576-2023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45183</v>
      </c>
      <c r="E1237" s="1" t="n">
        <v>46250</v>
      </c>
      <c r="F1237" t="inlineStr">
        <is>
          <t>GÄVLEBORGS LÄN</t>
        </is>
      </c>
      <c r="G1237" t="inlineStr">
        <is>
          <t>BOLLNÄS</t>
        </is>
      </c>
      <c r="I1237" t="n">
        <v>3.1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46029</v>
      </c>
      <c r="E1238" s="1" t="n">
        <v>46250</v>
      </c>
      <c r="F1238" t="inlineStr">
        <is>
          <t>GÄVLEBORGS LÄN</t>
        </is>
      </c>
      <c r="G1238" t="inlineStr">
        <is>
          <t>BOLLNÄS</t>
        </is>
      </c>
      <c r="I1238" t="n">
        <v>12.9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12239-2026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46087</v>
      </c>
      <c r="E1239" s="1" t="n">
        <v>46250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12372-2026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46250</v>
      </c>
      <c r="F1240" t="inlineStr">
        <is>
          <t>GÄVLEBORGS LÄN</t>
        </is>
      </c>
      <c r="G1240" t="inlineStr">
        <is>
          <t>BOLLNÄS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20678-2026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46250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16919-2025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45755</v>
      </c>
      <c r="E1242" s="1" t="n">
        <v>46250</v>
      </c>
      <c r="F1242" t="inlineStr">
        <is>
          <t>GÄVLEBORGS LÄN</t>
        </is>
      </c>
      <c r="G1242" t="inlineStr">
        <is>
          <t>BOLLNÄS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11545-2026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46084</v>
      </c>
      <c r="E1243" s="1" t="n">
        <v>46250</v>
      </c>
      <c r="F1243" t="inlineStr">
        <is>
          <t>GÄVLEBORGS LÄN</t>
        </is>
      </c>
      <c r="G1243" t="inlineStr">
        <is>
          <t>BOLLNÄS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54236-2023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45232</v>
      </c>
      <c r="E1244" s="1" t="n">
        <v>46250</v>
      </c>
      <c r="F1244" t="inlineStr">
        <is>
          <t>GÄVLEBORGS LÄN</t>
        </is>
      </c>
      <c r="G1244" t="inlineStr">
        <is>
          <t>BOLLNÄS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46050</v>
      </c>
      <c r="E1245" s="1" t="n">
        <v>46250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13862-2026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46098</v>
      </c>
      <c r="E1246" s="1" t="n">
        <v>46250</v>
      </c>
      <c r="F1246" t="inlineStr">
        <is>
          <t>GÄVLEBORGS LÄN</t>
        </is>
      </c>
      <c r="G1246" t="inlineStr">
        <is>
          <t>BOLLNÄS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20060-2026</t>
        </is>
      </c>
      <c r="B1247" t="inlineStr">
        <is>
          <t>avverkningsanmälan</t>
        </is>
      </c>
      <c r="C1247" t="inlineStr">
        <is>
          <t>Avverkning för att bevara och utveckla /försöksver</t>
        </is>
      </c>
      <c r="D1247" s="1" t="n">
        <v>46136</v>
      </c>
      <c r="E1247" s="1" t="n">
        <v>46250</v>
      </c>
      <c r="F1247" t="inlineStr">
        <is>
          <t>GÄVLEBORGS LÄN</t>
        </is>
      </c>
      <c r="G1247" t="inlineStr">
        <is>
          <t>BOLLNÄS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11293-2026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46080</v>
      </c>
      <c r="E1248" s="1" t="n">
        <v>46250</v>
      </c>
      <c r="F1248" t="inlineStr">
        <is>
          <t>GÄVLEBORGS LÄN</t>
        </is>
      </c>
      <c r="G1248" t="inlineStr">
        <is>
          <t>BOLLNÄS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12659-2026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46091</v>
      </c>
      <c r="E1249" s="1" t="n">
        <v>46250</v>
      </c>
      <c r="F1249" t="inlineStr">
        <is>
          <t>GÄVLEBORGS LÄN</t>
        </is>
      </c>
      <c r="G1249" t="inlineStr">
        <is>
          <t>BOLLNÄS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2276-2026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46036</v>
      </c>
      <c r="E1250" s="1" t="n">
        <v>46250</v>
      </c>
      <c r="F1250" t="inlineStr">
        <is>
          <t>GÄVLEBORGS LÄN</t>
        </is>
      </c>
      <c r="G1250" t="inlineStr">
        <is>
          <t>BOLLNÄS</t>
        </is>
      </c>
      <c r="I1250" t="n">
        <v>6.2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12643-2026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46091</v>
      </c>
      <c r="E1251" s="1" t="n">
        <v>46250</v>
      </c>
      <c r="F1251" t="inlineStr">
        <is>
          <t>GÄVLEBORGS LÄN</t>
        </is>
      </c>
      <c r="G1251" t="inlineStr">
        <is>
          <t>BOLLNÄS</t>
        </is>
      </c>
      <c r="I1251" t="n">
        <v>13.9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48007-2022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44855</v>
      </c>
      <c r="E1252" s="1" t="n">
        <v>46250</v>
      </c>
      <c r="F1252" t="inlineStr">
        <is>
          <t>GÄVLEBORGS LÄN</t>
        </is>
      </c>
      <c r="G1252" t="inlineStr">
        <is>
          <t>BOLLNÄS</t>
        </is>
      </c>
      <c r="I1252" t="n">
        <v>4.3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13150-2026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46093</v>
      </c>
      <c r="E1253" s="1" t="n">
        <v>46250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Sveaskog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27202-2024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45471</v>
      </c>
      <c r="E1254" s="1" t="n">
        <v>46250</v>
      </c>
      <c r="F1254" t="inlineStr">
        <is>
          <t>GÄVLEBORGS LÄN</t>
        </is>
      </c>
      <c r="G1254" t="inlineStr">
        <is>
          <t>BOLLNÄS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46075</v>
      </c>
      <c r="E1255" s="1" t="n">
        <v>46250</v>
      </c>
      <c r="F1255" t="inlineStr">
        <is>
          <t>GÄVLEBORGS LÄN</t>
        </is>
      </c>
      <c r="G1255" t="inlineStr">
        <is>
          <t>BOLLNÄS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46250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20878-2026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46250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10124-2026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46075</v>
      </c>
      <c r="E1258" s="1" t="n">
        <v>46250</v>
      </c>
      <c r="F1258" t="inlineStr">
        <is>
          <t>GÄVLEBORGS LÄN</t>
        </is>
      </c>
      <c r="G1258" t="inlineStr">
        <is>
          <t>BOLLNÄS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10062-2026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46073</v>
      </c>
      <c r="E1259" s="1" t="n">
        <v>46250</v>
      </c>
      <c r="F1259" t="inlineStr">
        <is>
          <t>GÄVLEBORGS LÄN</t>
        </is>
      </c>
      <c r="G1259" t="inlineStr">
        <is>
          <t>BOLLNÄS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10120-2026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46075</v>
      </c>
      <c r="E1260" s="1" t="n">
        <v>46250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10528-2026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46077</v>
      </c>
      <c r="E1261" s="1" t="n">
        <v>46250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10455-2026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46077</v>
      </c>
      <c r="E1262" s="1" t="n">
        <v>46250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12014-2026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46085</v>
      </c>
      <c r="E1263" s="1" t="n">
        <v>46250</v>
      </c>
      <c r="F1263" t="inlineStr">
        <is>
          <t>GÄVLEBORGS LÄN</t>
        </is>
      </c>
      <c r="G1263" t="inlineStr">
        <is>
          <t>BOLLNÄS</t>
        </is>
      </c>
      <c r="I1263" t="n">
        <v>4.9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10259-2026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46076</v>
      </c>
      <c r="E1264" s="1" t="n">
        <v>46250</v>
      </c>
      <c r="F1264" t="inlineStr">
        <is>
          <t>GÄVLEBORGS LÄN</t>
        </is>
      </c>
      <c r="G1264" t="inlineStr">
        <is>
          <t>BOLLNÄS</t>
        </is>
      </c>
      <c r="I1264" t="n">
        <v>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20869-2026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46142</v>
      </c>
      <c r="E1265" s="1" t="n">
        <v>46250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20872-2026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46142</v>
      </c>
      <c r="E1266" s="1" t="n">
        <v>46250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10365-2026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46076</v>
      </c>
      <c r="E1267" s="1" t="n">
        <v>46250</v>
      </c>
      <c r="F1267" t="inlineStr">
        <is>
          <t>GÄVLEBORGS LÄN</t>
        </is>
      </c>
      <c r="G1267" t="inlineStr">
        <is>
          <t>BOLLNÄS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10367-2026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46076</v>
      </c>
      <c r="E1268" s="1" t="n">
        <v>46250</v>
      </c>
      <c r="F1268" t="inlineStr">
        <is>
          <t>GÄVLEBORGS LÄN</t>
        </is>
      </c>
      <c r="G1268" t="inlineStr">
        <is>
          <t>BOLLNÄS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20766-2026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46250</v>
      </c>
      <c r="F1269" t="inlineStr">
        <is>
          <t>GÄVLEBORGS LÄN</t>
        </is>
      </c>
      <c r="G1269" t="inlineStr">
        <is>
          <t>BOLLNÄS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8844-2026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46250</v>
      </c>
      <c r="F1270" t="inlineStr">
        <is>
          <t>GÄVLEBORGS LÄN</t>
        </is>
      </c>
      <c r="G1270" t="inlineStr">
        <is>
          <t>BOLLNÄS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9965-2026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46073</v>
      </c>
      <c r="E1271" s="1" t="n">
        <v>46250</v>
      </c>
      <c r="F1271" t="inlineStr">
        <is>
          <t>GÄVLEBORGS LÄN</t>
        </is>
      </c>
      <c r="G1271" t="inlineStr">
        <is>
          <t>BOLLNÄS</t>
        </is>
      </c>
      <c r="I1271" t="n">
        <v>17.2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46250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13296-2026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46094</v>
      </c>
      <c r="E1273" s="1" t="n">
        <v>46250</v>
      </c>
      <c r="F1273" t="inlineStr">
        <is>
          <t>GÄVLEBORGS LÄN</t>
        </is>
      </c>
      <c r="G1273" t="inlineStr">
        <is>
          <t>BOLLNÄS</t>
        </is>
      </c>
      <c r="I1273" t="n">
        <v>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2292-2026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46036</v>
      </c>
      <c r="E1274" s="1" t="n">
        <v>46250</v>
      </c>
      <c r="F1274" t="inlineStr">
        <is>
          <t>GÄVLEBORGS LÄN</t>
        </is>
      </c>
      <c r="G1274" t="inlineStr">
        <is>
          <t>BOLLNÄS</t>
        </is>
      </c>
      <c r="I1274" t="n">
        <v>13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46250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46250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20038-2026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46136</v>
      </c>
      <c r="E1277" s="1" t="n">
        <v>46250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öst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45664</v>
      </c>
      <c r="E1278" s="1" t="n">
        <v>46250</v>
      </c>
      <c r="F1278" t="inlineStr">
        <is>
          <t>GÄVLEBORGS LÄN</t>
        </is>
      </c>
      <c r="G1278" t="inlineStr">
        <is>
          <t>BOLLNÄS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58929-2023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45252</v>
      </c>
      <c r="E1279" s="1" t="n">
        <v>46250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Holmen skog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19392-2026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46133</v>
      </c>
      <c r="E1280" s="1" t="n">
        <v>46250</v>
      </c>
      <c r="F1280" t="inlineStr">
        <is>
          <t>GÄVLEBORGS LÄN</t>
        </is>
      </c>
      <c r="G1280" t="inlineStr">
        <is>
          <t>BOLLNÄS</t>
        </is>
      </c>
      <c r="I1280" t="n">
        <v>3.3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46250</v>
      </c>
      <c r="F1281" t="inlineStr">
        <is>
          <t>GÄVLEBORGS LÄN</t>
        </is>
      </c>
      <c r="G1281" t="inlineStr">
        <is>
          <t>BOLLNÄS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5072-2026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46049</v>
      </c>
      <c r="E1282" s="1" t="n">
        <v>46250</v>
      </c>
      <c r="F1282" t="inlineStr">
        <is>
          <t>GÄVLEBORGS LÄN</t>
        </is>
      </c>
      <c r="G1282" t="inlineStr">
        <is>
          <t>BOLLNÄS</t>
        </is>
      </c>
      <c r="I1282" t="n">
        <v>1.9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46250</v>
      </c>
      <c r="F1283" t="inlineStr">
        <is>
          <t>GÄVLEBORGS LÄN</t>
        </is>
      </c>
      <c r="G1283" t="inlineStr">
        <is>
          <t>BOLLNÄS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46043</v>
      </c>
      <c r="E1284" s="1" t="n">
        <v>46250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17401-2025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45757</v>
      </c>
      <c r="E1285" s="1" t="n">
        <v>46250</v>
      </c>
      <c r="F1285" t="inlineStr">
        <is>
          <t>GÄVLEBORGS LÄN</t>
        </is>
      </c>
      <c r="G1285" t="inlineStr">
        <is>
          <t>BOLLNÄS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46045</v>
      </c>
      <c r="E1286" s="1" t="n">
        <v>46250</v>
      </c>
      <c r="F1286" t="inlineStr">
        <is>
          <t>GÄVLEBORGS LÄN</t>
        </is>
      </c>
      <c r="G1286" t="inlineStr">
        <is>
          <t>BOLLNÄS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22646-2022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44714</v>
      </c>
      <c r="E1287" s="1" t="n">
        <v>46250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46049</v>
      </c>
      <c r="E1288" s="1" t="n">
        <v>46250</v>
      </c>
      <c r="F1288" t="inlineStr">
        <is>
          <t>GÄVLEBORGS LÄN</t>
        </is>
      </c>
      <c r="G1288" t="inlineStr">
        <is>
          <t>BOLLNÄS</t>
        </is>
      </c>
      <c r="I1288" t="n">
        <v>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9254-2026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46250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46024</v>
      </c>
      <c r="E1290" s="1" t="n">
        <v>46250</v>
      </c>
      <c r="F1290" t="inlineStr">
        <is>
          <t>GÄVLEBORGS LÄN</t>
        </is>
      </c>
      <c r="G1290" t="inlineStr">
        <is>
          <t>BOLLNÄS</t>
        </is>
      </c>
      <c r="I1290" t="n">
        <v>3.4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10824-2026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46078</v>
      </c>
      <c r="E1291" s="1" t="n">
        <v>46250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10055-2026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46073</v>
      </c>
      <c r="E1292" s="1" t="n">
        <v>46250</v>
      </c>
      <c r="F1292" t="inlineStr">
        <is>
          <t>GÄVLEBORGS LÄN</t>
        </is>
      </c>
      <c r="G1292" t="inlineStr">
        <is>
          <t>BOLLNÄS</t>
        </is>
      </c>
      <c r="I1292" t="n">
        <v>8.699999999999999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10316-2026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46076</v>
      </c>
      <c r="E1293" s="1" t="n">
        <v>46250</v>
      </c>
      <c r="F1293" t="inlineStr">
        <is>
          <t>GÄVLEBORGS LÄN</t>
        </is>
      </c>
      <c r="G1293" t="inlineStr">
        <is>
          <t>BOLLNÄS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20679-2026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46141</v>
      </c>
      <c r="E1294" s="1" t="n">
        <v>46250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4.7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46027</v>
      </c>
      <c r="E1295" s="1" t="n">
        <v>46250</v>
      </c>
      <c r="F1295" t="inlineStr">
        <is>
          <t>GÄVLEBORGS LÄN</t>
        </is>
      </c>
      <c r="G1295" t="inlineStr">
        <is>
          <t>BOLLNÄS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5355-2026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46050</v>
      </c>
      <c r="E1296" s="1" t="n">
        <v>46250</v>
      </c>
      <c r="F1296" t="inlineStr">
        <is>
          <t>GÄVLEBORGS LÄN</t>
        </is>
      </c>
      <c r="G1296" t="inlineStr">
        <is>
          <t>BOLLNÄS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10505-2026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46077</v>
      </c>
      <c r="E1297" s="1" t="n">
        <v>46250</v>
      </c>
      <c r="F1297" t="inlineStr">
        <is>
          <t>GÄVLEBORGS LÄN</t>
        </is>
      </c>
      <c r="G1297" t="inlineStr">
        <is>
          <t>BOLLNÄS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  <c r="Z1297">
        <f>HYPERLINK("https://klasma.github.io/Logging_2183/knärot/A 10505-2026 karta knärot.png", "A 10505-2026")</f>
        <v/>
      </c>
      <c r="AA1297">
        <f>HYPERLINK("https://klasma.github.io/Logging_2183/klagomål/A 10505-2026 FSC-klagomål.docx", "A 10505-2026")</f>
        <v/>
      </c>
      <c r="AB1297">
        <f>HYPERLINK("https://klasma.github.io/Logging_2183/klagomålsmail/A 10505-2026 FSC-klagomål mail.docx", "A 10505-2026")</f>
        <v/>
      </c>
      <c r="AC1297">
        <f>HYPERLINK("https://klasma.github.io/Logging_2183/tillsyn/A 10505-2026 tillsynsbegäran.docx", "A 10505-2026")</f>
        <v/>
      </c>
      <c r="AD1297">
        <f>HYPERLINK("https://klasma.github.io/Logging_2183/tillsynsmail/A 10505-2026 tillsynsbegäran mail.docx", "A 10505-2026")</f>
        <v/>
      </c>
    </row>
    <row r="1298" ht="15" customHeight="1">
      <c r="A1298" t="inlineStr">
        <is>
          <t>A 14371-2026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46100</v>
      </c>
      <c r="E1298" s="1" t="n">
        <v>46250</v>
      </c>
      <c r="F1298" t="inlineStr">
        <is>
          <t>GÄVLEBORGS LÄN</t>
        </is>
      </c>
      <c r="G1298" t="inlineStr">
        <is>
          <t>BOLLNÄS</t>
        </is>
      </c>
      <c r="I1298" t="n">
        <v>22.8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6405-2026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46250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9.699999999999999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10683-2026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46250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10687-2026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46078</v>
      </c>
      <c r="E1301" s="1" t="n">
        <v>46250</v>
      </c>
      <c r="F1301" t="inlineStr">
        <is>
          <t>GÄVLEBORGS LÄN</t>
        </is>
      </c>
      <c r="G1301" t="inlineStr">
        <is>
          <t>BOLLNÄS</t>
        </is>
      </c>
      <c r="I1301" t="n">
        <v>2.8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10652-2026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46250</v>
      </c>
      <c r="F1302" t="inlineStr">
        <is>
          <t>GÄVLEBORGS LÄN</t>
        </is>
      </c>
      <c r="G1302" t="inlineStr">
        <is>
          <t>BOLLNÄS</t>
        </is>
      </c>
      <c r="I1302" t="n">
        <v>11.6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10890-2026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46250</v>
      </c>
      <c r="F1303" t="inlineStr">
        <is>
          <t>GÄVLEBORGS LÄN</t>
        </is>
      </c>
      <c r="G1303" t="inlineStr">
        <is>
          <t>BOLLNÄS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11128-2026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46079</v>
      </c>
      <c r="E1304" s="1" t="n">
        <v>46250</v>
      </c>
      <c r="F1304" t="inlineStr">
        <is>
          <t>GÄVLEBORGS LÄN</t>
        </is>
      </c>
      <c r="G1304" t="inlineStr">
        <is>
          <t>BOLLNÄS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11131-2026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46079</v>
      </c>
      <c r="E1305" s="1" t="n">
        <v>46250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61769-2024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45649</v>
      </c>
      <c r="E1306" s="1" t="n">
        <v>46250</v>
      </c>
      <c r="F1306" t="inlineStr">
        <is>
          <t>GÄVLEBORGS LÄN</t>
        </is>
      </c>
      <c r="G1306" t="inlineStr">
        <is>
          <t>BOLLNÄS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10828-2026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46078</v>
      </c>
      <c r="E1307" s="1" t="n">
        <v>46250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46250</v>
      </c>
      <c r="F1308" t="inlineStr">
        <is>
          <t>GÄVLEBORGS LÄN</t>
        </is>
      </c>
      <c r="G1308" t="inlineStr">
        <is>
          <t>BOLLNÄS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10923-2026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46250</v>
      </c>
      <c r="F1309" t="inlineStr">
        <is>
          <t>GÄVLEBORGS LÄN</t>
        </is>
      </c>
      <c r="G1309" t="inlineStr">
        <is>
          <t>BOLLNÄS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10811-2026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46078</v>
      </c>
      <c r="E1310" s="1" t="n">
        <v>46250</v>
      </c>
      <c r="F1310" t="inlineStr">
        <is>
          <t>GÄVLEBORGS LÄN</t>
        </is>
      </c>
      <c r="G1310" t="inlineStr">
        <is>
          <t>BOLLNÄS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11133-2026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46079</v>
      </c>
      <c r="E1311" s="1" t="n">
        <v>46250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10956-2026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46079</v>
      </c>
      <c r="E1312" s="1" t="n">
        <v>46250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9755-2026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46072</v>
      </c>
      <c r="E1313" s="1" t="n">
        <v>46250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Sveaskog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9731-2026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46072</v>
      </c>
      <c r="E1314" s="1" t="n">
        <v>46250</v>
      </c>
      <c r="F1314" t="inlineStr">
        <is>
          <t>GÄVLEBORGS LÄN</t>
        </is>
      </c>
      <c r="G1314" t="inlineStr">
        <is>
          <t>BOLLNÄS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6096-2026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46052</v>
      </c>
      <c r="E1315" s="1" t="n">
        <v>46250</v>
      </c>
      <c r="F1315" t="inlineStr">
        <is>
          <t>GÄVLEBORGS LÄN</t>
        </is>
      </c>
      <c r="G1315" t="inlineStr">
        <is>
          <t>BOLLNÄS</t>
        </is>
      </c>
      <c r="I1315" t="n">
        <v>16.8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10896-2026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46250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8185-2026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46250</v>
      </c>
      <c r="F1317" t="inlineStr">
        <is>
          <t>GÄVLEBORGS LÄN</t>
        </is>
      </c>
      <c r="G1317" t="inlineStr">
        <is>
          <t>BOLLNÄS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20954-2026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46142</v>
      </c>
      <c r="E1318" s="1" t="n">
        <v>46250</v>
      </c>
      <c r="F1318" t="inlineStr">
        <is>
          <t>GÄVLEBORGS LÄN</t>
        </is>
      </c>
      <c r="G1318" t="inlineStr">
        <is>
          <t>BOLLNÄS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13625-2026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46097</v>
      </c>
      <c r="E1319" s="1" t="n">
        <v>46250</v>
      </c>
      <c r="F1319" t="inlineStr">
        <is>
          <t>GÄVLEBORGS LÄN</t>
        </is>
      </c>
      <c r="G1319" t="inlineStr">
        <is>
          <t>BOLLNÄS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60425-2024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45643</v>
      </c>
      <c r="E1320" s="1" t="n">
        <v>46250</v>
      </c>
      <c r="F1320" t="inlineStr">
        <is>
          <t>GÄVLEBORGS LÄN</t>
        </is>
      </c>
      <c r="G1320" t="inlineStr">
        <is>
          <t>BOLLNÄS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26304-2022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44735</v>
      </c>
      <c r="E1321" s="1" t="n">
        <v>46250</v>
      </c>
      <c r="F1321" t="inlineStr">
        <is>
          <t>GÄVLEBORGS LÄN</t>
        </is>
      </c>
      <c r="G1321" t="inlineStr">
        <is>
          <t>BOLLNÄS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46250</v>
      </c>
      <c r="F1322" t="inlineStr">
        <is>
          <t>GÄVLEBORGS LÄN</t>
        </is>
      </c>
      <c r="G1322" t="inlineStr">
        <is>
          <t>BOLLNÄS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10810-2026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46250</v>
      </c>
      <c r="F1323" t="inlineStr">
        <is>
          <t>GÄVLEBORGS LÄN</t>
        </is>
      </c>
      <c r="G1323" t="inlineStr">
        <is>
          <t>BOLLNÄS</t>
        </is>
      </c>
      <c r="I1323" t="n">
        <v>4.9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11344-2026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46082</v>
      </c>
      <c r="E1324" s="1" t="n">
        <v>46250</v>
      </c>
      <c r="F1324" t="inlineStr">
        <is>
          <t>GÄVLEBORGS LÄN</t>
        </is>
      </c>
      <c r="G1324" t="inlineStr">
        <is>
          <t>BOLLNÄS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13613-2026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46097</v>
      </c>
      <c r="E1325" s="1" t="n">
        <v>46250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7.1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15391-2026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46106</v>
      </c>
      <c r="E1326" s="1" t="n">
        <v>46250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8045-2026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46063</v>
      </c>
      <c r="E1327" s="1" t="n">
        <v>46250</v>
      </c>
      <c r="F1327" t="inlineStr">
        <is>
          <t>GÄVLEBORGS LÄN</t>
        </is>
      </c>
      <c r="G1327" t="inlineStr">
        <is>
          <t>BOLLNÄS</t>
        </is>
      </c>
      <c r="I1327" t="n">
        <v>25.1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20859-2026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46142</v>
      </c>
      <c r="E1328" s="1" t="n">
        <v>46250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12624-2025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45733</v>
      </c>
      <c r="E1329" s="1" t="n">
        <v>46250</v>
      </c>
      <c r="F1329" t="inlineStr">
        <is>
          <t>GÄVLEBORGS LÄN</t>
        </is>
      </c>
      <c r="G1329" t="inlineStr">
        <is>
          <t>BOLLNÄS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9216-2026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46070</v>
      </c>
      <c r="E1330" s="1" t="n">
        <v>46250</v>
      </c>
      <c r="F1330" t="inlineStr">
        <is>
          <t>GÄVLEBORGS LÄN</t>
        </is>
      </c>
      <c r="G1330" t="inlineStr">
        <is>
          <t>BOLLNÄS</t>
        </is>
      </c>
      <c r="I1330" t="n">
        <v>6.8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15814-2026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46107</v>
      </c>
      <c r="E1331" s="1" t="n">
        <v>46250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14611-2026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46101</v>
      </c>
      <c r="E1332" s="1" t="n">
        <v>46250</v>
      </c>
      <c r="F1332" t="inlineStr">
        <is>
          <t>GÄVLEBORGS LÄN</t>
        </is>
      </c>
      <c r="G1332" t="inlineStr">
        <is>
          <t>BOLLNÄS</t>
        </is>
      </c>
      <c r="I1332" t="n">
        <v>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10748-2026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46078</v>
      </c>
      <c r="E1333" s="1" t="n">
        <v>46250</v>
      </c>
      <c r="F1333" t="inlineStr">
        <is>
          <t>GÄVLEBORGS LÄN</t>
        </is>
      </c>
      <c r="G1333" t="inlineStr">
        <is>
          <t>BOLLNÄS</t>
        </is>
      </c>
      <c r="I1333" t="n">
        <v>5.8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651-2026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46029</v>
      </c>
      <c r="E1334" s="1" t="n">
        <v>46250</v>
      </c>
      <c r="F1334" t="inlineStr">
        <is>
          <t>GÄVLEBORGS LÄN</t>
        </is>
      </c>
      <c r="G1334" t="inlineStr">
        <is>
          <t>BOLLNÄS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46043</v>
      </c>
      <c r="E1335" s="1" t="n">
        <v>46250</v>
      </c>
      <c r="F1335" t="inlineStr">
        <is>
          <t>GÄVLEBORGS LÄN</t>
        </is>
      </c>
      <c r="G1335" t="inlineStr">
        <is>
          <t>BOLLNÄS</t>
        </is>
      </c>
      <c r="I1335" t="n">
        <v>5.4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46250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46250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20724-2026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46141</v>
      </c>
      <c r="E1338" s="1" t="n">
        <v>46250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Kyrkan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10857-2026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46250</v>
      </c>
      <c r="F1339" t="inlineStr">
        <is>
          <t>GÄVLEBORGS LÄN</t>
        </is>
      </c>
      <c r="G1339" t="inlineStr">
        <is>
          <t>BOLLNÄS</t>
        </is>
      </c>
      <c r="I1339" t="n">
        <v>6.4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10736-2026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46078</v>
      </c>
      <c r="E1340" s="1" t="n">
        <v>46250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10830-2026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46078</v>
      </c>
      <c r="E1341" s="1" t="n">
        <v>46250</v>
      </c>
      <c r="F1341" t="inlineStr">
        <is>
          <t>GÄVLEBORGS LÄN</t>
        </is>
      </c>
      <c r="G1341" t="inlineStr">
        <is>
          <t>BOLLNÄS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11019-2026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46079</v>
      </c>
      <c r="E1342" s="1" t="n">
        <v>46250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46142</v>
      </c>
      <c r="E1343" s="1" t="n">
        <v>46250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11546-2026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46084</v>
      </c>
      <c r="E1344" s="1" t="n">
        <v>46250</v>
      </c>
      <c r="F1344" t="inlineStr">
        <is>
          <t>GÄVLEBORGS LÄN</t>
        </is>
      </c>
      <c r="G1344" t="inlineStr">
        <is>
          <t>BOLLNÄS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10724-2026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46250</v>
      </c>
      <c r="F1345" t="inlineStr">
        <is>
          <t>GÄVLEBORGS LÄN</t>
        </is>
      </c>
      <c r="G1345" t="inlineStr">
        <is>
          <t>BOLLNÄS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20963-2026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46142</v>
      </c>
      <c r="E1346" s="1" t="n">
        <v>46250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10834-2026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46250</v>
      </c>
      <c r="F1347" t="inlineStr">
        <is>
          <t>GÄVLEBORGS LÄN</t>
        </is>
      </c>
      <c r="G1347" t="inlineStr">
        <is>
          <t>BOLLNÄS</t>
        </is>
      </c>
      <c r="I1347" t="n">
        <v>4.7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10880-2026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46250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11309-2026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46080</v>
      </c>
      <c r="E1349" s="1" t="n">
        <v>46250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4960-2026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46049</v>
      </c>
      <c r="E1350" s="1" t="n">
        <v>46250</v>
      </c>
      <c r="F1350" t="inlineStr">
        <is>
          <t>GÄVLEBORGS LÄN</t>
        </is>
      </c>
      <c r="G1350" t="inlineStr">
        <is>
          <t>BOLLNÄS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20726-2026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46250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0.4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20827-2026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46250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20828-2026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46250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45598-2024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45579</v>
      </c>
      <c r="E1354" s="1" t="n">
        <v>46250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Kommuner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20620-2026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46141</v>
      </c>
      <c r="E1355" s="1" t="n">
        <v>46250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12142-2026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46086</v>
      </c>
      <c r="E1356" s="1" t="n">
        <v>46250</v>
      </c>
      <c r="F1356" t="inlineStr">
        <is>
          <t>GÄVLEBORGS LÄN</t>
        </is>
      </c>
      <c r="G1356" t="inlineStr">
        <is>
          <t>BOLLNÄS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48307-2023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45205</v>
      </c>
      <c r="E1357" s="1" t="n">
        <v>46250</v>
      </c>
      <c r="F1357" t="inlineStr">
        <is>
          <t>GÄVLEBORGS LÄN</t>
        </is>
      </c>
      <c r="G1357" t="inlineStr">
        <is>
          <t>BOLLNÄS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2807-2026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46038</v>
      </c>
      <c r="E1358" s="1" t="n">
        <v>46250</v>
      </c>
      <c r="F1358" t="inlineStr">
        <is>
          <t>GÄVLEBORGS LÄN</t>
        </is>
      </c>
      <c r="G1358" t="inlineStr">
        <is>
          <t>BOLLNÄS</t>
        </is>
      </c>
      <c r="I1358" t="n">
        <v>5.4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14772-2026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46101</v>
      </c>
      <c r="E1359" s="1" t="n">
        <v>46250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Kommuner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6325-2026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46250</v>
      </c>
      <c r="F1360" t="inlineStr">
        <is>
          <t>GÄVLEBORGS LÄN</t>
        </is>
      </c>
      <c r="G1360" t="inlineStr">
        <is>
          <t>BOLLNÄS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21040-2026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46146</v>
      </c>
      <c r="E1361" s="1" t="n">
        <v>46250</v>
      </c>
      <c r="F1361" t="inlineStr">
        <is>
          <t>GÄVLEBORGS LÄN</t>
        </is>
      </c>
      <c r="G1361" t="inlineStr">
        <is>
          <t>BOLLNÄS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13327-2026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46094</v>
      </c>
      <c r="E1362" s="1" t="n">
        <v>46250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46141</v>
      </c>
      <c r="E1363" s="1" t="n">
        <v>46250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14261-2025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45740</v>
      </c>
      <c r="E1364" s="1" t="n">
        <v>46250</v>
      </c>
      <c r="F1364" t="inlineStr">
        <is>
          <t>GÄVLEBORGS LÄN</t>
        </is>
      </c>
      <c r="G1364" t="inlineStr">
        <is>
          <t>BOLLNÄS</t>
        </is>
      </c>
      <c r="I1364" t="n">
        <v>0.1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46250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2587-2026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46037</v>
      </c>
      <c r="E1366" s="1" t="n">
        <v>46250</v>
      </c>
      <c r="F1366" t="inlineStr">
        <is>
          <t>GÄVLEBORGS LÄN</t>
        </is>
      </c>
      <c r="G1366" t="inlineStr">
        <is>
          <t>BOLLNÄS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47701-2023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45203</v>
      </c>
      <c r="E1367" s="1" t="n">
        <v>46250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2993-2026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46250</v>
      </c>
      <c r="F1368" t="inlineStr">
        <is>
          <t>GÄVLEBORGS LÄN</t>
        </is>
      </c>
      <c r="G1368" t="inlineStr">
        <is>
          <t>BOLLNÄS</t>
        </is>
      </c>
      <c r="I1368" t="n">
        <v>5.2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51666-2022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44872</v>
      </c>
      <c r="E1369" s="1" t="n">
        <v>46250</v>
      </c>
      <c r="F1369" t="inlineStr">
        <is>
          <t>GÄVLEBORGS LÄN</t>
        </is>
      </c>
      <c r="G1369" t="inlineStr">
        <is>
          <t>BOLLNÄS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46250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58329-2024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45632</v>
      </c>
      <c r="E1371" s="1" t="n">
        <v>46250</v>
      </c>
      <c r="F1371" t="inlineStr">
        <is>
          <t>GÄVLEBORGS LÄN</t>
        </is>
      </c>
      <c r="G1371" t="inlineStr">
        <is>
          <t>BOLLNÄS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12607-2026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46091</v>
      </c>
      <c r="E1372" s="1" t="n">
        <v>46250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20032-2026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46136</v>
      </c>
      <c r="E1373" s="1" t="n">
        <v>46250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öst AB</t>
        </is>
      </c>
      <c r="I1373" t="n">
        <v>20.5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29716-2023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45107</v>
      </c>
      <c r="E1374" s="1" t="n">
        <v>46250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Sveaskog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20762-2026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46141</v>
      </c>
      <c r="E1375" s="1" t="n">
        <v>46250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46250</v>
      </c>
      <c r="F1376" t="inlineStr">
        <is>
          <t>GÄVLEBORGS LÄN</t>
        </is>
      </c>
      <c r="G1376" t="inlineStr">
        <is>
          <t>BOLLNÄS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21036-2026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46250</v>
      </c>
      <c r="F1377" t="inlineStr">
        <is>
          <t>GÄVLEBORGS LÄN</t>
        </is>
      </c>
      <c r="G1377" t="inlineStr">
        <is>
          <t>BOLLNÄS</t>
        </is>
      </c>
      <c r="I1377" t="n">
        <v>4.1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21038-2026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46146</v>
      </c>
      <c r="E1378" s="1" t="n">
        <v>46250</v>
      </c>
      <c r="F1378" t="inlineStr">
        <is>
          <t>GÄVLEBORGS LÄN</t>
        </is>
      </c>
      <c r="G1378" t="inlineStr">
        <is>
          <t>BOLLNÄS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21399-2026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46148</v>
      </c>
      <c r="E1379" s="1" t="n">
        <v>46250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63865-2023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45278</v>
      </c>
      <c r="E1380" s="1" t="n">
        <v>46250</v>
      </c>
      <c r="F1380" t="inlineStr">
        <is>
          <t>GÄVLEBORGS LÄN</t>
        </is>
      </c>
      <c r="G1380" t="inlineStr">
        <is>
          <t>BOLLNÄS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21474-2026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46250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63868-2023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45278</v>
      </c>
      <c r="E1382" s="1" t="n">
        <v>46250</v>
      </c>
      <c r="F1382" t="inlineStr">
        <is>
          <t>GÄVLEBORGS LÄN</t>
        </is>
      </c>
      <c r="G1382" t="inlineStr">
        <is>
          <t>BOLLNÄS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23378-2022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44720</v>
      </c>
      <c r="E1383" s="1" t="n">
        <v>46250</v>
      </c>
      <c r="F1383" t="inlineStr">
        <is>
          <t>GÄVLEBORGS LÄN</t>
        </is>
      </c>
      <c r="G1383" t="inlineStr">
        <is>
          <t>BOLLNÄS</t>
        </is>
      </c>
      <c r="I1383" t="n">
        <v>5.2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21521-2026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46250</v>
      </c>
      <c r="F1384" t="inlineStr">
        <is>
          <t>GÄVLEBORGS LÄN</t>
        </is>
      </c>
      <c r="G1384" t="inlineStr">
        <is>
          <t>BOLLNÄS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21555-2026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46250</v>
      </c>
      <c r="F1385" t="inlineStr">
        <is>
          <t>GÄVLEBORGS LÄN</t>
        </is>
      </c>
      <c r="G1385" t="inlineStr">
        <is>
          <t>BOLLNÄS</t>
        </is>
      </c>
      <c r="I1385" t="n">
        <v>8.9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2390-2026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46034</v>
      </c>
      <c r="E1386" s="1" t="n">
        <v>46250</v>
      </c>
      <c r="F1386" t="inlineStr">
        <is>
          <t>GÄVLEBORGS LÄN</t>
        </is>
      </c>
      <c r="G1386" t="inlineStr">
        <is>
          <t>BOLLNÄS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46148</v>
      </c>
      <c r="E1387" s="1" t="n">
        <v>46250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46250</v>
      </c>
      <c r="F1388" t="inlineStr">
        <is>
          <t>GÄVLEBORGS LÄN</t>
        </is>
      </c>
      <c r="G1388" t="inlineStr">
        <is>
          <t>BOLLNÄS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21510-2026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46148</v>
      </c>
      <c r="E1389" s="1" t="n">
        <v>46250</v>
      </c>
      <c r="F1389" t="inlineStr">
        <is>
          <t>GÄVLEBORGS LÄN</t>
        </is>
      </c>
      <c r="G1389" t="inlineStr">
        <is>
          <t>BOLLNÄS</t>
        </is>
      </c>
      <c r="I1389" t="n">
        <v>4.3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37780-2024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45542</v>
      </c>
      <c r="E1390" s="1" t="n">
        <v>46250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10805-2026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46078</v>
      </c>
      <c r="E1391" s="1" t="n">
        <v>46250</v>
      </c>
      <c r="F1391" t="inlineStr">
        <is>
          <t>GÄVLEBORGS LÄN</t>
        </is>
      </c>
      <c r="G1391" t="inlineStr">
        <is>
          <t>BOLLNÄS</t>
        </is>
      </c>
      <c r="I1391" t="n">
        <v>9.6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21241-2026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46147</v>
      </c>
      <c r="E1392" s="1" t="n">
        <v>46250</v>
      </c>
      <c r="F1392" t="inlineStr">
        <is>
          <t>GÄVLEBORGS LÄN</t>
        </is>
      </c>
      <c r="G1392" t="inlineStr">
        <is>
          <t>BOLLNÄS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21485-2026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46148</v>
      </c>
      <c r="E1393" s="1" t="n">
        <v>46250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21517-2026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46250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21242-2026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46250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46250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46250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21300-2026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46147</v>
      </c>
      <c r="E1398" s="1" t="n">
        <v>46250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21309-2026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46147</v>
      </c>
      <c r="E1399" s="1" t="n">
        <v>46250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21313-2026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46250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21600-2026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46149</v>
      </c>
      <c r="E1401" s="1" t="n">
        <v>46250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21614-2026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46250</v>
      </c>
      <c r="F1402" t="inlineStr">
        <is>
          <t>GÄVLEBORGS LÄN</t>
        </is>
      </c>
      <c r="G1402" t="inlineStr">
        <is>
          <t>BOLLNÄS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14262-2026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46099</v>
      </c>
      <c r="E1403" s="1" t="n">
        <v>46250</v>
      </c>
      <c r="F1403" t="inlineStr">
        <is>
          <t>GÄVLEBORGS LÄN</t>
        </is>
      </c>
      <c r="G1403" t="inlineStr">
        <is>
          <t>BOLLNÄS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21681-2026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46250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21791-2026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46250</v>
      </c>
      <c r="F1405" t="inlineStr">
        <is>
          <t>GÄVLEBORGS LÄN</t>
        </is>
      </c>
      <c r="G1405" t="inlineStr">
        <is>
          <t>BOLLNÄS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46149</v>
      </c>
      <c r="E1406" s="1" t="n">
        <v>46250</v>
      </c>
      <c r="F1406" t="inlineStr">
        <is>
          <t>GÄVLEBORGS LÄN</t>
        </is>
      </c>
      <c r="G1406" t="inlineStr">
        <is>
          <t>BOLLNÄS</t>
        </is>
      </c>
      <c r="I1406" t="n">
        <v>6.9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21698-2026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46149</v>
      </c>
      <c r="E1407" s="1" t="n">
        <v>46250</v>
      </c>
      <c r="F1407" t="inlineStr">
        <is>
          <t>GÄVLEBORGS LÄN</t>
        </is>
      </c>
      <c r="G1407" t="inlineStr">
        <is>
          <t>BOLLNÄS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21767-2026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46150</v>
      </c>
      <c r="E1408" s="1" t="n">
        <v>46250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46250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51156-2023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45212</v>
      </c>
      <c r="E1410" s="1" t="n">
        <v>46250</v>
      </c>
      <c r="F1410" t="inlineStr">
        <is>
          <t>GÄVLEBORGS LÄN</t>
        </is>
      </c>
      <c r="G1410" t="inlineStr">
        <is>
          <t>BOLLNÄS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10486-2024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45366</v>
      </c>
      <c r="E1411" s="1" t="n">
        <v>46250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21695-2026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46149</v>
      </c>
      <c r="E1412" s="1" t="n">
        <v>46250</v>
      </c>
      <c r="F1412" t="inlineStr">
        <is>
          <t>GÄVLEBORGS LÄN</t>
        </is>
      </c>
      <c r="G1412" t="inlineStr">
        <is>
          <t>BOLLNÄS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21741-2026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46250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21764-2026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46250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21769-2026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46150</v>
      </c>
      <c r="E1415" s="1" t="n">
        <v>46250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46250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23118-2024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45450</v>
      </c>
      <c r="E1417" s="1" t="n">
        <v>46250</v>
      </c>
      <c r="F1417" t="inlineStr">
        <is>
          <t>GÄVLEBORGS LÄN</t>
        </is>
      </c>
      <c r="G1417" t="inlineStr">
        <is>
          <t>BOLLNÄS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21666-2026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46250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21637-2026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46250</v>
      </c>
      <c r="F1419" t="inlineStr">
        <is>
          <t>GÄVLEBORGS LÄN</t>
        </is>
      </c>
      <c r="G1419" t="inlineStr">
        <is>
          <t>BOLLNÄS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21693-2026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46250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21920-2026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46150</v>
      </c>
      <c r="E1421" s="1" t="n">
        <v>46250</v>
      </c>
      <c r="F1421" t="inlineStr">
        <is>
          <t>GÄVLEBORGS LÄN</t>
        </is>
      </c>
      <c r="G1421" t="inlineStr">
        <is>
          <t>BOLLNÄS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46250</v>
      </c>
      <c r="F1422" t="inlineStr">
        <is>
          <t>GÄVLEBORGS LÄN</t>
        </is>
      </c>
      <c r="G1422" t="inlineStr">
        <is>
          <t>BOLLNÄS</t>
        </is>
      </c>
      <c r="I1422" t="n">
        <v>8.300000000000001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21677-2026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46250</v>
      </c>
      <c r="F1423" t="inlineStr">
        <is>
          <t>GÄVLEBORGS LÄN</t>
        </is>
      </c>
      <c r="G1423" t="inlineStr">
        <is>
          <t>BOLLNÄS</t>
        </is>
      </c>
      <c r="I1423" t="n">
        <v>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21691-2026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46149</v>
      </c>
      <c r="E1424" s="1" t="n">
        <v>46250</v>
      </c>
      <c r="F1424" t="inlineStr">
        <is>
          <t>GÄVLEBORGS LÄN</t>
        </is>
      </c>
      <c r="G1424" t="inlineStr">
        <is>
          <t>BOLLNÄS</t>
        </is>
      </c>
      <c r="I1424" t="n">
        <v>10.2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21715-2026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46149</v>
      </c>
      <c r="E1425" s="1" t="n">
        <v>46250</v>
      </c>
      <c r="F1425" t="inlineStr">
        <is>
          <t>GÄVLEBORGS LÄN</t>
        </is>
      </c>
      <c r="G1425" t="inlineStr">
        <is>
          <t>BOLLNÄS</t>
        </is>
      </c>
      <c r="I1425" t="n">
        <v>5.3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46250</v>
      </c>
      <c r="F1426" t="inlineStr">
        <is>
          <t>GÄVLEBORGS LÄN</t>
        </is>
      </c>
      <c r="G1426" t="inlineStr">
        <is>
          <t>BOLLNÄS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21680-2026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46250</v>
      </c>
      <c r="F1427" t="inlineStr">
        <is>
          <t>GÄVLEBORGS LÄN</t>
        </is>
      </c>
      <c r="G1427" t="inlineStr">
        <is>
          <t>BOLLNÄS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7100-2026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46058</v>
      </c>
      <c r="E1428" s="1" t="n">
        <v>46250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22058-2026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46250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34613-2024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45526</v>
      </c>
      <c r="E1430" s="1" t="n">
        <v>46250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Sveaskog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11561-2026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46084</v>
      </c>
      <c r="E1431" s="1" t="n">
        <v>46250</v>
      </c>
      <c r="F1431" t="inlineStr">
        <is>
          <t>GÄVLEBORGS LÄN</t>
        </is>
      </c>
      <c r="G1431" t="inlineStr">
        <is>
          <t>BOLLNÄS</t>
        </is>
      </c>
      <c r="I1431" t="n">
        <v>8.199999999999999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16453-2026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46112</v>
      </c>
      <c r="E1432" s="1" t="n">
        <v>46250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4.9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4955-2026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46049</v>
      </c>
      <c r="E1433" s="1" t="n">
        <v>46250</v>
      </c>
      <c r="F1433" t="inlineStr">
        <is>
          <t>GÄVLEBORGS LÄN</t>
        </is>
      </c>
      <c r="G1433" t="inlineStr">
        <is>
          <t>BOLLNÄS</t>
        </is>
      </c>
      <c r="I1433" t="n">
        <v>7.1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12763-2026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46091</v>
      </c>
      <c r="E1434" s="1" t="n">
        <v>46250</v>
      </c>
      <c r="F1434" t="inlineStr">
        <is>
          <t>GÄVLEBORGS LÄN</t>
        </is>
      </c>
      <c r="G1434" t="inlineStr">
        <is>
          <t>BOLLNÄS</t>
        </is>
      </c>
      <c r="I1434" t="n">
        <v>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46056</v>
      </c>
      <c r="E1435" s="1" t="n">
        <v>46250</v>
      </c>
      <c r="F1435" t="inlineStr">
        <is>
          <t>GÄVLEBORGS LÄN</t>
        </is>
      </c>
      <c r="G1435" t="inlineStr">
        <is>
          <t>BOLLNÄS</t>
        </is>
      </c>
      <c r="I1435" t="n">
        <v>7.3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20451-2026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46140</v>
      </c>
      <c r="E1436" s="1" t="n">
        <v>46250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16966-2026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46250</v>
      </c>
      <c r="F1437" t="inlineStr">
        <is>
          <t>GÄVLEBORGS LÄN</t>
        </is>
      </c>
      <c r="G1437" t="inlineStr">
        <is>
          <t>BOLLNÄS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16971-2026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46250</v>
      </c>
      <c r="F1438" t="inlineStr">
        <is>
          <t>GÄVLEBORGS LÄN</t>
        </is>
      </c>
      <c r="G1438" t="inlineStr">
        <is>
          <t>BOLLNÄS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8203-2026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46064</v>
      </c>
      <c r="E1439" s="1" t="n">
        <v>46250</v>
      </c>
      <c r="F1439" t="inlineStr">
        <is>
          <t>GÄVLEBORGS LÄN</t>
        </is>
      </c>
      <c r="G1439" t="inlineStr">
        <is>
          <t>BOLLNÄS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16964-2026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46250</v>
      </c>
      <c r="F1440" t="inlineStr">
        <is>
          <t>GÄVLEBORGS LÄN</t>
        </is>
      </c>
      <c r="G1440" t="inlineStr">
        <is>
          <t>BOLLNÄS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46114</v>
      </c>
      <c r="E1441" s="1" t="n">
        <v>46250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8156-2026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46250</v>
      </c>
      <c r="F1442" t="inlineStr">
        <is>
          <t>GÄVLEBORGS LÄN</t>
        </is>
      </c>
      <c r="G1442" t="inlineStr">
        <is>
          <t>BOLLNÄS</t>
        </is>
      </c>
      <c r="I1442" t="n">
        <v>6.8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43152-2023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45183</v>
      </c>
      <c r="E1443" s="1" t="n">
        <v>46250</v>
      </c>
      <c r="F1443" t="inlineStr">
        <is>
          <t>GÄVLEBORGS LÄN</t>
        </is>
      </c>
      <c r="G1443" t="inlineStr">
        <is>
          <t>BOLLNÄS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57260-2023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45239</v>
      </c>
      <c r="E1444" s="1" t="n">
        <v>46250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Kommuner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46151-2024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45581</v>
      </c>
      <c r="E1445" s="1" t="n">
        <v>46250</v>
      </c>
      <c r="F1445" t="inlineStr">
        <is>
          <t>GÄVLEBORGS LÄN</t>
        </is>
      </c>
      <c r="G1445" t="inlineStr">
        <is>
          <t>BOLLNÄS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46250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22179-2026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46153</v>
      </c>
      <c r="E1447" s="1" t="n">
        <v>46250</v>
      </c>
      <c r="F1447" t="inlineStr">
        <is>
          <t>GÄVLEBORGS LÄN</t>
        </is>
      </c>
      <c r="G1447" t="inlineStr">
        <is>
          <t>BOLLNÄS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1542-2026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46034</v>
      </c>
      <c r="E1448" s="1" t="n">
        <v>46250</v>
      </c>
      <c r="F1448" t="inlineStr">
        <is>
          <t>GÄVLEBORGS LÄN</t>
        </is>
      </c>
      <c r="G1448" t="inlineStr">
        <is>
          <t>BOLLNÄS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46250</v>
      </c>
      <c r="F1449" t="inlineStr">
        <is>
          <t>GÄVLEBORGS LÄN</t>
        </is>
      </c>
      <c r="G1449" t="inlineStr">
        <is>
          <t>BOLLNÄS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9612-2026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46072</v>
      </c>
      <c r="E1450" s="1" t="n">
        <v>46250</v>
      </c>
      <c r="F1450" t="inlineStr">
        <is>
          <t>GÄVLEBORGS LÄN</t>
        </is>
      </c>
      <c r="G1450" t="inlineStr">
        <is>
          <t>BOLLNÄS</t>
        </is>
      </c>
      <c r="I1450" t="n">
        <v>7.9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15812-2026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46107</v>
      </c>
      <c r="E1451" s="1" t="n">
        <v>46250</v>
      </c>
      <c r="F1451" t="inlineStr">
        <is>
          <t>GÄVLEBORGS LÄN</t>
        </is>
      </c>
      <c r="G1451" t="inlineStr">
        <is>
          <t>BOLLNÄS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22195-2026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46153</v>
      </c>
      <c r="E1452" s="1" t="n">
        <v>46250</v>
      </c>
      <c r="F1452" t="inlineStr">
        <is>
          <t>GÄVLEBORGS LÄN</t>
        </is>
      </c>
      <c r="G1452" t="inlineStr">
        <is>
          <t>BOLLNÄS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22206-2026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46250</v>
      </c>
      <c r="F1453" t="inlineStr">
        <is>
          <t>GÄVLEBORGS LÄN</t>
        </is>
      </c>
      <c r="G1453" t="inlineStr">
        <is>
          <t>BOLLNÄS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9336-2026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46070</v>
      </c>
      <c r="E1454" s="1" t="n">
        <v>46250</v>
      </c>
      <c r="F1454" t="inlineStr">
        <is>
          <t>GÄVLEBORGS LÄN</t>
        </is>
      </c>
      <c r="G1454" t="inlineStr">
        <is>
          <t>BOLLNÄS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22187-2026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46250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69620-2021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44532</v>
      </c>
      <c r="E1456" s="1" t="n">
        <v>46250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22305-2026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46250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22316-2026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46250</v>
      </c>
      <c r="F1458" t="inlineStr">
        <is>
          <t>GÄVLEBORGS LÄN</t>
        </is>
      </c>
      <c r="G1458" t="inlineStr">
        <is>
          <t>BOLLNÄS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13596-2026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46250</v>
      </c>
      <c r="F1459" t="inlineStr">
        <is>
          <t>GÄVLEBORGS LÄN</t>
        </is>
      </c>
      <c r="G1459" t="inlineStr">
        <is>
          <t>BOLLNÄS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22394-2026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46250</v>
      </c>
      <c r="F1460" t="inlineStr">
        <is>
          <t>GÄVLEBORGS LÄN</t>
        </is>
      </c>
      <c r="G1460" t="inlineStr">
        <is>
          <t>BOLLNÄS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22254-2026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46250</v>
      </c>
      <c r="F1461" t="inlineStr">
        <is>
          <t>GÄVLEBORGS LÄN</t>
        </is>
      </c>
      <c r="G1461" t="inlineStr">
        <is>
          <t>BOLLNÄS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13680-2026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46097</v>
      </c>
      <c r="E1462" s="1" t="n">
        <v>46250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6.1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22300-2026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46154</v>
      </c>
      <c r="E1463" s="1" t="n">
        <v>46250</v>
      </c>
      <c r="F1463" t="inlineStr">
        <is>
          <t>GÄVLEBORGS LÄN</t>
        </is>
      </c>
      <c r="G1463" t="inlineStr">
        <is>
          <t>BOLLNÄS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46250</v>
      </c>
      <c r="F1464" t="inlineStr">
        <is>
          <t>GÄVLEBORGS LÄN</t>
        </is>
      </c>
      <c r="G1464" t="inlineStr">
        <is>
          <t>BOLLNÄS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46250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9.199999999999999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8036-2026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46063</v>
      </c>
      <c r="E1466" s="1" t="n">
        <v>46250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8840-2026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46066</v>
      </c>
      <c r="E1467" s="1" t="n">
        <v>46250</v>
      </c>
      <c r="F1467" t="inlineStr">
        <is>
          <t>GÄVLEBORGS LÄN</t>
        </is>
      </c>
      <c r="G1467" t="inlineStr">
        <is>
          <t>BOLLNÄS</t>
        </is>
      </c>
      <c r="I1467" t="n">
        <v>16.7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57387-2024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45629</v>
      </c>
      <c r="E1468" s="1" t="n">
        <v>46250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46250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46250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9420-2026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46071</v>
      </c>
      <c r="E1471" s="1" t="n">
        <v>46250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12487-2026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46090</v>
      </c>
      <c r="E1472" s="1" t="n">
        <v>46250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Holmen skog AB</t>
        </is>
      </c>
      <c r="I1472" t="n">
        <v>8.199999999999999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23375-2024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45453</v>
      </c>
      <c r="E1473" s="1" t="n">
        <v>46250</v>
      </c>
      <c r="F1473" t="inlineStr">
        <is>
          <t>GÄVLEBORGS LÄN</t>
        </is>
      </c>
      <c r="G1473" t="inlineStr">
        <is>
          <t>BOLLNÄS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12869-2026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46092</v>
      </c>
      <c r="E1474" s="1" t="n">
        <v>46250</v>
      </c>
      <c r="F1474" t="inlineStr">
        <is>
          <t>GÄVLEBORGS LÄN</t>
        </is>
      </c>
      <c r="G1474" t="inlineStr">
        <is>
          <t>BOLLNÄS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12992-2026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46092</v>
      </c>
      <c r="E1475" s="1" t="n">
        <v>46250</v>
      </c>
      <c r="F1475" t="inlineStr">
        <is>
          <t>GÄVLEBORGS LÄN</t>
        </is>
      </c>
      <c r="G1475" t="inlineStr">
        <is>
          <t>BOLLNÄS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22065-2026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46153</v>
      </c>
      <c r="E1476" s="1" t="n">
        <v>46250</v>
      </c>
      <c r="F1476" t="inlineStr">
        <is>
          <t>GÄVLEBORGS LÄN</t>
        </is>
      </c>
      <c r="G1476" t="inlineStr">
        <is>
          <t>BOLLNÄS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2403-2026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46036</v>
      </c>
      <c r="E1477" s="1" t="n">
        <v>46250</v>
      </c>
      <c r="F1477" t="inlineStr">
        <is>
          <t>GÄVLEBORGS LÄN</t>
        </is>
      </c>
      <c r="G1477" t="inlineStr">
        <is>
          <t>BOLLNÄS</t>
        </is>
      </c>
      <c r="I1477" t="n">
        <v>8.6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53815-2022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44880</v>
      </c>
      <c r="E1478" s="1" t="n">
        <v>46250</v>
      </c>
      <c r="F1478" t="inlineStr">
        <is>
          <t>GÄVLEBORGS LÄN</t>
        </is>
      </c>
      <c r="G1478" t="inlineStr">
        <is>
          <t>BOLLNÄS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29769-2023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45107</v>
      </c>
      <c r="E1479" s="1" t="n">
        <v>46250</v>
      </c>
      <c r="F1479" t="inlineStr">
        <is>
          <t>GÄVLEBORGS LÄN</t>
        </is>
      </c>
      <c r="G1479" t="inlineStr">
        <is>
          <t>BOLLNÄS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13540-2026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46250</v>
      </c>
      <c r="F1480" t="inlineStr">
        <is>
          <t>GÄVLEBORGS LÄN</t>
        </is>
      </c>
      <c r="G1480" t="inlineStr">
        <is>
          <t>BOLLNÄS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21503-2026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46148</v>
      </c>
      <c r="E1481" s="1" t="n">
        <v>46250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22303-2026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46250</v>
      </c>
      <c r="F1482" t="inlineStr">
        <is>
          <t>GÄVLEBORGS LÄN</t>
        </is>
      </c>
      <c r="G1482" t="inlineStr">
        <is>
          <t>BOLLNÄS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22311-2026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46250</v>
      </c>
      <c r="F1483" t="inlineStr">
        <is>
          <t>GÄVLEBORGS LÄN</t>
        </is>
      </c>
      <c r="G1483" t="inlineStr">
        <is>
          <t>BOLLNÄS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46250</v>
      </c>
      <c r="F1484" t="inlineStr">
        <is>
          <t>GÄVLEBORGS LÄN</t>
        </is>
      </c>
      <c r="G1484" t="inlineStr">
        <is>
          <t>BOLLNÄS</t>
        </is>
      </c>
      <c r="I1484" t="n">
        <v>6.3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22877-2024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45448</v>
      </c>
      <c r="E1485" s="1" t="n">
        <v>46250</v>
      </c>
      <c r="F1485" t="inlineStr">
        <is>
          <t>GÄVLEBORGS LÄN</t>
        </is>
      </c>
      <c r="G1485" t="inlineStr">
        <is>
          <t>BOLLNÄS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22609-2026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46250</v>
      </c>
      <c r="F1486" t="inlineStr">
        <is>
          <t>GÄVLEBORGS LÄN</t>
        </is>
      </c>
      <c r="G1486" t="inlineStr">
        <is>
          <t>BOLLNÄS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46250</v>
      </c>
      <c r="F1487" t="inlineStr">
        <is>
          <t>GÄVLEBORGS LÄN</t>
        </is>
      </c>
      <c r="G1487" t="inlineStr">
        <is>
          <t>BOLLNÄS</t>
        </is>
      </c>
      <c r="I1487" t="n">
        <v>10.8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22502-2026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46250</v>
      </c>
      <c r="F1488" t="inlineStr">
        <is>
          <t>GÄVLEBORGS LÄN</t>
        </is>
      </c>
      <c r="G1488" t="inlineStr">
        <is>
          <t>BOLLNÄS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22494-2026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46250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22496-2026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46250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56208-2023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45240</v>
      </c>
      <c r="E1491" s="1" t="n">
        <v>46250</v>
      </c>
      <c r="F1491" t="inlineStr">
        <is>
          <t>GÄVLEBORGS LÄN</t>
        </is>
      </c>
      <c r="G1491" t="inlineStr">
        <is>
          <t>BOLLNÄS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12166-2024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45377</v>
      </c>
      <c r="E1492" s="1" t="n">
        <v>46250</v>
      </c>
      <c r="F1492" t="inlineStr">
        <is>
          <t>GÄVLEBORGS LÄN</t>
        </is>
      </c>
      <c r="G1492" t="inlineStr">
        <is>
          <t>BOLLNÄS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22599-2026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46250</v>
      </c>
      <c r="F1493" t="inlineStr">
        <is>
          <t>GÄVLEBORGS LÄN</t>
        </is>
      </c>
      <c r="G1493" t="inlineStr">
        <is>
          <t>BOLLNÄS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22601-2026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46250</v>
      </c>
      <c r="F1494" t="inlineStr">
        <is>
          <t>GÄVLEBORGS LÄN</t>
        </is>
      </c>
      <c r="G1494" t="inlineStr">
        <is>
          <t>BOLLNÄS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46250</v>
      </c>
      <c r="F1495" t="inlineStr">
        <is>
          <t>GÄVLEBORGS LÄN</t>
        </is>
      </c>
      <c r="G1495" t="inlineStr">
        <is>
          <t>BOLLNÄS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22503-2026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46250</v>
      </c>
      <c r="F1496" t="inlineStr">
        <is>
          <t>GÄVLEBORGS LÄN</t>
        </is>
      </c>
      <c r="G1496" t="inlineStr">
        <is>
          <t>BOLLNÄS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22540-2026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46250</v>
      </c>
      <c r="F1497" t="inlineStr">
        <is>
          <t>GÄVLEBORGS LÄN</t>
        </is>
      </c>
      <c r="G1497" t="inlineStr">
        <is>
          <t>BOLLNÄS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46250</v>
      </c>
      <c r="F1498" t="inlineStr">
        <is>
          <t>GÄVLEBORGS LÄN</t>
        </is>
      </c>
      <c r="G1498" t="inlineStr">
        <is>
          <t>BOLLNÄS</t>
        </is>
      </c>
      <c r="I1498" t="n">
        <v>10.6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46250</v>
      </c>
      <c r="F1499" t="inlineStr">
        <is>
          <t>GÄVLEBORGS LÄN</t>
        </is>
      </c>
      <c r="G1499" t="inlineStr">
        <is>
          <t>BOLLNÄS</t>
        </is>
      </c>
      <c r="I1499" t="n">
        <v>6.1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22513-2026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46250</v>
      </c>
      <c r="F1500" t="inlineStr">
        <is>
          <t>GÄVLEBORGS LÄN</t>
        </is>
      </c>
      <c r="G1500" t="inlineStr">
        <is>
          <t>BOLLNÄS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46250</v>
      </c>
      <c r="F1501" t="inlineStr">
        <is>
          <t>GÄVLEBORGS LÄN</t>
        </is>
      </c>
      <c r="G1501" t="inlineStr">
        <is>
          <t>BOLLNÄS</t>
        </is>
      </c>
      <c r="I1501" t="n">
        <v>29.4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22489-2026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46155</v>
      </c>
      <c r="E1502" s="1" t="n">
        <v>46250</v>
      </c>
      <c r="F1502" t="inlineStr">
        <is>
          <t>GÄVLEBORGS LÄN</t>
        </is>
      </c>
      <c r="G1502" t="inlineStr">
        <is>
          <t>BOLLNÄS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14271-2026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46099</v>
      </c>
      <c r="E1503" s="1" t="n">
        <v>46250</v>
      </c>
      <c r="F1503" t="inlineStr">
        <is>
          <t>GÄVLEBORGS LÄN</t>
        </is>
      </c>
      <c r="G1503" t="inlineStr">
        <is>
          <t>BOLLNÄS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46029</v>
      </c>
      <c r="E1504" s="1" t="n">
        <v>46250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22606-2026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46250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22499-2026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46250</v>
      </c>
      <c r="F1506" t="inlineStr">
        <is>
          <t>GÄVLEBORGS LÄN</t>
        </is>
      </c>
      <c r="G1506" t="inlineStr">
        <is>
          <t>BOLLNÄS</t>
        </is>
      </c>
      <c r="I1506" t="n">
        <v>4.5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26126-2023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45091</v>
      </c>
      <c r="E1507" s="1" t="n">
        <v>46250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60743-2024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45644</v>
      </c>
      <c r="E1508" s="1" t="n">
        <v>46250</v>
      </c>
      <c r="F1508" t="inlineStr">
        <is>
          <t>GÄVLEBORGS LÄN</t>
        </is>
      </c>
      <c r="G1508" t="inlineStr">
        <is>
          <t>BOLLNÄS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20036-2026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46136</v>
      </c>
      <c r="E1509" s="1" t="n">
        <v>46250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öst AB</t>
        </is>
      </c>
      <c r="I1509" t="n">
        <v>23.8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45629-2023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45194</v>
      </c>
      <c r="E1510" s="1" t="n">
        <v>46250</v>
      </c>
      <c r="F1510" t="inlineStr">
        <is>
          <t>GÄVLEBORGS LÄN</t>
        </is>
      </c>
      <c r="G1510" t="inlineStr">
        <is>
          <t>BOLLNÄS</t>
        </is>
      </c>
      <c r="I1510" t="n">
        <v>11.5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12853-2025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45733</v>
      </c>
      <c r="E1511" s="1" t="n">
        <v>46250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16365-2026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46111</v>
      </c>
      <c r="E1512" s="1" t="n">
        <v>46250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8308-2024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45352</v>
      </c>
      <c r="E1513" s="1" t="n">
        <v>46250</v>
      </c>
      <c r="F1513" t="inlineStr">
        <is>
          <t>GÄVLEBORGS LÄN</t>
        </is>
      </c>
      <c r="G1513" t="inlineStr">
        <is>
          <t>BOLLNÄS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59636-2024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45639</v>
      </c>
      <c r="E1514" s="1" t="n">
        <v>46250</v>
      </c>
      <c r="F1514" t="inlineStr">
        <is>
          <t>GÄVLEBORGS LÄN</t>
        </is>
      </c>
      <c r="G1514" t="inlineStr">
        <is>
          <t>BOLLNÄS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22815-2026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46160</v>
      </c>
      <c r="E1515" s="1" t="n">
        <v>46250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22905-2026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46160</v>
      </c>
      <c r="E1516" s="1" t="n">
        <v>46250</v>
      </c>
      <c r="F1516" t="inlineStr">
        <is>
          <t>GÄVLEBORGS LÄN</t>
        </is>
      </c>
      <c r="G1516" t="inlineStr">
        <is>
          <t>BOLLNÄS</t>
        </is>
      </c>
      <c r="I1516" t="n">
        <v>12.3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52613-2024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46250</v>
      </c>
      <c r="F1517" t="inlineStr">
        <is>
          <t>GÄVLEBORGS LÄN</t>
        </is>
      </c>
      <c r="G1517" t="inlineStr">
        <is>
          <t>BOLLNÄS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22761-2026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46157</v>
      </c>
      <c r="E1518" s="1" t="n">
        <v>46250</v>
      </c>
      <c r="F1518" t="inlineStr">
        <is>
          <t>GÄVLEBORGS LÄN</t>
        </is>
      </c>
      <c r="G1518" t="inlineStr">
        <is>
          <t>BOLLNÄS</t>
        </is>
      </c>
      <c r="I1518" t="n">
        <v>6.1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22982-2026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46250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22985-2026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46160</v>
      </c>
      <c r="E1520" s="1" t="n">
        <v>46250</v>
      </c>
      <c r="F1520" t="inlineStr">
        <is>
          <t>GÄVLEBORGS LÄN</t>
        </is>
      </c>
      <c r="G1520" t="inlineStr">
        <is>
          <t>BOLLNÄS</t>
        </is>
      </c>
      <c r="I1520" t="n">
        <v>4.6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57378-2024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45629</v>
      </c>
      <c r="E1521" s="1" t="n">
        <v>46250</v>
      </c>
      <c r="F1521" t="inlineStr">
        <is>
          <t>GÄVLEBORGS LÄN</t>
        </is>
      </c>
      <c r="G1521" t="inlineStr">
        <is>
          <t>BOLLNÄS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46250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46161</v>
      </c>
      <c r="E1523" s="1" t="n">
        <v>46250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60491-2023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45258</v>
      </c>
      <c r="E1524" s="1" t="n">
        <v>46250</v>
      </c>
      <c r="F1524" t="inlineStr">
        <is>
          <t>GÄVLEBORGS LÄN</t>
        </is>
      </c>
      <c r="G1524" t="inlineStr">
        <is>
          <t>BOLLNÄS</t>
        </is>
      </c>
      <c r="I1524" t="n">
        <v>3.5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9262-2024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45358</v>
      </c>
      <c r="E1525" s="1" t="n">
        <v>46250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46250</v>
      </c>
      <c r="F1526" t="inlineStr">
        <is>
          <t>GÄVLEBORGS LÄN</t>
        </is>
      </c>
      <c r="G1526" t="inlineStr">
        <is>
          <t>BOLLNÄS</t>
        </is>
      </c>
      <c r="I1526" t="n">
        <v>3.4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46250</v>
      </c>
      <c r="F1527" t="inlineStr">
        <is>
          <t>GÄVLEBORGS LÄN</t>
        </is>
      </c>
      <c r="G1527" t="inlineStr">
        <is>
          <t>BOLLNÄS</t>
        </is>
      </c>
      <c r="I1527" t="n">
        <v>0.3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2885-2023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44945</v>
      </c>
      <c r="E1528" s="1" t="n">
        <v>46250</v>
      </c>
      <c r="F1528" t="inlineStr">
        <is>
          <t>GÄVLEBORGS LÄN</t>
        </is>
      </c>
      <c r="G1528" t="inlineStr">
        <is>
          <t>BOLLNÄS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23387-2026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46250</v>
      </c>
      <c r="F1529" t="inlineStr">
        <is>
          <t>GÄVLEBORGS LÄN</t>
        </is>
      </c>
      <c r="G1529" t="inlineStr">
        <is>
          <t>BOLLNÄS</t>
        </is>
      </c>
      <c r="I1529" t="n">
        <v>7.5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22448-2026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46155</v>
      </c>
      <c r="E1530" s="1" t="n">
        <v>46250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46250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46250</v>
      </c>
      <c r="F1532" t="inlineStr">
        <is>
          <t>GÄVLEBORGS LÄN</t>
        </is>
      </c>
      <c r="G1532" t="inlineStr">
        <is>
          <t>BOLLNÄS</t>
        </is>
      </c>
      <c r="I1532" t="n">
        <v>3.9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59360-2024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46250</v>
      </c>
      <c r="F1533" t="inlineStr">
        <is>
          <t>GÄVLEBORGS LÄN</t>
        </is>
      </c>
      <c r="G1533" t="inlineStr">
        <is>
          <t>BOLLNÄS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12454-2023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44999</v>
      </c>
      <c r="E1534" s="1" t="n">
        <v>46250</v>
      </c>
      <c r="F1534" t="inlineStr">
        <is>
          <t>GÄVLEBORGS LÄN</t>
        </is>
      </c>
      <c r="G1534" t="inlineStr">
        <is>
          <t>BOLLNÄS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23172-2026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46250</v>
      </c>
      <c r="F1535" t="inlineStr">
        <is>
          <t>GÄVLEBORGS LÄN</t>
        </is>
      </c>
      <c r="G1535" t="inlineStr">
        <is>
          <t>BOLLNÄS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23276-2026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46250</v>
      </c>
      <c r="F1536" t="inlineStr">
        <is>
          <t>GÄVLEBORGS LÄN</t>
        </is>
      </c>
      <c r="G1536" t="inlineStr">
        <is>
          <t>BOLLNÄS</t>
        </is>
      </c>
      <c r="I1536" t="n">
        <v>7.1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30067-2023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45110</v>
      </c>
      <c r="E1537" s="1" t="n">
        <v>46250</v>
      </c>
      <c r="F1537" t="inlineStr">
        <is>
          <t>GÄVLEBORGS LÄN</t>
        </is>
      </c>
      <c r="G1537" t="inlineStr">
        <is>
          <t>BOLLNÄS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48336-2023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45205</v>
      </c>
      <c r="E1538" s="1" t="n">
        <v>46250</v>
      </c>
      <c r="F1538" t="inlineStr">
        <is>
          <t>GÄVLEBORGS LÄN</t>
        </is>
      </c>
      <c r="G1538" t="inlineStr">
        <is>
          <t>BOLLNÄS</t>
        </is>
      </c>
      <c r="I1538" t="n">
        <v>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23268-2026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46250</v>
      </c>
      <c r="F1539" t="inlineStr">
        <is>
          <t>GÄVLEBORGS LÄN</t>
        </is>
      </c>
      <c r="G1539" t="inlineStr">
        <is>
          <t>BOLLNÄS</t>
        </is>
      </c>
      <c r="I1539" t="n">
        <v>3.6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23331-2026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46250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46250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23298-2026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46250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29773-2023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45107</v>
      </c>
      <c r="E1543" s="1" t="n">
        <v>46250</v>
      </c>
      <c r="F1543" t="inlineStr">
        <is>
          <t>GÄVLEBORGS LÄN</t>
        </is>
      </c>
      <c r="G1543" t="inlineStr">
        <is>
          <t>BOLLNÄS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35181-2023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45145</v>
      </c>
      <c r="E1544" s="1" t="n">
        <v>46250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Holmen skog AB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2611-2022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44580</v>
      </c>
      <c r="E1545" s="1" t="n">
        <v>46250</v>
      </c>
      <c r="F1545" t="inlineStr">
        <is>
          <t>GÄVLEBORGS LÄN</t>
        </is>
      </c>
      <c r="G1545" t="inlineStr">
        <is>
          <t>BOLLNÄS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23085-2026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46161</v>
      </c>
      <c r="E1546" s="1" t="n">
        <v>46250</v>
      </c>
      <c r="F1546" t="inlineStr">
        <is>
          <t>GÄVLEBORGS LÄN</t>
        </is>
      </c>
      <c r="G1546" t="inlineStr">
        <is>
          <t>BOLLNÄS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20710-2025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45776</v>
      </c>
      <c r="E1547" s="1" t="n">
        <v>46250</v>
      </c>
      <c r="F1547" t="inlineStr">
        <is>
          <t>GÄVLEBORGS LÄN</t>
        </is>
      </c>
      <c r="G1547" t="inlineStr">
        <is>
          <t>BOLLNÄS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23090-2026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46161</v>
      </c>
      <c r="E1548" s="1" t="n">
        <v>46250</v>
      </c>
      <c r="F1548" t="inlineStr">
        <is>
          <t>GÄVLEBORGS LÄN</t>
        </is>
      </c>
      <c r="G1548" t="inlineStr">
        <is>
          <t>BOLLNÄS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23091-2026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46161</v>
      </c>
      <c r="E1549" s="1" t="n">
        <v>46250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23092-2026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46250</v>
      </c>
      <c r="F1550" t="inlineStr">
        <is>
          <t>GÄVLEBORGS LÄN</t>
        </is>
      </c>
      <c r="G1550" t="inlineStr">
        <is>
          <t>BOLLNÄS</t>
        </is>
      </c>
      <c r="I1550" t="n">
        <v>2.8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36061-2023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45149</v>
      </c>
      <c r="E1551" s="1" t="n">
        <v>46250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23251-2026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46250</v>
      </c>
      <c r="F1552" t="inlineStr">
        <is>
          <t>GÄVLEBORGS LÄN</t>
        </is>
      </c>
      <c r="G1552" t="inlineStr">
        <is>
          <t>BOLLNÄS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38937-2023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45163</v>
      </c>
      <c r="E1553" s="1" t="n">
        <v>46250</v>
      </c>
      <c r="F1553" t="inlineStr">
        <is>
          <t>GÄVLEBORGS LÄN</t>
        </is>
      </c>
      <c r="G1553" t="inlineStr">
        <is>
          <t>BOLLNÄS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23673-2026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46250</v>
      </c>
      <c r="F1554" t="inlineStr">
        <is>
          <t>GÄVLEBORGS LÄN</t>
        </is>
      </c>
      <c r="G1554" t="inlineStr">
        <is>
          <t>BOLLNÄS</t>
        </is>
      </c>
      <c r="I1554" t="n">
        <v>20.9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20705-2025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45776</v>
      </c>
      <c r="E1555" s="1" t="n">
        <v>46250</v>
      </c>
      <c r="F1555" t="inlineStr">
        <is>
          <t>GÄVLEBORGS LÄN</t>
        </is>
      </c>
      <c r="G1555" t="inlineStr">
        <is>
          <t>BOLLNÄS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46141</v>
      </c>
      <c r="E1556" s="1" t="n">
        <v>46250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7.6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30041-2026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46206</v>
      </c>
      <c r="E1557" s="1" t="n">
        <v>46250</v>
      </c>
      <c r="F1557" t="inlineStr">
        <is>
          <t>GÄVLEBORGS LÄN</t>
        </is>
      </c>
      <c r="G1557" t="inlineStr">
        <is>
          <t>BOLLNÄS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23289-2026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46162</v>
      </c>
      <c r="E1558" s="1" t="n">
        <v>46250</v>
      </c>
      <c r="F1558" t="inlineStr">
        <is>
          <t>GÄVLEBORGS LÄN</t>
        </is>
      </c>
      <c r="G1558" t="inlineStr">
        <is>
          <t>BOLLNÄS</t>
        </is>
      </c>
      <c r="I1558" t="n">
        <v>9.9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23478-2026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46163</v>
      </c>
      <c r="E1559" s="1" t="n">
        <v>46250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23277-2026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46250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23288-2026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46250</v>
      </c>
      <c r="F1561" t="inlineStr">
        <is>
          <t>GÄVLEBORGS LÄN</t>
        </is>
      </c>
      <c r="G1561" t="inlineStr">
        <is>
          <t>BOLLNÄS</t>
        </is>
      </c>
      <c r="I1561" t="n">
        <v>5.6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23586-2026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46163</v>
      </c>
      <c r="E1562" s="1" t="n">
        <v>46250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23523-2026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46163</v>
      </c>
      <c r="E1563" s="1" t="n">
        <v>46250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23544-2026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46163</v>
      </c>
      <c r="E1564" s="1" t="n">
        <v>46250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23273-2026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46162</v>
      </c>
      <c r="E1565" s="1" t="n">
        <v>46250</v>
      </c>
      <c r="F1565" t="inlineStr">
        <is>
          <t>GÄVLEBORGS LÄN</t>
        </is>
      </c>
      <c r="G1565" t="inlineStr">
        <is>
          <t>BOLLNÄS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21562-2025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45782</v>
      </c>
      <c r="E1566" s="1" t="n">
        <v>46250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Sveaskog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46250</v>
      </c>
      <c r="F1567" t="inlineStr">
        <is>
          <t>GÄVLEBORGS LÄN</t>
        </is>
      </c>
      <c r="G1567" t="inlineStr">
        <is>
          <t>BOLLNÄS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23703-2026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46164</v>
      </c>
      <c r="E1568" s="1" t="n">
        <v>46250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23256-2026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46162</v>
      </c>
      <c r="E1569" s="1" t="n">
        <v>46250</v>
      </c>
      <c r="F1569" t="inlineStr">
        <is>
          <t>GÄVLEBORGS LÄN</t>
        </is>
      </c>
      <c r="G1569" t="inlineStr">
        <is>
          <t>BOLLNÄS</t>
        </is>
      </c>
      <c r="I1569" t="n">
        <v>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23206-2026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46162</v>
      </c>
      <c r="E1570" s="1" t="n">
        <v>46250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23272-2026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46162</v>
      </c>
      <c r="E1571" s="1" t="n">
        <v>46250</v>
      </c>
      <c r="F1571" t="inlineStr">
        <is>
          <t>GÄVLEBORGS LÄN</t>
        </is>
      </c>
      <c r="G1571" t="inlineStr">
        <is>
          <t>BOLLNÄS</t>
        </is>
      </c>
      <c r="I1571" t="n">
        <v>6.7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21393-2025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45782</v>
      </c>
      <c r="E1572" s="1" t="n">
        <v>46250</v>
      </c>
      <c r="F1572" t="inlineStr">
        <is>
          <t>GÄVLEBORGS LÄN</t>
        </is>
      </c>
      <c r="G1572" t="inlineStr">
        <is>
          <t>BOLLNÄS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23719-2026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46164</v>
      </c>
      <c r="E1573" s="1" t="n">
        <v>46250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23664-2026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46164</v>
      </c>
      <c r="E1574" s="1" t="n">
        <v>46250</v>
      </c>
      <c r="F1574" t="inlineStr">
        <is>
          <t>GÄVLEBORGS LÄN</t>
        </is>
      </c>
      <c r="G1574" t="inlineStr">
        <is>
          <t>BOLLNÄS</t>
        </is>
      </c>
      <c r="I1574" t="n">
        <v>6.3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23594-2026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46163</v>
      </c>
      <c r="E1575" s="1" t="n">
        <v>46250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20690-2026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46141</v>
      </c>
      <c r="E1576" s="1" t="n">
        <v>46250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19135-2024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45428</v>
      </c>
      <c r="E1577" s="1" t="n">
        <v>46250</v>
      </c>
      <c r="F1577" t="inlineStr">
        <is>
          <t>GÄVLEBORGS LÄN</t>
        </is>
      </c>
      <c r="G1577" t="inlineStr">
        <is>
          <t>BOLLNÄS</t>
        </is>
      </c>
      <c r="I1577" t="n">
        <v>4.7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15447-2026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46106</v>
      </c>
      <c r="E1578" s="1" t="n">
        <v>46250</v>
      </c>
      <c r="F1578" t="inlineStr">
        <is>
          <t>GÄVLEBORGS LÄN</t>
        </is>
      </c>
      <c r="G1578" t="inlineStr">
        <is>
          <t>BOLLNÄS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58279-2025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45985</v>
      </c>
      <c r="E1579" s="1" t="n">
        <v>46250</v>
      </c>
      <c r="F1579" t="inlineStr">
        <is>
          <t>GÄVLEBORGS LÄN</t>
        </is>
      </c>
      <c r="G1579" t="inlineStr">
        <is>
          <t>BOLLNÄS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12005-2026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46085</v>
      </c>
      <c r="E1580" s="1" t="n">
        <v>46250</v>
      </c>
      <c r="F1580" t="inlineStr">
        <is>
          <t>GÄVLEBORGS LÄN</t>
        </is>
      </c>
      <c r="G1580" t="inlineStr">
        <is>
          <t>BOLLNÄS</t>
        </is>
      </c>
      <c r="I1580" t="n">
        <v>5.6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18664-2026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46128</v>
      </c>
      <c r="E1581" s="1" t="n">
        <v>46250</v>
      </c>
      <c r="F1581" t="inlineStr">
        <is>
          <t>GÄVLEBORGS LÄN</t>
        </is>
      </c>
      <c r="G1581" t="inlineStr">
        <is>
          <t>BOLLNÄS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24039-2026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46167</v>
      </c>
      <c r="E1582" s="1" t="n">
        <v>46250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27.5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23891-2026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46167</v>
      </c>
      <c r="E1583" s="1" t="n">
        <v>46250</v>
      </c>
      <c r="F1583" t="inlineStr">
        <is>
          <t>GÄVLEBORGS LÄN</t>
        </is>
      </c>
      <c r="G1583" t="inlineStr">
        <is>
          <t>BOLLNÄS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46800-2024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45583</v>
      </c>
      <c r="E1584" s="1" t="n">
        <v>46250</v>
      </c>
      <c r="F1584" t="inlineStr">
        <is>
          <t>GÄVLEBORGS LÄN</t>
        </is>
      </c>
      <c r="G1584" t="inlineStr">
        <is>
          <t>BOLLNÄS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42579-2024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45565</v>
      </c>
      <c r="E1585" s="1" t="n">
        <v>46250</v>
      </c>
      <c r="F1585" t="inlineStr">
        <is>
          <t>GÄVLEBORGS LÄN</t>
        </is>
      </c>
      <c r="G1585" t="inlineStr">
        <is>
          <t>BOLLNÄS</t>
        </is>
      </c>
      <c r="I1585" t="n">
        <v>7.9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42580-2024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45565</v>
      </c>
      <c r="E1586" s="1" t="n">
        <v>46250</v>
      </c>
      <c r="F1586" t="inlineStr">
        <is>
          <t>GÄVLEBORGS LÄN</t>
        </is>
      </c>
      <c r="G1586" t="inlineStr">
        <is>
          <t>BOLLNÄS</t>
        </is>
      </c>
      <c r="I1586" t="n">
        <v>7.9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21873-2025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45784</v>
      </c>
      <c r="E1587" s="1" t="n">
        <v>46250</v>
      </c>
      <c r="F1587" t="inlineStr">
        <is>
          <t>GÄVLEBORGS LÄN</t>
        </is>
      </c>
      <c r="G1587" t="inlineStr">
        <is>
          <t>BOLLNÄS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23335-2024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45453</v>
      </c>
      <c r="E1588" s="1" t="n">
        <v>46250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10077-2026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46073</v>
      </c>
      <c r="E1589" s="1" t="n">
        <v>46250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46250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12275-2026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46250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Kyrkan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16061-2026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46108</v>
      </c>
      <c r="E1592" s="1" t="n">
        <v>46250</v>
      </c>
      <c r="F1592" t="inlineStr">
        <is>
          <t>GÄVLEBORGS LÄN</t>
        </is>
      </c>
      <c r="G1592" t="inlineStr">
        <is>
          <t>BOLLNÄS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36058-2023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45149</v>
      </c>
      <c r="E1593" s="1" t="n">
        <v>46250</v>
      </c>
      <c r="F1593" t="inlineStr">
        <is>
          <t>GÄVLEBORGS LÄN</t>
        </is>
      </c>
      <c r="G1593" t="inlineStr">
        <is>
          <t>BOLLNÄS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45782-2024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45579</v>
      </c>
      <c r="E1594" s="1" t="n">
        <v>46250</v>
      </c>
      <c r="F1594" t="inlineStr">
        <is>
          <t>GÄVLEBORGS LÄN</t>
        </is>
      </c>
      <c r="G1594" t="inlineStr">
        <is>
          <t>BOLLNÄS</t>
        </is>
      </c>
      <c r="I1594" t="n">
        <v>9.199999999999999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71678-2021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44543</v>
      </c>
      <c r="E1595" s="1" t="n">
        <v>46250</v>
      </c>
      <c r="F1595" t="inlineStr">
        <is>
          <t>GÄVLEBORGS LÄN</t>
        </is>
      </c>
      <c r="G1595" t="inlineStr">
        <is>
          <t>BOLLNÄS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24034-2026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46250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24037-2026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46167</v>
      </c>
      <c r="E1597" s="1" t="n">
        <v>46250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3.7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24081-2026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46250</v>
      </c>
      <c r="F1598" t="inlineStr">
        <is>
          <t>GÄVLEBORGS LÄN</t>
        </is>
      </c>
      <c r="G1598" t="inlineStr">
        <is>
          <t>BOLLNÄS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48270-2024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45590</v>
      </c>
      <c r="E1599" s="1" t="n">
        <v>46250</v>
      </c>
      <c r="F1599" t="inlineStr">
        <is>
          <t>GÄVLEBORGS LÄN</t>
        </is>
      </c>
      <c r="G1599" t="inlineStr">
        <is>
          <t>BOLLNÄS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19839-2026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46135</v>
      </c>
      <c r="E1600" s="1" t="n">
        <v>46250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28083-2024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45476</v>
      </c>
      <c r="E1601" s="1" t="n">
        <v>46250</v>
      </c>
      <c r="F1601" t="inlineStr">
        <is>
          <t>GÄVLEBORGS LÄN</t>
        </is>
      </c>
      <c r="G1601" t="inlineStr">
        <is>
          <t>BOLLNÄS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22193-2026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46153</v>
      </c>
      <c r="E1602" s="1" t="n">
        <v>46250</v>
      </c>
      <c r="F1602" t="inlineStr">
        <is>
          <t>GÄVLEBORGS LÄN</t>
        </is>
      </c>
      <c r="G1602" t="inlineStr">
        <is>
          <t>BOLLNÄS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23881-2026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46167</v>
      </c>
      <c r="E1603" s="1" t="n">
        <v>46250</v>
      </c>
      <c r="F1603" t="inlineStr">
        <is>
          <t>GÄVLEBORGS LÄN</t>
        </is>
      </c>
      <c r="G1603" t="inlineStr">
        <is>
          <t>BOLLNÄS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43750-2023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45187</v>
      </c>
      <c r="E1604" s="1" t="n">
        <v>46250</v>
      </c>
      <c r="F1604" t="inlineStr">
        <is>
          <t>GÄVLEBORGS LÄN</t>
        </is>
      </c>
      <c r="G1604" t="inlineStr">
        <is>
          <t>BOLLNÄS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63953-2025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46020</v>
      </c>
      <c r="E1605" s="1" t="n">
        <v>46250</v>
      </c>
      <c r="F1605" t="inlineStr">
        <is>
          <t>GÄVLEBORGS LÄN</t>
        </is>
      </c>
      <c r="G1605" t="inlineStr">
        <is>
          <t>BOLLNÄS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24076-2026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46168</v>
      </c>
      <c r="E1606" s="1" t="n">
        <v>46250</v>
      </c>
      <c r="F1606" t="inlineStr">
        <is>
          <t>GÄVLEBORGS LÄN</t>
        </is>
      </c>
      <c r="G1606" t="inlineStr">
        <is>
          <t>BOLLNÄS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22551-2026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46155</v>
      </c>
      <c r="E1607" s="1" t="n">
        <v>46250</v>
      </c>
      <c r="F1607" t="inlineStr">
        <is>
          <t>GÄVLEBORGS LÄN</t>
        </is>
      </c>
      <c r="G1607" t="inlineStr">
        <is>
          <t>BOLLNÄS</t>
        </is>
      </c>
      <c r="I1607" t="n">
        <v>7.9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30383-2026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46209</v>
      </c>
      <c r="E1608" s="1" t="n">
        <v>46250</v>
      </c>
      <c r="F1608" t="inlineStr">
        <is>
          <t>GÄVLEBORGS LÄN</t>
        </is>
      </c>
      <c r="G1608" t="inlineStr">
        <is>
          <t>BOLLNÄS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23856-2026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46250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23857-2026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46167</v>
      </c>
      <c r="E1610" s="1" t="n">
        <v>46250</v>
      </c>
      <c r="F1610" t="inlineStr">
        <is>
          <t>GÄVLEBORGS LÄN</t>
        </is>
      </c>
      <c r="G1610" t="inlineStr">
        <is>
          <t>BOLLNÄS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14521-2026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46100</v>
      </c>
      <c r="E1611" s="1" t="n">
        <v>46250</v>
      </c>
      <c r="F1611" t="inlineStr">
        <is>
          <t>GÄVLEBORGS LÄN</t>
        </is>
      </c>
      <c r="G1611" t="inlineStr">
        <is>
          <t>BOLLNÄS</t>
        </is>
      </c>
      <c r="I1611" t="n">
        <v>9.6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41670-2024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45560</v>
      </c>
      <c r="E1612" s="1" t="n">
        <v>46250</v>
      </c>
      <c r="F1612" t="inlineStr">
        <is>
          <t>GÄVLEBORGS LÄN</t>
        </is>
      </c>
      <c r="G1612" t="inlineStr">
        <is>
          <t>BOLLNÄS</t>
        </is>
      </c>
      <c r="I1612" t="n">
        <v>11.5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24136-2026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46168</v>
      </c>
      <c r="E1613" s="1" t="n">
        <v>46250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9403-2026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46071</v>
      </c>
      <c r="E1614" s="1" t="n">
        <v>46250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56229-2024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45624</v>
      </c>
      <c r="E1615" s="1" t="n">
        <v>46250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23897-2026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46167</v>
      </c>
      <c r="E1616" s="1" t="n">
        <v>46250</v>
      </c>
      <c r="F1616" t="inlineStr">
        <is>
          <t>GÄVLEBORGS LÄN</t>
        </is>
      </c>
      <c r="G1616" t="inlineStr">
        <is>
          <t>BOLLNÄS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46052</v>
      </c>
      <c r="E1617" s="1" t="n">
        <v>46250</v>
      </c>
      <c r="F1617" t="inlineStr">
        <is>
          <t>GÄVLEBORGS LÄN</t>
        </is>
      </c>
      <c r="G1617" t="inlineStr">
        <is>
          <t>BOLLNÄS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22310-2026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46154</v>
      </c>
      <c r="E1618" s="1" t="n">
        <v>46250</v>
      </c>
      <c r="F1618" t="inlineStr">
        <is>
          <t>GÄVLEBORGS LÄN</t>
        </is>
      </c>
      <c r="G1618" t="inlineStr">
        <is>
          <t>BOLLNÄS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46250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52748-2024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45610</v>
      </c>
      <c r="E1620" s="1" t="n">
        <v>46250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19144-2024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45428</v>
      </c>
      <c r="E1621" s="1" t="n">
        <v>46250</v>
      </c>
      <c r="F1621" t="inlineStr">
        <is>
          <t>GÄVLEBORGS LÄN</t>
        </is>
      </c>
      <c r="G1621" t="inlineStr">
        <is>
          <t>BOLLNÄS</t>
        </is>
      </c>
      <c r="I1621" t="n">
        <v>3.2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16051-2026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46108</v>
      </c>
      <c r="E1622" s="1" t="n">
        <v>46250</v>
      </c>
      <c r="F1622" t="inlineStr">
        <is>
          <t>GÄVLEBORGS LÄN</t>
        </is>
      </c>
      <c r="G1622" t="inlineStr">
        <is>
          <t>BOLLNÄS</t>
        </is>
      </c>
      <c r="I1622" t="n">
        <v>14.9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24083-2026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46168</v>
      </c>
      <c r="E1623" s="1" t="n">
        <v>46250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9816-2026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46250</v>
      </c>
      <c r="F1624" t="inlineStr">
        <is>
          <t>GÄVLEBORGS LÄN</t>
        </is>
      </c>
      <c r="G1624" t="inlineStr">
        <is>
          <t>BOLLNÄS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25177-2023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45086</v>
      </c>
      <c r="E1625" s="1" t="n">
        <v>46250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Sveaskog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24147-2026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46168</v>
      </c>
      <c r="E1626" s="1" t="n">
        <v>46250</v>
      </c>
      <c r="F1626" t="inlineStr">
        <is>
          <t>GÄVLEBORGS LÄN</t>
        </is>
      </c>
      <c r="G1626" t="inlineStr">
        <is>
          <t>BOLLNÄS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7609-2026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46062</v>
      </c>
      <c r="E1627" s="1" t="n">
        <v>46250</v>
      </c>
      <c r="F1627" t="inlineStr">
        <is>
          <t>GÄVLEBORGS LÄN</t>
        </is>
      </c>
      <c r="G1627" t="inlineStr">
        <is>
          <t>BOLLNÄS</t>
        </is>
      </c>
      <c r="I1627" t="n">
        <v>4.9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9758-2026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46072</v>
      </c>
      <c r="E1628" s="1" t="n">
        <v>46250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Sveaskog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5262-2025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45692</v>
      </c>
      <c r="E1629" s="1" t="n">
        <v>46250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öst AB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24231-2026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46168</v>
      </c>
      <c r="E1630" s="1" t="n">
        <v>46250</v>
      </c>
      <c r="F1630" t="inlineStr">
        <is>
          <t>GÄVLEBORGS LÄN</t>
        </is>
      </c>
      <c r="G1630" t="inlineStr">
        <is>
          <t>BOLLNÄS</t>
        </is>
      </c>
      <c r="I1630" t="n">
        <v>4.5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44344-2024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45573</v>
      </c>
      <c r="E1631" s="1" t="n">
        <v>46250</v>
      </c>
      <c r="F1631" t="inlineStr">
        <is>
          <t>GÄVLEBORGS LÄN</t>
        </is>
      </c>
      <c r="G1631" t="inlineStr">
        <is>
          <t>BOLLNÄS</t>
        </is>
      </c>
      <c r="I1631" t="n">
        <v>3.1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24994-2024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45461</v>
      </c>
      <c r="E1632" s="1" t="n">
        <v>46250</v>
      </c>
      <c r="F1632" t="inlineStr">
        <is>
          <t>GÄVLEBORGS LÄN</t>
        </is>
      </c>
      <c r="G1632" t="inlineStr">
        <is>
          <t>BOLLNÄS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22134-2025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45785</v>
      </c>
      <c r="E1633" s="1" t="n">
        <v>46250</v>
      </c>
      <c r="F1633" t="inlineStr">
        <is>
          <t>GÄVLEBORGS LÄN</t>
        </is>
      </c>
      <c r="G1633" t="inlineStr">
        <is>
          <t>BOLLNÄS</t>
        </is>
      </c>
      <c r="I1633" t="n">
        <v>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31649-2024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45506</v>
      </c>
      <c r="E1634" s="1" t="n">
        <v>46250</v>
      </c>
      <c r="F1634" t="inlineStr">
        <is>
          <t>GÄVLEBORGS LÄN</t>
        </is>
      </c>
      <c r="G1634" t="inlineStr">
        <is>
          <t>BOLLNÄS</t>
        </is>
      </c>
      <c r="I1634" t="n">
        <v>2.3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10798-2026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46078</v>
      </c>
      <c r="E1635" s="1" t="n">
        <v>46250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30777-2026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46250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30798-2026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46250</v>
      </c>
      <c r="F1637" t="inlineStr">
        <is>
          <t>GÄVLEBORGS LÄN</t>
        </is>
      </c>
      <c r="G1637" t="inlineStr">
        <is>
          <t>BOLLNÄS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30787-2026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46250</v>
      </c>
      <c r="F1638" t="inlineStr">
        <is>
          <t>GÄVLEBORGS LÄN</t>
        </is>
      </c>
      <c r="G1638" t="inlineStr">
        <is>
          <t>BOLLNÄS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30788-2026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46250</v>
      </c>
      <c r="F1639" t="inlineStr">
        <is>
          <t>GÄVLEBORGS LÄN</t>
        </is>
      </c>
      <c r="G1639" t="inlineStr">
        <is>
          <t>BOLLNÄS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30827-2026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46250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30828-2026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46250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7884-2026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46063</v>
      </c>
      <c r="E1642" s="1" t="n">
        <v>46250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7.6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30647-2026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46211</v>
      </c>
      <c r="E1643" s="1" t="n">
        <v>46250</v>
      </c>
      <c r="F1643" t="inlineStr">
        <is>
          <t>GÄVLEBORGS LÄN</t>
        </is>
      </c>
      <c r="G1643" t="inlineStr">
        <is>
          <t>BOLLNÄS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44120-2022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44839</v>
      </c>
      <c r="E1644" s="1" t="n">
        <v>46250</v>
      </c>
      <c r="F1644" t="inlineStr">
        <is>
          <t>GÄVLEBORGS LÄN</t>
        </is>
      </c>
      <c r="G1644" t="inlineStr">
        <is>
          <t>BOLLNÄS</t>
        </is>
      </c>
      <c r="I1644" t="n">
        <v>10.3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19153-2026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46132</v>
      </c>
      <c r="E1645" s="1" t="n">
        <v>46250</v>
      </c>
      <c r="F1645" t="inlineStr">
        <is>
          <t>GÄVLEBORGS LÄN</t>
        </is>
      </c>
      <c r="G1645" t="inlineStr">
        <is>
          <t>BOLLNÄS</t>
        </is>
      </c>
      <c r="I1645" t="n">
        <v>10.2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19486-2026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46250</v>
      </c>
      <c r="F1646" t="inlineStr">
        <is>
          <t>GÄVLEBORGS LÄN</t>
        </is>
      </c>
      <c r="G1646" t="inlineStr">
        <is>
          <t>BOLLNÄS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60428-2024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45643</v>
      </c>
      <c r="E1647" s="1" t="n">
        <v>46250</v>
      </c>
      <c r="F1647" t="inlineStr">
        <is>
          <t>GÄVLEBORGS LÄN</t>
        </is>
      </c>
      <c r="G1647" t="inlineStr">
        <is>
          <t>BOLLNÄS</t>
        </is>
      </c>
      <c r="I1647" t="n">
        <v>5.5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36256-2024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45534</v>
      </c>
      <c r="E1648" s="1" t="n">
        <v>46250</v>
      </c>
      <c r="F1648" t="inlineStr">
        <is>
          <t>GÄVLEBORGS LÄN</t>
        </is>
      </c>
      <c r="G1648" t="inlineStr">
        <is>
          <t>BOLLNÄS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30763-2026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46212</v>
      </c>
      <c r="E1649" s="1" t="n">
        <v>46250</v>
      </c>
      <c r="F1649" t="inlineStr">
        <is>
          <t>GÄVLEBORGS LÄN</t>
        </is>
      </c>
      <c r="G1649" t="inlineStr">
        <is>
          <t>BOLLNÄS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30785-2026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46250</v>
      </c>
      <c r="F1650" t="inlineStr">
        <is>
          <t>GÄVLEBORGS LÄN</t>
        </is>
      </c>
      <c r="G1650" t="inlineStr">
        <is>
          <t>BOLLNÄS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30764-2026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46250</v>
      </c>
      <c r="F1651" t="inlineStr">
        <is>
          <t>GÄVLEBORGS LÄN</t>
        </is>
      </c>
      <c r="G1651" t="inlineStr">
        <is>
          <t>BOLLNÄS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30766-2026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46250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30776-2026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46250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30786-2026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46250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46250</v>
      </c>
      <c r="F1655" t="inlineStr">
        <is>
          <t>GÄVLEBORGS LÄN</t>
        </is>
      </c>
      <c r="G1655" t="inlineStr">
        <is>
          <t>BOLLNÄS</t>
        </is>
      </c>
      <c r="I1655" t="n">
        <v>2.8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46724-2024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45583</v>
      </c>
      <c r="E1656" s="1" t="n">
        <v>46250</v>
      </c>
      <c r="F1656" t="inlineStr">
        <is>
          <t>GÄVLEBORGS LÄN</t>
        </is>
      </c>
      <c r="G1656" t="inlineStr">
        <is>
          <t>BOLLNÄS</t>
        </is>
      </c>
      <c r="I1656" t="n">
        <v>6.9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18614-2023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45043</v>
      </c>
      <c r="E1657" s="1" t="n">
        <v>46250</v>
      </c>
      <c r="F1657" t="inlineStr">
        <is>
          <t>GÄVLEBORGS LÄN</t>
        </is>
      </c>
      <c r="G1657" t="inlineStr">
        <is>
          <t>BOLLNÄS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17648-2026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46121</v>
      </c>
      <c r="E1658" s="1" t="n">
        <v>46250</v>
      </c>
      <c r="F1658" t="inlineStr">
        <is>
          <t>GÄVLEBORGS LÄN</t>
        </is>
      </c>
      <c r="G1658" t="inlineStr">
        <is>
          <t>BOLLNÄS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30653-2026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46211</v>
      </c>
      <c r="E1659" s="1" t="n">
        <v>46250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38146-2023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45161</v>
      </c>
      <c r="E1660" s="1" t="n">
        <v>46250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31143-2026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46216</v>
      </c>
      <c r="E1661" s="1" t="n">
        <v>46250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22927-2025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45790</v>
      </c>
      <c r="E1662" s="1" t="n">
        <v>46250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31139-2026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46216</v>
      </c>
      <c r="E1663" s="1" t="n">
        <v>46250</v>
      </c>
      <c r="F1663" t="inlineStr">
        <is>
          <t>GÄVLEBORGS LÄN</t>
        </is>
      </c>
      <c r="G1663" t="inlineStr">
        <is>
          <t>BOLLNÄS</t>
        </is>
      </c>
      <c r="I1663" t="n">
        <v>7.3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22010-2024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45443</v>
      </c>
      <c r="E1664" s="1" t="n">
        <v>46250</v>
      </c>
      <c r="F1664" t="inlineStr">
        <is>
          <t>GÄVLEBORGS LÄN</t>
        </is>
      </c>
      <c r="G1664" t="inlineStr">
        <is>
          <t>BOLLNÄS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22622-2025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45789</v>
      </c>
      <c r="E1665" s="1" t="n">
        <v>46250</v>
      </c>
      <c r="F1665" t="inlineStr">
        <is>
          <t>GÄVLEBORGS LÄN</t>
        </is>
      </c>
      <c r="G1665" t="inlineStr">
        <is>
          <t>BOLLNÄS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10485-2024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45366</v>
      </c>
      <c r="E1666" s="1" t="n">
        <v>46250</v>
      </c>
      <c r="F1666" t="inlineStr">
        <is>
          <t>GÄVLEBORGS LÄN</t>
        </is>
      </c>
      <c r="G1666" t="inlineStr">
        <is>
          <t>BOLLNÄS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48666-2022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44859</v>
      </c>
      <c r="E1667" s="1" t="n">
        <v>46250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49883-2023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45213</v>
      </c>
      <c r="E1668" s="1" t="n">
        <v>46250</v>
      </c>
      <c r="F1668" t="inlineStr">
        <is>
          <t>GÄVLEBORGS LÄN</t>
        </is>
      </c>
      <c r="G1668" t="inlineStr">
        <is>
          <t>BOLLNÄS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31136-2026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46216</v>
      </c>
      <c r="E1669" s="1" t="n">
        <v>46250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14811-2026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46104</v>
      </c>
      <c r="E1670" s="1" t="n">
        <v>46250</v>
      </c>
      <c r="F1670" t="inlineStr">
        <is>
          <t>GÄVLEBORGS LÄN</t>
        </is>
      </c>
      <c r="G1670" t="inlineStr">
        <is>
          <t>BOLLNÄS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13346-2026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46094</v>
      </c>
      <c r="E1671" s="1" t="n">
        <v>46250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8519-2025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45709</v>
      </c>
      <c r="E1672" s="1" t="n">
        <v>46250</v>
      </c>
      <c r="F1672" t="inlineStr">
        <is>
          <t>GÄVLEBORGS LÄN</t>
        </is>
      </c>
      <c r="G1672" t="inlineStr">
        <is>
          <t>BOLLNÄS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55941-2024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45623</v>
      </c>
      <c r="E1673" s="1" t="n">
        <v>46250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24743-2026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46171</v>
      </c>
      <c r="E1674" s="1" t="n">
        <v>46250</v>
      </c>
      <c r="F1674" t="inlineStr">
        <is>
          <t>GÄVLEBORGS LÄN</t>
        </is>
      </c>
      <c r="G1674" t="inlineStr">
        <is>
          <t>BOLLNÄS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30916-2026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46213</v>
      </c>
      <c r="E1675" s="1" t="n">
        <v>46250</v>
      </c>
      <c r="F1675" t="inlineStr">
        <is>
          <t>GÄVLEBORGS LÄN</t>
        </is>
      </c>
      <c r="G1675" t="inlineStr">
        <is>
          <t>BOLLNÄS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16423-2026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46250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öst AB</t>
        </is>
      </c>
      <c r="I1676" t="n">
        <v>4.7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69613-2021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44532</v>
      </c>
      <c r="E1677" s="1" t="n">
        <v>46250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24749-2026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46171</v>
      </c>
      <c r="E1678" s="1" t="n">
        <v>46250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9341-2026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46070</v>
      </c>
      <c r="E1679" s="1" t="n">
        <v>46250</v>
      </c>
      <c r="F1679" t="inlineStr">
        <is>
          <t>GÄVLEBORGS LÄN</t>
        </is>
      </c>
      <c r="G1679" t="inlineStr">
        <is>
          <t>BOLLNÄS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46795-2024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45583</v>
      </c>
      <c r="E1680" s="1" t="n">
        <v>46250</v>
      </c>
      <c r="F1680" t="inlineStr">
        <is>
          <t>GÄVLEBORGS LÄN</t>
        </is>
      </c>
      <c r="G1680" t="inlineStr">
        <is>
          <t>BOLLNÄS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24461-2026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46170</v>
      </c>
      <c r="E1681" s="1" t="n">
        <v>46250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9187-2026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46070</v>
      </c>
      <c r="E1682" s="1" t="n">
        <v>46250</v>
      </c>
      <c r="F1682" t="inlineStr">
        <is>
          <t>GÄVLEBORGS LÄN</t>
        </is>
      </c>
      <c r="G1682" t="inlineStr">
        <is>
          <t>BOLLNÄS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24658-2026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46171</v>
      </c>
      <c r="E1683" s="1" t="n">
        <v>46250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60956-2022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44914</v>
      </c>
      <c r="E1684" s="1" t="n">
        <v>46250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46250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23882-2025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45793</v>
      </c>
      <c r="E1686" s="1" t="n">
        <v>46250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31030-2026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46213</v>
      </c>
      <c r="E1687" s="1" t="n">
        <v>46250</v>
      </c>
      <c r="F1687" t="inlineStr">
        <is>
          <t>GÄVLEBORGS LÄN</t>
        </is>
      </c>
      <c r="G1687" t="inlineStr">
        <is>
          <t>BOLLNÄS</t>
        </is>
      </c>
      <c r="I1687" t="n">
        <v>3.1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23939-2026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46167</v>
      </c>
      <c r="E1688" s="1" t="n">
        <v>46250</v>
      </c>
      <c r="F1688" t="inlineStr">
        <is>
          <t>GÄVLEBORGS LÄN</t>
        </is>
      </c>
      <c r="G1688" t="inlineStr">
        <is>
          <t>BOLLNÄS</t>
        </is>
      </c>
      <c r="I1688" t="n">
        <v>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23883-2025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45793</v>
      </c>
      <c r="E1689" s="1" t="n">
        <v>46250</v>
      </c>
      <c r="F1689" t="inlineStr">
        <is>
          <t>GÄVLEBORGS LÄN</t>
        </is>
      </c>
      <c r="G1689" t="inlineStr">
        <is>
          <t>BOLLNÄS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31125-2026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46216</v>
      </c>
      <c r="E1690" s="1" t="n">
        <v>46250</v>
      </c>
      <c r="F1690" t="inlineStr">
        <is>
          <t>GÄVLEBORGS LÄN</t>
        </is>
      </c>
      <c r="G1690" t="inlineStr">
        <is>
          <t>BOLLNÄS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31127-2026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46216</v>
      </c>
      <c r="E1691" s="1" t="n">
        <v>46250</v>
      </c>
      <c r="F1691" t="inlineStr">
        <is>
          <t>GÄVLEBORGS LÄN</t>
        </is>
      </c>
      <c r="G1691" t="inlineStr">
        <is>
          <t>BOLLNÄS</t>
        </is>
      </c>
      <c r="I1691" t="n">
        <v>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31132-2026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46216</v>
      </c>
      <c r="E1692" s="1" t="n">
        <v>46250</v>
      </c>
      <c r="F1692" t="inlineStr">
        <is>
          <t>GÄVLEBORGS LÄN</t>
        </is>
      </c>
      <c r="G1692" t="inlineStr">
        <is>
          <t>BOLLNÄS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38594-2024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45546</v>
      </c>
      <c r="E1693" s="1" t="n">
        <v>46250</v>
      </c>
      <c r="F1693" t="inlineStr">
        <is>
          <t>GÄVLEBORGS LÄN</t>
        </is>
      </c>
      <c r="G1693" t="inlineStr">
        <is>
          <t>BOLLNÄS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31128-2026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46216</v>
      </c>
      <c r="E1694" s="1" t="n">
        <v>46250</v>
      </c>
      <c r="F1694" t="inlineStr">
        <is>
          <t>GÄVLEBORGS LÄN</t>
        </is>
      </c>
      <c r="G1694" t="inlineStr">
        <is>
          <t>BOLLNÄS</t>
        </is>
      </c>
      <c r="I1694" t="n">
        <v>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30900-2026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46213</v>
      </c>
      <c r="E1695" s="1" t="n">
        <v>46250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24748-2026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46171</v>
      </c>
      <c r="E1696" s="1" t="n">
        <v>46250</v>
      </c>
      <c r="F1696" t="inlineStr">
        <is>
          <t>GÄVLEBORGS LÄN</t>
        </is>
      </c>
      <c r="G1696" t="inlineStr">
        <is>
          <t>BOLLNÄS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24751-2026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46250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8497-2026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46065</v>
      </c>
      <c r="E1698" s="1" t="n">
        <v>46250</v>
      </c>
      <c r="F1698" t="inlineStr">
        <is>
          <t>GÄVLEBORGS LÄN</t>
        </is>
      </c>
      <c r="G1698" t="inlineStr">
        <is>
          <t>BOLLNÄS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24557-2026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46170</v>
      </c>
      <c r="E1699" s="1" t="n">
        <v>46250</v>
      </c>
      <c r="F1699" t="inlineStr">
        <is>
          <t>GÄVLEBORGS LÄN</t>
        </is>
      </c>
      <c r="G1699" t="inlineStr">
        <is>
          <t>BOLLNÄS</t>
        </is>
      </c>
      <c r="I1699" t="n">
        <v>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8130-2026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46064</v>
      </c>
      <c r="E1700" s="1" t="n">
        <v>46250</v>
      </c>
      <c r="F1700" t="inlineStr">
        <is>
          <t>GÄVLEBORGS LÄN</t>
        </is>
      </c>
      <c r="G1700" t="inlineStr">
        <is>
          <t>BOLLNÄS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23880-2025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45793</v>
      </c>
      <c r="E1701" s="1" t="n">
        <v>46250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23365-2024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45453</v>
      </c>
      <c r="E1702" s="1" t="n">
        <v>46250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47820-2024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45588</v>
      </c>
      <c r="E1703" s="1" t="n">
        <v>46250</v>
      </c>
      <c r="F1703" t="inlineStr">
        <is>
          <t>GÄVLEBORGS LÄN</t>
        </is>
      </c>
      <c r="G1703" t="inlineStr">
        <is>
          <t>BOLLNÄS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24652-2026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46171</v>
      </c>
      <c r="E1704" s="1" t="n">
        <v>46250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15.7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24747-2026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46171</v>
      </c>
      <c r="E1705" s="1" t="n">
        <v>46250</v>
      </c>
      <c r="F1705" t="inlineStr">
        <is>
          <t>GÄVLEBORGS LÄN</t>
        </is>
      </c>
      <c r="G1705" t="inlineStr">
        <is>
          <t>BOLLNÄS</t>
        </is>
      </c>
      <c r="I1705" t="n">
        <v>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24753-2026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46171</v>
      </c>
      <c r="E1706" s="1" t="n">
        <v>46250</v>
      </c>
      <c r="F1706" t="inlineStr">
        <is>
          <t>GÄVLEBORGS LÄN</t>
        </is>
      </c>
      <c r="G1706" t="inlineStr">
        <is>
          <t>BOLLNÄS</t>
        </is>
      </c>
      <c r="I1706" t="n">
        <v>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31130-2026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46250</v>
      </c>
      <c r="F1707" t="inlineStr">
        <is>
          <t>GÄVLEBORGS LÄN</t>
        </is>
      </c>
      <c r="G1707" t="inlineStr">
        <is>
          <t>BOLLNÄS</t>
        </is>
      </c>
      <c r="I1707" t="n">
        <v>4.4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46134</v>
      </c>
      <c r="E1708" s="1" t="n">
        <v>46250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29742-2024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45485</v>
      </c>
      <c r="E1709" s="1" t="n">
        <v>46250</v>
      </c>
      <c r="F1709" t="inlineStr">
        <is>
          <t>GÄVLEBORGS LÄN</t>
        </is>
      </c>
      <c r="G1709" t="inlineStr">
        <is>
          <t>BOLLNÄS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35067-2023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45145</v>
      </c>
      <c r="E1710" s="1" t="n">
        <v>46250</v>
      </c>
      <c r="F1710" t="inlineStr">
        <is>
          <t>GÄVLEBORGS LÄN</t>
        </is>
      </c>
      <c r="G1710" t="inlineStr">
        <is>
          <t>BOLLNÄS</t>
        </is>
      </c>
      <c r="I1710" t="n">
        <v>3.2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3281-2026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46041</v>
      </c>
      <c r="E1711" s="1" t="n">
        <v>46250</v>
      </c>
      <c r="F1711" t="inlineStr">
        <is>
          <t>GÄVLEBORGS LÄN</t>
        </is>
      </c>
      <c r="G1711" t="inlineStr">
        <is>
          <t>BOLLNÄS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47894-2024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45588</v>
      </c>
      <c r="E1712" s="1" t="n">
        <v>46250</v>
      </c>
      <c r="F1712" t="inlineStr">
        <is>
          <t>GÄVLEBORGS LÄN</t>
        </is>
      </c>
      <c r="G1712" t="inlineStr">
        <is>
          <t>BOLLNÄS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19861-2026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46135</v>
      </c>
      <c r="E1713" s="1" t="n">
        <v>46250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56755-2022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44894</v>
      </c>
      <c r="E1714" s="1" t="n">
        <v>46250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25204-2026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46175</v>
      </c>
      <c r="E1715" s="1" t="n">
        <v>46250</v>
      </c>
      <c r="F1715" t="inlineStr">
        <is>
          <t>GÄVLEBORGS LÄN</t>
        </is>
      </c>
      <c r="G1715" t="inlineStr">
        <is>
          <t>BOLLNÄS</t>
        </is>
      </c>
      <c r="I1715" t="n">
        <v>10.1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24953-2026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46174</v>
      </c>
      <c r="E1716" s="1" t="n">
        <v>46250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Kommuner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17776-2025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45758</v>
      </c>
      <c r="E1717" s="1" t="n">
        <v>46250</v>
      </c>
      <c r="F1717" t="inlineStr">
        <is>
          <t>GÄVLEBORGS LÄN</t>
        </is>
      </c>
      <c r="G1717" t="inlineStr">
        <is>
          <t>BOLLNÄS</t>
        </is>
      </c>
      <c r="I1717" t="n">
        <v>0.4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2932-2024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45315</v>
      </c>
      <c r="E1718" s="1" t="n">
        <v>46250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24885-2026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46174</v>
      </c>
      <c r="E1719" s="1" t="n">
        <v>46250</v>
      </c>
      <c r="F1719" t="inlineStr">
        <is>
          <t>GÄVLEBORGS LÄN</t>
        </is>
      </c>
      <c r="G1719" t="inlineStr">
        <is>
          <t>BOLLNÄS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24889-2026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46174</v>
      </c>
      <c r="E1720" s="1" t="n">
        <v>46250</v>
      </c>
      <c r="F1720" t="inlineStr">
        <is>
          <t>GÄVLEBORGS LÄN</t>
        </is>
      </c>
      <c r="G1720" t="inlineStr">
        <is>
          <t>BOLLNÄS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24925-2026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46174</v>
      </c>
      <c r="E1721" s="1" t="n">
        <v>46250</v>
      </c>
      <c r="F1721" t="inlineStr">
        <is>
          <t>GÄVLEBORGS LÄN</t>
        </is>
      </c>
      <c r="G1721" t="inlineStr">
        <is>
          <t>BOLLNÄS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24859-2026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46174</v>
      </c>
      <c r="E1722" s="1" t="n">
        <v>46250</v>
      </c>
      <c r="F1722" t="inlineStr">
        <is>
          <t>GÄVLEBORGS LÄN</t>
        </is>
      </c>
      <c r="G1722" t="inlineStr">
        <is>
          <t>BOLLNÄS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24314-2025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45797</v>
      </c>
      <c r="E1723" s="1" t="n">
        <v>46250</v>
      </c>
      <c r="F1723" t="inlineStr">
        <is>
          <t>GÄVLEBORGS LÄN</t>
        </is>
      </c>
      <c r="G1723" t="inlineStr">
        <is>
          <t>BOLLNÄS</t>
        </is>
      </c>
      <c r="I1723" t="n">
        <v>3.9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24897-2026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46174</v>
      </c>
      <c r="E1724" s="1" t="n">
        <v>46250</v>
      </c>
      <c r="F1724" t="inlineStr">
        <is>
          <t>GÄVLEBORGS LÄN</t>
        </is>
      </c>
      <c r="G1724" t="inlineStr">
        <is>
          <t>BOLLNÄS</t>
        </is>
      </c>
      <c r="I1724" t="n">
        <v>9.9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24319-2025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45797</v>
      </c>
      <c r="E1725" s="1" t="n">
        <v>46250</v>
      </c>
      <c r="F1725" t="inlineStr">
        <is>
          <t>GÄVLEBORGS LÄN</t>
        </is>
      </c>
      <c r="G1725" t="inlineStr">
        <is>
          <t>BOLLNÄS</t>
        </is>
      </c>
      <c r="I1725" t="n">
        <v>7.6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15834-2026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46107</v>
      </c>
      <c r="E1726" s="1" t="n">
        <v>46250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25209-2026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46175</v>
      </c>
      <c r="E1727" s="1" t="n">
        <v>46250</v>
      </c>
      <c r="F1727" t="inlineStr">
        <is>
          <t>GÄVLEBORGS LÄN</t>
        </is>
      </c>
      <c r="G1727" t="inlineStr">
        <is>
          <t>BOLLNÄS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24918-2025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45799</v>
      </c>
      <c r="E1728" s="1" t="n">
        <v>46250</v>
      </c>
      <c r="F1728" t="inlineStr">
        <is>
          <t>GÄVLEBORGS LÄN</t>
        </is>
      </c>
      <c r="G1728" t="inlineStr">
        <is>
          <t>BOLLNÄS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24920-2025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45799</v>
      </c>
      <c r="E1729" s="1" t="n">
        <v>46250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25538-2026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46177</v>
      </c>
      <c r="E1730" s="1" t="n">
        <v>46250</v>
      </c>
      <c r="F1730" t="inlineStr">
        <is>
          <t>GÄVLEBORGS LÄN</t>
        </is>
      </c>
      <c r="G1730" t="inlineStr">
        <is>
          <t>BOLLNÄS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25561-2026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46177</v>
      </c>
      <c r="E1731" s="1" t="n">
        <v>46250</v>
      </c>
      <c r="F1731" t="inlineStr">
        <is>
          <t>GÄVLEBORGS LÄN</t>
        </is>
      </c>
      <c r="G1731" t="inlineStr">
        <is>
          <t>BOLLNÄS</t>
        </is>
      </c>
      <c r="I1731" t="n">
        <v>21.8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16391-2026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46111</v>
      </c>
      <c r="E1732" s="1" t="n">
        <v>46250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öst AB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25474-2026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46250</v>
      </c>
      <c r="F1733" t="inlineStr">
        <is>
          <t>GÄVLEBORGS LÄN</t>
        </is>
      </c>
      <c r="G1733" t="inlineStr">
        <is>
          <t>BOLLNÄS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21629-2026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46250</v>
      </c>
      <c r="F1734" t="inlineStr">
        <is>
          <t>GÄVLEBORGS LÄN</t>
        </is>
      </c>
      <c r="G1734" t="inlineStr">
        <is>
          <t>BOLLNÄS</t>
        </is>
      </c>
      <c r="I1734" t="n">
        <v>5.9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60426-2024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45643</v>
      </c>
      <c r="E1735" s="1" t="n">
        <v>46250</v>
      </c>
      <c r="F1735" t="inlineStr">
        <is>
          <t>GÄVLEBORGS LÄN</t>
        </is>
      </c>
      <c r="G1735" t="inlineStr">
        <is>
          <t>BOLLNÄS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18311-2025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45762</v>
      </c>
      <c r="E1736" s="1" t="n">
        <v>46250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24937-2025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45799</v>
      </c>
      <c r="E1737" s="1" t="n">
        <v>46250</v>
      </c>
      <c r="F1737" t="inlineStr">
        <is>
          <t>GÄVLEBORGS LÄN</t>
        </is>
      </c>
      <c r="G1737" t="inlineStr">
        <is>
          <t>BOLLNÄS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20086-2026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46136</v>
      </c>
      <c r="E1738" s="1" t="n">
        <v>46250</v>
      </c>
      <c r="F1738" t="inlineStr">
        <is>
          <t>GÄVLEBORGS LÄN</t>
        </is>
      </c>
      <c r="G1738" t="inlineStr">
        <is>
          <t>BOLLNÄS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25455-2026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46177</v>
      </c>
      <c r="E1739" s="1" t="n">
        <v>46250</v>
      </c>
      <c r="F1739" t="inlineStr">
        <is>
          <t>GÄVLEBORGS LÄN</t>
        </is>
      </c>
      <c r="G1739" t="inlineStr">
        <is>
          <t>BOLLNÄS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25226-2025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45800</v>
      </c>
      <c r="E1740" s="1" t="n">
        <v>46250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Holmen skog AB</t>
        </is>
      </c>
      <c r="I1740" t="n">
        <v>17.7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12800-2025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45733</v>
      </c>
      <c r="E1741" s="1" t="n">
        <v>46250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12867-2025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45733</v>
      </c>
      <c r="E1742" s="1" t="n">
        <v>46250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48308-2024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45590</v>
      </c>
      <c r="E1743" s="1" t="n">
        <v>46250</v>
      </c>
      <c r="F1743" t="inlineStr">
        <is>
          <t>GÄVLEBORGS LÄN</t>
        </is>
      </c>
      <c r="G1743" t="inlineStr">
        <is>
          <t>BOLLNÄS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42643-2024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45566</v>
      </c>
      <c r="E1744" s="1" t="n">
        <v>46250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25269-2026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46176</v>
      </c>
      <c r="E1745" s="1" t="n">
        <v>46250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42644-2024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45566</v>
      </c>
      <c r="E1746" s="1" t="n">
        <v>46250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20228-2026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46139</v>
      </c>
      <c r="E1747" s="1" t="n">
        <v>46250</v>
      </c>
      <c r="F1747" t="inlineStr">
        <is>
          <t>GÄVLEBORGS LÄN</t>
        </is>
      </c>
      <c r="G1747" t="inlineStr">
        <is>
          <t>BOLLNÄS</t>
        </is>
      </c>
      <c r="I1747" t="n">
        <v>13.5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25449-2026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46177</v>
      </c>
      <c r="E1748" s="1" t="n">
        <v>46250</v>
      </c>
      <c r="F1748" t="inlineStr">
        <is>
          <t>GÄVLEBORGS LÄN</t>
        </is>
      </c>
      <c r="G1748" t="inlineStr">
        <is>
          <t>BOLLNÄS</t>
        </is>
      </c>
      <c r="I1748" t="n">
        <v>7.5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21643-2026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46149</v>
      </c>
      <c r="E1749" s="1" t="n">
        <v>46250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20412-2026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46140</v>
      </c>
      <c r="E1750" s="1" t="n">
        <v>46250</v>
      </c>
      <c r="F1750" t="inlineStr">
        <is>
          <t>GÄVLEBORGS LÄN</t>
        </is>
      </c>
      <c r="G1750" t="inlineStr">
        <is>
          <t>BOLLNÄS</t>
        </is>
      </c>
      <c r="I1750" t="n">
        <v>4.6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12181-2025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45729</v>
      </c>
      <c r="E1751" s="1" t="n">
        <v>46250</v>
      </c>
      <c r="F1751" t="inlineStr">
        <is>
          <t>GÄVLEBORGS LÄN</t>
        </is>
      </c>
      <c r="G1751" t="inlineStr">
        <is>
          <t>BOLLNÄS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25596-2025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45803</v>
      </c>
      <c r="E1752" s="1" t="n">
        <v>46250</v>
      </c>
      <c r="F1752" t="inlineStr">
        <is>
          <t>GÄVLEBORGS LÄN</t>
        </is>
      </c>
      <c r="G1752" t="inlineStr">
        <is>
          <t>BOLLNÄS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21565-2026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46148</v>
      </c>
      <c r="E1753" s="1" t="n">
        <v>46250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21647-2026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46149</v>
      </c>
      <c r="E1754" s="1" t="n">
        <v>46250</v>
      </c>
      <c r="F1754" t="inlineStr">
        <is>
          <t>GÄVLEBORGS LÄN</t>
        </is>
      </c>
      <c r="G1754" t="inlineStr">
        <is>
          <t>BOLLNÄS</t>
        </is>
      </c>
      <c r="I1754" t="n">
        <v>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10213-2026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46076</v>
      </c>
      <c r="E1755" s="1" t="n">
        <v>46250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40928-2024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45558</v>
      </c>
      <c r="E1756" s="1" t="n">
        <v>46250</v>
      </c>
      <c r="F1756" t="inlineStr">
        <is>
          <t>GÄVLEBORGS LÄN</t>
        </is>
      </c>
      <c r="G1756" t="inlineStr">
        <is>
          <t>BOLLNÄS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25987-2025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45804</v>
      </c>
      <c r="E1757" s="1" t="n">
        <v>46250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25497-2026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46177</v>
      </c>
      <c r="E1758" s="1" t="n">
        <v>46250</v>
      </c>
      <c r="F1758" t="inlineStr">
        <is>
          <t>GÄVLEBORGS LÄN</t>
        </is>
      </c>
      <c r="G1758" t="inlineStr">
        <is>
          <t>BOLLNÄS</t>
        </is>
      </c>
      <c r="I1758" t="n">
        <v>6.5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26289-2025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45805</v>
      </c>
      <c r="E1759" s="1" t="n">
        <v>46250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31563-2026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46224</v>
      </c>
      <c r="E1760" s="1" t="n">
        <v>46250</v>
      </c>
      <c r="F1760" t="inlineStr">
        <is>
          <t>GÄVLEBORGS LÄN</t>
        </is>
      </c>
      <c r="G1760" t="inlineStr">
        <is>
          <t>BOLLNÄS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26308-2025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45805</v>
      </c>
      <c r="E1761" s="1" t="n">
        <v>46250</v>
      </c>
      <c r="F1761" t="inlineStr">
        <is>
          <t>GÄVLEBORGS LÄN</t>
        </is>
      </c>
      <c r="G1761" t="inlineStr">
        <is>
          <t>BOLLNÄS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26323-2025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45805</v>
      </c>
      <c r="E1762" s="1" t="n">
        <v>46250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7015-2025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45701</v>
      </c>
      <c r="E1763" s="1" t="n">
        <v>46250</v>
      </c>
      <c r="F1763" t="inlineStr">
        <is>
          <t>GÄVLEBORGS LÄN</t>
        </is>
      </c>
      <c r="G1763" t="inlineStr">
        <is>
          <t>BOLLNÄS</t>
        </is>
      </c>
      <c r="I1763" t="n">
        <v>3.2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22178-2026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46153</v>
      </c>
      <c r="E1764" s="1" t="n">
        <v>46250</v>
      </c>
      <c r="F1764" t="inlineStr">
        <is>
          <t>GÄVLEBORGS LÄN</t>
        </is>
      </c>
      <c r="G1764" t="inlineStr">
        <is>
          <t>BOLLNÄS</t>
        </is>
      </c>
      <c r="I1764" t="n">
        <v>9.6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46223</v>
      </c>
      <c r="E1765" s="1" t="n">
        <v>46250</v>
      </c>
      <c r="F1765" t="inlineStr">
        <is>
          <t>GÄVLEBORGS LÄN</t>
        </is>
      </c>
      <c r="G1765" t="inlineStr">
        <is>
          <t>BOLLNÄS</t>
        </is>
      </c>
      <c r="I1765" t="n">
        <v>6.3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26303-2025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45805</v>
      </c>
      <c r="E1766" s="1" t="n">
        <v>46250</v>
      </c>
      <c r="F1766" t="inlineStr">
        <is>
          <t>GÄVLEBORGS LÄN</t>
        </is>
      </c>
      <c r="G1766" t="inlineStr">
        <is>
          <t>BOLLNÄS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26069-2026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46181</v>
      </c>
      <c r="E1767" s="1" t="n">
        <v>46250</v>
      </c>
      <c r="F1767" t="inlineStr">
        <is>
          <t>GÄVLEBORGS LÄN</t>
        </is>
      </c>
      <c r="G1767" t="inlineStr">
        <is>
          <t>BOLLNÄS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21700-2026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46149</v>
      </c>
      <c r="E1768" s="1" t="n">
        <v>46250</v>
      </c>
      <c r="F1768" t="inlineStr">
        <is>
          <t>GÄVLEBORGS LÄN</t>
        </is>
      </c>
      <c r="G1768" t="inlineStr">
        <is>
          <t>BOLLNÄS</t>
        </is>
      </c>
      <c r="I1768" t="n">
        <v>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31022-2024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45500</v>
      </c>
      <c r="E1769" s="1" t="n">
        <v>46250</v>
      </c>
      <c r="F1769" t="inlineStr">
        <is>
          <t>GÄVLEBORGS LÄN</t>
        </is>
      </c>
      <c r="G1769" t="inlineStr">
        <is>
          <t>BOLLNÄS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46250</v>
      </c>
      <c r="F1770" t="inlineStr">
        <is>
          <t>GÄVLEBORGS LÄN</t>
        </is>
      </c>
      <c r="G1770" t="inlineStr">
        <is>
          <t>BOLLNÄS</t>
        </is>
      </c>
      <c r="I1770" t="n">
        <v>4.1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28658-2024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45478</v>
      </c>
      <c r="E1771" s="1" t="n">
        <v>46250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26039-2026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46181</v>
      </c>
      <c r="E1772" s="1" t="n">
        <v>46250</v>
      </c>
      <c r="F1772" t="inlineStr">
        <is>
          <t>GÄVLEBORGS LÄN</t>
        </is>
      </c>
      <c r="G1772" t="inlineStr">
        <is>
          <t>BOLLNÄS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29715-2024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45485</v>
      </c>
      <c r="E1773" s="1" t="n">
        <v>46250</v>
      </c>
      <c r="F1773" t="inlineStr">
        <is>
          <t>GÄVLEBORGS LÄN</t>
        </is>
      </c>
      <c r="G1773" t="inlineStr">
        <is>
          <t>BOLLNÄS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57510-2023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45246</v>
      </c>
      <c r="E1774" s="1" t="n">
        <v>46250</v>
      </c>
      <c r="F1774" t="inlineStr">
        <is>
          <t>GÄVLEBORGS LÄN</t>
        </is>
      </c>
      <c r="G1774" t="inlineStr">
        <is>
          <t>BOLLNÄS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26068-2026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46181</v>
      </c>
      <c r="E1775" s="1" t="n">
        <v>46250</v>
      </c>
      <c r="F1775" t="inlineStr">
        <is>
          <t>GÄVLEBORGS LÄN</t>
        </is>
      </c>
      <c r="G1775" t="inlineStr">
        <is>
          <t>BOLLNÄS</t>
        </is>
      </c>
      <c r="I1775" t="n">
        <v>2.8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21675-2026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46149</v>
      </c>
      <c r="E1776" s="1" t="n">
        <v>46250</v>
      </c>
      <c r="F1776" t="inlineStr">
        <is>
          <t>GÄVLEBORGS LÄN</t>
        </is>
      </c>
      <c r="G1776" t="inlineStr">
        <is>
          <t>BOLLNÄS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10180-2022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44622</v>
      </c>
      <c r="E1777" s="1" t="n">
        <v>46250</v>
      </c>
      <c r="F1777" t="inlineStr">
        <is>
          <t>GÄVLEBORGS LÄN</t>
        </is>
      </c>
      <c r="G1777" t="inlineStr">
        <is>
          <t>BOLLNÄS</t>
        </is>
      </c>
      <c r="I1777" t="n">
        <v>0.2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31497-2026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46223</v>
      </c>
      <c r="E1778" s="1" t="n">
        <v>46250</v>
      </c>
      <c r="F1778" t="inlineStr">
        <is>
          <t>GÄVLEBORGS LÄN</t>
        </is>
      </c>
      <c r="G1778" t="inlineStr">
        <is>
          <t>BOLLNÄS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26723-2025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45810</v>
      </c>
      <c r="E1779" s="1" t="n">
        <v>46250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16379-2022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44671</v>
      </c>
      <c r="E1780" s="1" t="n">
        <v>46250</v>
      </c>
      <c r="F1780" t="inlineStr">
        <is>
          <t>GÄVLEBORGS LÄN</t>
        </is>
      </c>
      <c r="G1780" t="inlineStr">
        <is>
          <t>BOLLNÄS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26041-2026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46181</v>
      </c>
      <c r="E1781" s="1" t="n">
        <v>46250</v>
      </c>
      <c r="F1781" t="inlineStr">
        <is>
          <t>GÄVLEBORGS LÄN</t>
        </is>
      </c>
      <c r="G1781" t="inlineStr">
        <is>
          <t>BOLLNÄS</t>
        </is>
      </c>
      <c r="I1781" t="n">
        <v>6.4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32056-2023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45119</v>
      </c>
      <c r="E1782" s="1" t="n">
        <v>46250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21682-2026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46149</v>
      </c>
      <c r="E1783" s="1" t="n">
        <v>46250</v>
      </c>
      <c r="F1783" t="inlineStr">
        <is>
          <t>GÄVLEBORGS LÄN</t>
        </is>
      </c>
      <c r="G1783" t="inlineStr">
        <is>
          <t>BOLLNÄS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27361-2025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45812</v>
      </c>
      <c r="E1784" s="1" t="n">
        <v>46250</v>
      </c>
      <c r="F1784" t="inlineStr">
        <is>
          <t>GÄVLEBORGS LÄN</t>
        </is>
      </c>
      <c r="G1784" t="inlineStr">
        <is>
          <t>BOLLNÄS</t>
        </is>
      </c>
      <c r="I1784" t="n">
        <v>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18486-2022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44686</v>
      </c>
      <c r="E1785" s="1" t="n">
        <v>46250</v>
      </c>
      <c r="F1785" t="inlineStr">
        <is>
          <t>GÄVLEBORGS LÄN</t>
        </is>
      </c>
      <c r="G1785" t="inlineStr">
        <is>
          <t>BOLLNÄS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26065-2026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46181</v>
      </c>
      <c r="E1786" s="1" t="n">
        <v>46250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46250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31499-2026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46223</v>
      </c>
      <c r="E1788" s="1" t="n">
        <v>46250</v>
      </c>
      <c r="F1788" t="inlineStr">
        <is>
          <t>GÄVLEBORGS LÄN</t>
        </is>
      </c>
      <c r="G1788" t="inlineStr">
        <is>
          <t>BOLLNÄS</t>
        </is>
      </c>
      <c r="I1788" t="n">
        <v>2.4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27345-2025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45812</v>
      </c>
      <c r="E1789" s="1" t="n">
        <v>46250</v>
      </c>
      <c r="F1789" t="inlineStr">
        <is>
          <t>GÄVLEBORGS LÄN</t>
        </is>
      </c>
      <c r="G1789" t="inlineStr">
        <is>
          <t>BOLLNÄS</t>
        </is>
      </c>
      <c r="I1789" t="n">
        <v>9.199999999999999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37345-2024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45540</v>
      </c>
      <c r="E1790" s="1" t="n">
        <v>46250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3.3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26247-2026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46182</v>
      </c>
      <c r="E1791" s="1" t="n">
        <v>46250</v>
      </c>
      <c r="F1791" t="inlineStr">
        <is>
          <t>GÄVLEBORGS LÄN</t>
        </is>
      </c>
      <c r="G1791" t="inlineStr">
        <is>
          <t>BOLLNÄS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26528-2026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46183</v>
      </c>
      <c r="E1792" s="1" t="n">
        <v>46250</v>
      </c>
      <c r="F1792" t="inlineStr">
        <is>
          <t>GÄVLEBORGS LÄN</t>
        </is>
      </c>
      <c r="G1792" t="inlineStr">
        <is>
          <t>BOLLNÄS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27143-2025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45812</v>
      </c>
      <c r="E1793" s="1" t="n">
        <v>46250</v>
      </c>
      <c r="F1793" t="inlineStr">
        <is>
          <t>GÄVLEBORGS LÄN</t>
        </is>
      </c>
      <c r="G1793" t="inlineStr">
        <is>
          <t>BOLLNÄS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38883-2022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44816</v>
      </c>
      <c r="E1794" s="1" t="n">
        <v>46250</v>
      </c>
      <c r="F1794" t="inlineStr">
        <is>
          <t>GÄVLEBORGS LÄN</t>
        </is>
      </c>
      <c r="G1794" t="inlineStr">
        <is>
          <t>BOLLNÄS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17394-2022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44678</v>
      </c>
      <c r="E1795" s="1" t="n">
        <v>46250</v>
      </c>
      <c r="F1795" t="inlineStr">
        <is>
          <t>GÄVLEBORGS LÄN</t>
        </is>
      </c>
      <c r="G1795" t="inlineStr">
        <is>
          <t>BOLLNÄS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21682-2024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45442</v>
      </c>
      <c r="E1796" s="1" t="n">
        <v>46250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26192-2026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46250</v>
      </c>
      <c r="F1797" t="inlineStr">
        <is>
          <t>GÄVLEBORGS LÄN</t>
        </is>
      </c>
      <c r="G1797" t="inlineStr">
        <is>
          <t>BOLLNÄS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26558-2026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46250</v>
      </c>
      <c r="F1798" t="inlineStr">
        <is>
          <t>GÄVLEBORGS LÄN</t>
        </is>
      </c>
      <c r="G1798" t="inlineStr">
        <is>
          <t>BOLLNÄS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21211-2025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45779</v>
      </c>
      <c r="E1799" s="1" t="n">
        <v>46250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26231-2026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46182</v>
      </c>
      <c r="E1800" s="1" t="n">
        <v>46250</v>
      </c>
      <c r="F1800" t="inlineStr">
        <is>
          <t>GÄVLEBORGS LÄN</t>
        </is>
      </c>
      <c r="G1800" t="inlineStr">
        <is>
          <t>BOLLNÄS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28339-2025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45818</v>
      </c>
      <c r="E1801" s="1" t="n">
        <v>46250</v>
      </c>
      <c r="F1801" t="inlineStr">
        <is>
          <t>GÄVLEBORGS LÄN</t>
        </is>
      </c>
      <c r="G1801" t="inlineStr">
        <is>
          <t>BOLLNÄS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43131-2024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45567</v>
      </c>
      <c r="E1802" s="1" t="n">
        <v>46250</v>
      </c>
      <c r="F1802" t="inlineStr">
        <is>
          <t>GÄVLEBORGS LÄN</t>
        </is>
      </c>
      <c r="G1802" t="inlineStr">
        <is>
          <t>BOLLNÄS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26194-2026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46250</v>
      </c>
      <c r="F1803" t="inlineStr">
        <is>
          <t>GÄVLEBORGS LÄN</t>
        </is>
      </c>
      <c r="G1803" t="inlineStr">
        <is>
          <t>BOLLNÄS</t>
        </is>
      </c>
      <c r="I1803" t="n">
        <v>5.5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26214-2026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46182</v>
      </c>
      <c r="E1804" s="1" t="n">
        <v>46250</v>
      </c>
      <c r="F1804" t="inlineStr">
        <is>
          <t>GÄVLEBORGS LÄN</t>
        </is>
      </c>
      <c r="G1804" t="inlineStr">
        <is>
          <t>BOLLNÄS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31643-2026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46225</v>
      </c>
      <c r="E1805" s="1" t="n">
        <v>46250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51970-2024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45607</v>
      </c>
      <c r="E1806" s="1" t="n">
        <v>46250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28338-2025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45818</v>
      </c>
      <c r="E1807" s="1" t="n">
        <v>46250</v>
      </c>
      <c r="F1807" t="inlineStr">
        <is>
          <t>GÄVLEBORGS LÄN</t>
        </is>
      </c>
      <c r="G1807" t="inlineStr">
        <is>
          <t>BOLLNÄS</t>
        </is>
      </c>
      <c r="I1807" t="n">
        <v>4.7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3630-2025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45681</v>
      </c>
      <c r="E1808" s="1" t="n">
        <v>46250</v>
      </c>
      <c r="F1808" t="inlineStr">
        <is>
          <t>GÄVLEBORGS LÄN</t>
        </is>
      </c>
      <c r="G1808" t="inlineStr">
        <is>
          <t>BOLLNÄS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26909-2026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46250</v>
      </c>
      <c r="F1809" t="inlineStr">
        <is>
          <t>GÄVLEBORGS LÄN</t>
        </is>
      </c>
      <c r="G1809" t="inlineStr">
        <is>
          <t>BOLLNÄS</t>
        </is>
      </c>
      <c r="I1809" t="n">
        <v>2.5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26910-2026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46250</v>
      </c>
      <c r="F1810" t="inlineStr">
        <is>
          <t>GÄVLEBORGS LÄN</t>
        </is>
      </c>
      <c r="G1810" t="inlineStr">
        <is>
          <t>BOLLNÄS</t>
        </is>
      </c>
      <c r="I1810" t="n">
        <v>2.7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26705-2026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46250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Kyrkan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46250</v>
      </c>
      <c r="F1812" t="inlineStr">
        <is>
          <t>GÄVLEBORGS LÄN</t>
        </is>
      </c>
      <c r="G1812" t="inlineStr">
        <is>
          <t>BOLLNÄS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26695-2026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46250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Kyrkan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46184</v>
      </c>
      <c r="E1814" s="1" t="n">
        <v>46250</v>
      </c>
      <c r="F1814" t="inlineStr">
        <is>
          <t>GÄVLEBORGS LÄN</t>
        </is>
      </c>
      <c r="G1814" t="inlineStr">
        <is>
          <t>BOLLNÄS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26892-2026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46185</v>
      </c>
      <c r="E1815" s="1" t="n">
        <v>46250</v>
      </c>
      <c r="F1815" t="inlineStr">
        <is>
          <t>GÄVLEBORGS LÄN</t>
        </is>
      </c>
      <c r="G1815" t="inlineStr">
        <is>
          <t>BOLLNÄS</t>
        </is>
      </c>
      <c r="I1815" t="n">
        <v>9.800000000000001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14030-2025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45740</v>
      </c>
      <c r="E1816" s="1" t="n">
        <v>46250</v>
      </c>
      <c r="F1816" t="inlineStr">
        <is>
          <t>GÄVLEBORGS LÄN</t>
        </is>
      </c>
      <c r="G1816" t="inlineStr">
        <is>
          <t>BOLLNÄS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31809-2026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46230</v>
      </c>
      <c r="E1817" s="1" t="n">
        <v>46250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26526-2026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46250</v>
      </c>
      <c r="F1818" t="inlineStr">
        <is>
          <t>GÄVLEBORGS LÄN</t>
        </is>
      </c>
      <c r="G1818" t="inlineStr">
        <is>
          <t>BOLLNÄS</t>
        </is>
      </c>
      <c r="I1818" t="n">
        <v>4.6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28446-2025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45819</v>
      </c>
      <c r="E1819" s="1" t="n">
        <v>46250</v>
      </c>
      <c r="F1819" t="inlineStr">
        <is>
          <t>GÄVLEBORGS LÄN</t>
        </is>
      </c>
      <c r="G1819" t="inlineStr">
        <is>
          <t>BOLLNÄS</t>
        </is>
      </c>
      <c r="I1819" t="n">
        <v>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26610-2026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46184</v>
      </c>
      <c r="E1820" s="1" t="n">
        <v>46250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Kyrkan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28462-2025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45819</v>
      </c>
      <c r="E1821" s="1" t="n">
        <v>46250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28618-2025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45819</v>
      </c>
      <c r="E1822" s="1" t="n">
        <v>46250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11.7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31722-2026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46226</v>
      </c>
      <c r="E1823" s="1" t="n">
        <v>46250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26632-2026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46184</v>
      </c>
      <c r="E1824" s="1" t="n">
        <v>46250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Kyrkan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26729-2026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46184</v>
      </c>
      <c r="E1825" s="1" t="n">
        <v>46250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20778-2023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45058</v>
      </c>
      <c r="E1826" s="1" t="n">
        <v>46250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Sveaskog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26977-2026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46185</v>
      </c>
      <c r="E1827" s="1" t="n">
        <v>46250</v>
      </c>
      <c r="F1827" t="inlineStr">
        <is>
          <t>GÄVLEBORGS LÄN</t>
        </is>
      </c>
      <c r="G1827" t="inlineStr">
        <is>
          <t>BOLLNÄS</t>
        </is>
      </c>
      <c r="I1827" t="n">
        <v>3.4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26981-2026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46185</v>
      </c>
      <c r="E1828" s="1" t="n">
        <v>46250</v>
      </c>
      <c r="F1828" t="inlineStr">
        <is>
          <t>GÄVLEBORGS LÄN</t>
        </is>
      </c>
      <c r="G1828" t="inlineStr">
        <is>
          <t>BOLLNÄS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26890-2026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46185</v>
      </c>
      <c r="E1829" s="1" t="n">
        <v>46250</v>
      </c>
      <c r="F1829" t="inlineStr">
        <is>
          <t>GÄVLEBORGS LÄN</t>
        </is>
      </c>
      <c r="G1829" t="inlineStr">
        <is>
          <t>BOLLNÄS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26891-2026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46250</v>
      </c>
      <c r="F1830" t="inlineStr">
        <is>
          <t>GÄVLEBORGS LÄN</t>
        </is>
      </c>
      <c r="G1830" t="inlineStr">
        <is>
          <t>BOLLNÄS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31748-2026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46227</v>
      </c>
      <c r="E1831" s="1" t="n">
        <v>46250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27327-2026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46188</v>
      </c>
      <c r="E1832" s="1" t="n">
        <v>46250</v>
      </c>
      <c r="F1832" t="inlineStr">
        <is>
          <t>GÄVLEBORGS LÄN</t>
        </is>
      </c>
      <c r="G1832" t="inlineStr">
        <is>
          <t>BOLLNÄS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56024-2024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45624</v>
      </c>
      <c r="E1833" s="1" t="n">
        <v>46250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46250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38837-2024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45547</v>
      </c>
      <c r="E1835" s="1" t="n">
        <v>46250</v>
      </c>
      <c r="F1835" t="inlineStr">
        <is>
          <t>GÄVLEBORGS LÄN</t>
        </is>
      </c>
      <c r="G1835" t="inlineStr">
        <is>
          <t>BOLLNÄS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29575-2025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45825</v>
      </c>
      <c r="E1836" s="1" t="n">
        <v>46250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30455-2025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45827</v>
      </c>
      <c r="E1837" s="1" t="n">
        <v>46250</v>
      </c>
      <c r="F1837" t="inlineStr">
        <is>
          <t>GÄVLEBORGS LÄN</t>
        </is>
      </c>
      <c r="G1837" t="inlineStr">
        <is>
          <t>BOLLNÄS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30292-2025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45827</v>
      </c>
      <c r="E1838" s="1" t="n">
        <v>46250</v>
      </c>
      <c r="F1838" t="inlineStr">
        <is>
          <t>GÄVLEBORGS LÄN</t>
        </is>
      </c>
      <c r="G1838" t="inlineStr">
        <is>
          <t>BOLLNÄS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30456-2025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45827</v>
      </c>
      <c r="E1839" s="1" t="n">
        <v>46250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27092-2026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46188</v>
      </c>
      <c r="E1840" s="1" t="n">
        <v>46250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30458-2025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45827</v>
      </c>
      <c r="E1841" s="1" t="n">
        <v>46250</v>
      </c>
      <c r="F1841" t="inlineStr">
        <is>
          <t>GÄVLEBORGS LÄN</t>
        </is>
      </c>
      <c r="G1841" t="inlineStr">
        <is>
          <t>BOLLNÄS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31922-2026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46231</v>
      </c>
      <c r="E1842" s="1" t="n">
        <v>46250</v>
      </c>
      <c r="F1842" t="inlineStr">
        <is>
          <t>GÄVLEBORGS LÄN</t>
        </is>
      </c>
      <c r="G1842" t="inlineStr">
        <is>
          <t>BOLLNÄS</t>
        </is>
      </c>
      <c r="I1842" t="n">
        <v>14.7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12904-2026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46092</v>
      </c>
      <c r="E1843" s="1" t="n">
        <v>46250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45664</v>
      </c>
      <c r="E1844" s="1" t="n">
        <v>46250</v>
      </c>
      <c r="F1844" t="inlineStr">
        <is>
          <t>GÄVLEBORGS LÄN</t>
        </is>
      </c>
      <c r="G1844" t="inlineStr">
        <is>
          <t>BOLLNÄS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2667-2025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45677</v>
      </c>
      <c r="E1845" s="1" t="n">
        <v>46250</v>
      </c>
      <c r="F1845" t="inlineStr">
        <is>
          <t>GÄVLEBORGS LÄN</t>
        </is>
      </c>
      <c r="G1845" t="inlineStr">
        <is>
          <t>BOLLNÄS</t>
        </is>
      </c>
      <c r="I1845" t="n">
        <v>2.3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2620-2025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45675</v>
      </c>
      <c r="E1846" s="1" t="n">
        <v>46250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27322-2026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46188</v>
      </c>
      <c r="E1847" s="1" t="n">
        <v>46250</v>
      </c>
      <c r="F1847" t="inlineStr">
        <is>
          <t>GÄVLEBORGS LÄN</t>
        </is>
      </c>
      <c r="G1847" t="inlineStr">
        <is>
          <t>BOLLNÄS</t>
        </is>
      </c>
      <c r="I1847" t="n">
        <v>6.4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3327-2026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46041</v>
      </c>
      <c r="E1848" s="1" t="n">
        <v>46250</v>
      </c>
      <c r="F1848" t="inlineStr">
        <is>
          <t>GÄVLEBORGS LÄN</t>
        </is>
      </c>
      <c r="G1848" t="inlineStr">
        <is>
          <t>BOLLNÄS</t>
        </is>
      </c>
      <c r="I1848" t="n">
        <v>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30749-2025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45831</v>
      </c>
      <c r="E1849" s="1" t="n">
        <v>46250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20668-2026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46141</v>
      </c>
      <c r="E1850" s="1" t="n">
        <v>46250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3.2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45351</v>
      </c>
      <c r="E1851" s="1" t="n">
        <v>46250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27326-2026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46188</v>
      </c>
      <c r="E1852" s="1" t="n">
        <v>46250</v>
      </c>
      <c r="F1852" t="inlineStr">
        <is>
          <t>GÄVLEBORGS LÄN</t>
        </is>
      </c>
      <c r="G1852" t="inlineStr">
        <is>
          <t>BOLLNÄS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27143-2026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46188</v>
      </c>
      <c r="E1853" s="1" t="n">
        <v>46250</v>
      </c>
      <c r="F1853" t="inlineStr">
        <is>
          <t>GÄVLEBORGS LÄN</t>
        </is>
      </c>
      <c r="G1853" t="inlineStr">
        <is>
          <t>BOLLNÄS</t>
        </is>
      </c>
      <c r="I1853" t="n">
        <v>2.8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30650-2025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45831</v>
      </c>
      <c r="E1854" s="1" t="n">
        <v>46250</v>
      </c>
      <c r="F1854" t="inlineStr">
        <is>
          <t>GÄVLEBORGS LÄN</t>
        </is>
      </c>
      <c r="G1854" t="inlineStr">
        <is>
          <t>BOLLNÄS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21061-2023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45061</v>
      </c>
      <c r="E1855" s="1" t="n">
        <v>46250</v>
      </c>
      <c r="F1855" t="inlineStr">
        <is>
          <t>GÄVLEBORGS LÄN</t>
        </is>
      </c>
      <c r="G1855" t="inlineStr">
        <is>
          <t>BOLLNÄS</t>
        </is>
      </c>
      <c r="I1855" t="n">
        <v>2.6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59637-2024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45639</v>
      </c>
      <c r="E1856" s="1" t="n">
        <v>46250</v>
      </c>
      <c r="F1856" t="inlineStr">
        <is>
          <t>GÄVLEBORGS LÄN</t>
        </is>
      </c>
      <c r="G1856" t="inlineStr">
        <is>
          <t>BOLLNÄS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8235-2026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46064</v>
      </c>
      <c r="E1857" s="1" t="n">
        <v>46250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31719-2025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45834</v>
      </c>
      <c r="E1858" s="1" t="n">
        <v>46250</v>
      </c>
      <c r="F1858" t="inlineStr">
        <is>
          <t>GÄVLEBORGS LÄN</t>
        </is>
      </c>
      <c r="G1858" t="inlineStr">
        <is>
          <t>BOLLNÄS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34941-2024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45527</v>
      </c>
      <c r="E1859" s="1" t="n">
        <v>46250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31374-2025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45833</v>
      </c>
      <c r="E1860" s="1" t="n">
        <v>46250</v>
      </c>
      <c r="F1860" t="inlineStr">
        <is>
          <t>GÄVLEBORGS LÄN</t>
        </is>
      </c>
      <c r="G1860" t="inlineStr">
        <is>
          <t>BOLLNÄS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63984-2025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46021</v>
      </c>
      <c r="E1861" s="1" t="n">
        <v>46250</v>
      </c>
      <c r="F1861" t="inlineStr">
        <is>
          <t>GÄVLEBORGS LÄN</t>
        </is>
      </c>
      <c r="G1861" t="inlineStr">
        <is>
          <t>BOLLNÄS</t>
        </is>
      </c>
      <c r="I1861" t="n">
        <v>10.6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56209-2023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45240</v>
      </c>
      <c r="E1862" s="1" t="n">
        <v>46250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31971-2025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45835</v>
      </c>
      <c r="E1863" s="1" t="n">
        <v>46250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32603-2025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45838</v>
      </c>
      <c r="E1864" s="1" t="n">
        <v>46250</v>
      </c>
      <c r="F1864" t="inlineStr">
        <is>
          <t>GÄVLEBORGS LÄN</t>
        </is>
      </c>
      <c r="G1864" t="inlineStr">
        <is>
          <t>BOLLNÄS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27748-2026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46191</v>
      </c>
      <c r="E1865" s="1" t="n">
        <v>46250</v>
      </c>
      <c r="F1865" t="inlineStr">
        <is>
          <t>GÄVLEBORGS LÄN</t>
        </is>
      </c>
      <c r="G1865" t="inlineStr">
        <is>
          <t>BOLLNÄS</t>
        </is>
      </c>
      <c r="I1865" t="n">
        <v>10.8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27753-2026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46191</v>
      </c>
      <c r="E1866" s="1" t="n">
        <v>46250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31948-2025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45835</v>
      </c>
      <c r="E1867" s="1" t="n">
        <v>46250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32019-2026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46233</v>
      </c>
      <c r="E1868" s="1" t="n">
        <v>46250</v>
      </c>
      <c r="F1868" t="inlineStr">
        <is>
          <t>GÄVLEBORGS LÄN</t>
        </is>
      </c>
      <c r="G1868" t="inlineStr">
        <is>
          <t>BOLLNÄS</t>
        </is>
      </c>
      <c r="I1868" t="n">
        <v>8.300000000000001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31954-2025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45835</v>
      </c>
      <c r="E1869" s="1" t="n">
        <v>46250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23095-2026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46250</v>
      </c>
      <c r="F1870" t="inlineStr">
        <is>
          <t>GÄVLEBORGS LÄN</t>
        </is>
      </c>
      <c r="G1870" t="inlineStr">
        <is>
          <t>BOLLNÄS</t>
        </is>
      </c>
      <c r="I1870" t="n">
        <v>3.3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48310-2023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45205</v>
      </c>
      <c r="E1871" s="1" t="n">
        <v>46250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33137-2025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45840</v>
      </c>
      <c r="E1872" s="1" t="n">
        <v>46250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3.8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48605-2023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45208</v>
      </c>
      <c r="E1873" s="1" t="n">
        <v>46250</v>
      </c>
      <c r="F1873" t="inlineStr">
        <is>
          <t>GÄVLEBORGS LÄN</t>
        </is>
      </c>
      <c r="G1873" t="inlineStr">
        <is>
          <t>BOLLNÄS</t>
        </is>
      </c>
      <c r="I1873" t="n">
        <v>0.2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27598-2026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46190</v>
      </c>
      <c r="E1874" s="1" t="n">
        <v>46250</v>
      </c>
      <c r="F1874" t="inlineStr">
        <is>
          <t>GÄVLEBORGS LÄN</t>
        </is>
      </c>
      <c r="G1874" t="inlineStr">
        <is>
          <t>BOLLNÄS</t>
        </is>
      </c>
      <c r="I1874" t="n">
        <v>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20284-2025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45774</v>
      </c>
      <c r="E1875" s="1" t="n">
        <v>46250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0.4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33259-2025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45840</v>
      </c>
      <c r="E1876" s="1" t="n">
        <v>46250</v>
      </c>
      <c r="F1876" t="inlineStr">
        <is>
          <t>GÄVLEBORGS LÄN</t>
        </is>
      </c>
      <c r="G1876" t="inlineStr">
        <is>
          <t>BOLLNÄS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32405-2025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45838</v>
      </c>
      <c r="E1877" s="1" t="n">
        <v>46250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33944-2025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45842</v>
      </c>
      <c r="E1878" s="1" t="n">
        <v>46250</v>
      </c>
      <c r="F1878" t="inlineStr">
        <is>
          <t>GÄVLEBORGS LÄN</t>
        </is>
      </c>
      <c r="G1878" t="inlineStr">
        <is>
          <t>BOLLNÄS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32386-2026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46238</v>
      </c>
      <c r="E1879" s="1" t="n">
        <v>46250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55520-2023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45238</v>
      </c>
      <c r="E1880" s="1" t="n">
        <v>46250</v>
      </c>
      <c r="F1880" t="inlineStr">
        <is>
          <t>GÄVLEBORGS LÄN</t>
        </is>
      </c>
      <c r="G1880" t="inlineStr">
        <is>
          <t>BOLLNÄS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28124-2026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46195</v>
      </c>
      <c r="E1881" s="1" t="n">
        <v>46250</v>
      </c>
      <c r="F1881" t="inlineStr">
        <is>
          <t>GÄVLEBORGS LÄN</t>
        </is>
      </c>
      <c r="G1881" t="inlineStr">
        <is>
          <t>BOLLNÄS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33624-2025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45841</v>
      </c>
      <c r="E1882" s="1" t="n">
        <v>46250</v>
      </c>
      <c r="F1882" t="inlineStr">
        <is>
          <t>GÄVLEBORGS LÄN</t>
        </is>
      </c>
      <c r="G1882" t="inlineStr">
        <is>
          <t>BOLLNÄS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61065-2023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45261</v>
      </c>
      <c r="E1883" s="1" t="n">
        <v>46250</v>
      </c>
      <c r="F1883" t="inlineStr">
        <is>
          <t>GÄVLEBORGS LÄN</t>
        </is>
      </c>
      <c r="G1883" t="inlineStr">
        <is>
          <t>BOLLNÄS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24770-2022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44728</v>
      </c>
      <c r="E1884" s="1" t="n">
        <v>46250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9814-2026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46072</v>
      </c>
      <c r="E1885" s="1" t="n">
        <v>46250</v>
      </c>
      <c r="F1885" t="inlineStr">
        <is>
          <t>GÄVLEBORGS LÄN</t>
        </is>
      </c>
      <c r="G1885" t="inlineStr">
        <is>
          <t>BOLLNÄS</t>
        </is>
      </c>
      <c r="I1885" t="n">
        <v>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23291-2026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46250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34216-2025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45845</v>
      </c>
      <c r="E1887" s="1" t="n">
        <v>46250</v>
      </c>
      <c r="F1887" t="inlineStr">
        <is>
          <t>GÄVLEBORGS LÄN</t>
        </is>
      </c>
      <c r="G1887" t="inlineStr">
        <is>
          <t>BOLLNÄS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36607-2023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45153</v>
      </c>
      <c r="E1888" s="1" t="n">
        <v>46250</v>
      </c>
      <c r="F1888" t="inlineStr">
        <is>
          <t>GÄVLEBORGS LÄN</t>
        </is>
      </c>
      <c r="G1888" t="inlineStr">
        <is>
          <t>BOLLNÄS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34224-2025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45845</v>
      </c>
      <c r="E1889" s="1" t="n">
        <v>46250</v>
      </c>
      <c r="F1889" t="inlineStr">
        <is>
          <t>GÄVLEBORGS LÄN</t>
        </is>
      </c>
      <c r="G1889" t="inlineStr">
        <is>
          <t>BOLLNÄS</t>
        </is>
      </c>
      <c r="I1889" t="n">
        <v>2.6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34239-2025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45845</v>
      </c>
      <c r="E1890" s="1" t="n">
        <v>46250</v>
      </c>
      <c r="F1890" t="inlineStr">
        <is>
          <t>GÄVLEBORGS LÄN</t>
        </is>
      </c>
      <c r="G1890" t="inlineStr">
        <is>
          <t>BOLLNÄS</t>
        </is>
      </c>
      <c r="I1890" t="n">
        <v>4.7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32484-2026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46239</v>
      </c>
      <c r="E1891" s="1" t="n">
        <v>46250</v>
      </c>
      <c r="F1891" t="inlineStr">
        <is>
          <t>GÄVLEBORGS LÄN</t>
        </is>
      </c>
      <c r="G1891" t="inlineStr">
        <is>
          <t>BOLLNÄS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28439-2026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46197</v>
      </c>
      <c r="E1892" s="1" t="n">
        <v>46250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34233-2025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45845</v>
      </c>
      <c r="E1893" s="1" t="n">
        <v>46250</v>
      </c>
      <c r="F1893" t="inlineStr">
        <is>
          <t>GÄVLEBORGS LÄN</t>
        </is>
      </c>
      <c r="G1893" t="inlineStr">
        <is>
          <t>BOLLNÄS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28418-2026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46197</v>
      </c>
      <c r="E1894" s="1" t="n">
        <v>46250</v>
      </c>
      <c r="F1894" t="inlineStr">
        <is>
          <t>GÄVLEBORGS LÄN</t>
        </is>
      </c>
      <c r="G1894" t="inlineStr">
        <is>
          <t>BOLLNÄS</t>
        </is>
      </c>
      <c r="I1894" t="n">
        <v>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34553-2025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45847</v>
      </c>
      <c r="E1895" s="1" t="n">
        <v>46250</v>
      </c>
      <c r="F1895" t="inlineStr">
        <is>
          <t>GÄVLEBORGS LÄN</t>
        </is>
      </c>
      <c r="G1895" t="inlineStr">
        <is>
          <t>BOLLNÄS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28429-2026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46197</v>
      </c>
      <c r="E1896" s="1" t="n">
        <v>46250</v>
      </c>
      <c r="F1896" t="inlineStr">
        <is>
          <t>GÄVLEBORGS LÄN</t>
        </is>
      </c>
      <c r="G1896" t="inlineStr">
        <is>
          <t>BOLLNÄS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34688-2025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45848</v>
      </c>
      <c r="E1897" s="1" t="n">
        <v>46250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Holmen skog AB</t>
        </is>
      </c>
      <c r="I1897" t="n">
        <v>32.6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32455-2026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46239</v>
      </c>
      <c r="E1898" s="1" t="n">
        <v>46250</v>
      </c>
      <c r="F1898" t="inlineStr">
        <is>
          <t>GÄVLEBORGS LÄN</t>
        </is>
      </c>
      <c r="G1898" t="inlineStr">
        <is>
          <t>BOLLNÄS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34481-2025</t>
        </is>
      </c>
      <c r="B1899" t="inlineStr">
        <is>
          <t>avverkningsanmälan</t>
        </is>
      </c>
      <c r="C1899" t="inlineStr">
        <is>
          <t>Avverkning för annat ändamål</t>
        </is>
      </c>
      <c r="D1899" s="1" t="n">
        <v>45847</v>
      </c>
      <c r="E1899" s="1" t="n">
        <v>46250</v>
      </c>
      <c r="F1899" t="inlineStr">
        <is>
          <t>GÄVLEBORGS LÄN</t>
        </is>
      </c>
      <c r="G1899" t="inlineStr">
        <is>
          <t>BOLLNÄS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32605-2026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46240</v>
      </c>
      <c r="E1900" s="1" t="n">
        <v>46250</v>
      </c>
      <c r="F1900" t="inlineStr">
        <is>
          <t>GÄVLEBORGS LÄN</t>
        </is>
      </c>
      <c r="G1900" t="inlineStr">
        <is>
          <t>BOLLNÄS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28398-2026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46197</v>
      </c>
      <c r="E1901" s="1" t="n">
        <v>46250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35095-2025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45852</v>
      </c>
      <c r="E1902" s="1" t="n">
        <v>46250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28494-2026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46197</v>
      </c>
      <c r="E1903" s="1" t="n">
        <v>46250</v>
      </c>
      <c r="F1903" t="inlineStr">
        <is>
          <t>GÄVLEBORGS LÄN</t>
        </is>
      </c>
      <c r="G1903" t="inlineStr">
        <is>
          <t>BOLLNÄS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28270-2026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46196</v>
      </c>
      <c r="E1904" s="1" t="n">
        <v>46250</v>
      </c>
      <c r="F1904" t="inlineStr">
        <is>
          <t>GÄVLEBORGS LÄN</t>
        </is>
      </c>
      <c r="G1904" t="inlineStr">
        <is>
          <t>BOLLNÄS</t>
        </is>
      </c>
      <c r="I1904" t="n">
        <v>2.4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28497-2026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46197</v>
      </c>
      <c r="E1905" s="1" t="n">
        <v>46250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32463-2026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46239</v>
      </c>
      <c r="E1906" s="1" t="n">
        <v>46250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32478-2026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46239</v>
      </c>
      <c r="E1907" s="1" t="n">
        <v>46250</v>
      </c>
      <c r="F1907" t="inlineStr">
        <is>
          <t>GÄVLEBORGS LÄN</t>
        </is>
      </c>
      <c r="G1907" t="inlineStr">
        <is>
          <t>BOLLNÄS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16627-2025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45754</v>
      </c>
      <c r="E1908" s="1" t="n">
        <v>46250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28196-2026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46196</v>
      </c>
      <c r="E1909" s="1" t="n">
        <v>46250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19926-2026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46136</v>
      </c>
      <c r="E1910" s="1" t="n">
        <v>46250</v>
      </c>
      <c r="F1910" t="inlineStr">
        <is>
          <t>GÄVLEBORGS LÄN</t>
        </is>
      </c>
      <c r="G1910" t="inlineStr">
        <is>
          <t>BOLLNÄS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32898-2026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46244</v>
      </c>
      <c r="E1911" s="1" t="n">
        <v>46250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32968-2026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46244</v>
      </c>
      <c r="E1912" s="1" t="n">
        <v>46250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3.8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32908-2026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46244</v>
      </c>
      <c r="E1913" s="1" t="n">
        <v>46250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10.5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36228-2025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45867</v>
      </c>
      <c r="E1914" s="1" t="n">
        <v>46250</v>
      </c>
      <c r="F1914" t="inlineStr">
        <is>
          <t>GÄVLEBORGS LÄN</t>
        </is>
      </c>
      <c r="G1914" t="inlineStr">
        <is>
          <t>BOLLNÄS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36234-2025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45867</v>
      </c>
      <c r="E1915" s="1" t="n">
        <v>46250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36265-2025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45867</v>
      </c>
      <c r="E1916" s="1" t="n">
        <v>46250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32704-2026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46241</v>
      </c>
      <c r="E1917" s="1" t="n">
        <v>46250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29037-2026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46199</v>
      </c>
      <c r="E1918" s="1" t="n">
        <v>46250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36482-2025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45869</v>
      </c>
      <c r="E1919" s="1" t="n">
        <v>46250</v>
      </c>
      <c r="F1919" t="inlineStr">
        <is>
          <t>GÄVLEBORGS LÄN</t>
        </is>
      </c>
      <c r="G1919" t="inlineStr">
        <is>
          <t>BOLLNÄS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19418-2026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46133</v>
      </c>
      <c r="E1920" s="1" t="n">
        <v>46250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28943-2026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46199</v>
      </c>
      <c r="E1921" s="1" t="n">
        <v>46250</v>
      </c>
      <c r="F1921" t="inlineStr">
        <is>
          <t>GÄVLEBORGS LÄN</t>
        </is>
      </c>
      <c r="G1921" t="inlineStr">
        <is>
          <t>BOLLNÄS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36957-2025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45874</v>
      </c>
      <c r="E1922" s="1" t="n">
        <v>46250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7.2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28828-2026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46198</v>
      </c>
      <c r="E1923" s="1" t="n">
        <v>46250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19408-2026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46133</v>
      </c>
      <c r="E1924" s="1" t="n">
        <v>46250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23885-2026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46167</v>
      </c>
      <c r="E1925" s="1" t="n">
        <v>46250</v>
      </c>
      <c r="F1925" t="inlineStr">
        <is>
          <t>GÄVLEBORGS LÄN</t>
        </is>
      </c>
      <c r="G1925" t="inlineStr">
        <is>
          <t>BOLLNÄS</t>
        </is>
      </c>
      <c r="I1925" t="n">
        <v>16.3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29150-2026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46250</v>
      </c>
      <c r="F1926" t="inlineStr">
        <is>
          <t>GÄVLEBORGS LÄN</t>
        </is>
      </c>
      <c r="G1926" t="inlineStr">
        <is>
          <t>BOLLNÄS</t>
        </is>
      </c>
      <c r="I1926" t="n">
        <v>3.9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29187-2026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46202</v>
      </c>
      <c r="E1927" s="1" t="n">
        <v>46250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29154-2026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46202</v>
      </c>
      <c r="E1928" s="1" t="n">
        <v>46250</v>
      </c>
      <c r="F1928" t="inlineStr">
        <is>
          <t>GÄVLEBORGS LÄN</t>
        </is>
      </c>
      <c r="G1928" t="inlineStr">
        <is>
          <t>BOLLNÄS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29457-2026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46250</v>
      </c>
      <c r="F1929" t="inlineStr">
        <is>
          <t>GÄVLEBORGS LÄN</t>
        </is>
      </c>
      <c r="G1929" t="inlineStr">
        <is>
          <t>BOLLNÄS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54961-2025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45967</v>
      </c>
      <c r="E1930" s="1" t="n">
        <v>46250</v>
      </c>
      <c r="F1930" t="inlineStr">
        <is>
          <t>GÄVLEBORGS LÄN</t>
        </is>
      </c>
      <c r="G1930" t="inlineStr">
        <is>
          <t>BOLLNÄS</t>
        </is>
      </c>
      <c r="I1930" t="n">
        <v>9.1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29445-2026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46250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29447-2026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46203</v>
      </c>
      <c r="E1932" s="1" t="n">
        <v>46250</v>
      </c>
      <c r="F1932" t="inlineStr">
        <is>
          <t>GÄVLEBORGS LÄN</t>
        </is>
      </c>
      <c r="G1932" t="inlineStr">
        <is>
          <t>BOLLNÄS</t>
        </is>
      </c>
      <c r="I1932" t="n">
        <v>2.1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30275-2026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46206</v>
      </c>
      <c r="E1933" s="1" t="n">
        <v>46250</v>
      </c>
      <c r="F1933" t="inlineStr">
        <is>
          <t>GÄVLEBORGS LÄN</t>
        </is>
      </c>
      <c r="G1933" t="inlineStr">
        <is>
          <t>BOLLNÄS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33589-2026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46248</v>
      </c>
      <c r="E1934" s="1" t="n">
        <v>46250</v>
      </c>
      <c r="F1934" t="inlineStr">
        <is>
          <t>GÄVLEBORGS LÄN</t>
        </is>
      </c>
      <c r="G1934" t="inlineStr">
        <is>
          <t>BOLLNÄS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29653-2026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46204</v>
      </c>
      <c r="E1935" s="1" t="n">
        <v>46250</v>
      </c>
      <c r="F1935" t="inlineStr">
        <is>
          <t>GÄVLEBORGS LÄN</t>
        </is>
      </c>
      <c r="G1935" t="inlineStr">
        <is>
          <t>BOLLNÄS</t>
        </is>
      </c>
      <c r="I1935" t="n">
        <v>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30298-2026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46206</v>
      </c>
      <c r="E1936" s="1" t="n">
        <v>46250</v>
      </c>
      <c r="F1936" t="inlineStr">
        <is>
          <t>GÄVLEBORGS LÄN</t>
        </is>
      </c>
      <c r="G1936" t="inlineStr">
        <is>
          <t>BOLLNÄS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30043-2026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46206</v>
      </c>
      <c r="E1937" s="1" t="n">
        <v>46250</v>
      </c>
      <c r="F1937" t="inlineStr">
        <is>
          <t>GÄVLEBORGS LÄN</t>
        </is>
      </c>
      <c r="G1937" t="inlineStr">
        <is>
          <t>BOLLNÄS</t>
        </is>
      </c>
      <c r="I1937" t="n">
        <v>6.3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33588-2026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46248</v>
      </c>
      <c r="E1938" s="1" t="n">
        <v>46250</v>
      </c>
      <c r="F1938" t="inlineStr">
        <is>
          <t>GÄVLEBORGS LÄN</t>
        </is>
      </c>
      <c r="G1938" t="inlineStr">
        <is>
          <t>BOLLNÄS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30131-2026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46206</v>
      </c>
      <c r="E1939" s="1" t="n">
        <v>46250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30136-2026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46206</v>
      </c>
      <c r="E1940" s="1" t="n">
        <v>46250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30139-2026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46206</v>
      </c>
      <c r="E1941" s="1" t="n">
        <v>46250</v>
      </c>
      <c r="F1941" t="inlineStr">
        <is>
          <t>GÄVLEBORGS LÄN</t>
        </is>
      </c>
      <c r="G1941" t="inlineStr">
        <is>
          <t>BOLLNÄS</t>
        </is>
      </c>
      <c r="I1941" t="n">
        <v>3.8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29632-2026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46204</v>
      </c>
      <c r="E1942" s="1" t="n">
        <v>46250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29633-2026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46204</v>
      </c>
      <c r="E1943" s="1" t="n">
        <v>46250</v>
      </c>
      <c r="F1943" t="inlineStr">
        <is>
          <t>GÄVLEBORGS LÄN</t>
        </is>
      </c>
      <c r="G1943" t="inlineStr">
        <is>
          <t>BOLLNÄS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29989-2026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46205</v>
      </c>
      <c r="E1944" s="1" t="n">
        <v>46250</v>
      </c>
      <c r="F1944" t="inlineStr">
        <is>
          <t>GÄVLEBORGS LÄN</t>
        </is>
      </c>
      <c r="G1944" t="inlineStr">
        <is>
          <t>BOLLNÄS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29567-2026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46250</v>
      </c>
      <c r="F1945" t="inlineStr">
        <is>
          <t>GÄVLEBORGS LÄN</t>
        </is>
      </c>
      <c r="G1945" t="inlineStr">
        <is>
          <t>BOLLNÄS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29607-2026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46204</v>
      </c>
      <c r="E1946" s="1" t="n">
        <v>46250</v>
      </c>
      <c r="F1946" t="inlineStr">
        <is>
          <t>GÄVLEBORGS LÄN</t>
        </is>
      </c>
      <c r="G1946" t="inlineStr">
        <is>
          <t>BOLLNÄS</t>
        </is>
      </c>
      <c r="I1946" t="n">
        <v>7.6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29652-2026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46204</v>
      </c>
      <c r="E1947" s="1" t="n">
        <v>46250</v>
      </c>
      <c r="F1947" t="inlineStr">
        <is>
          <t>GÄVLEBORGS LÄN</t>
        </is>
      </c>
      <c r="G1947" t="inlineStr">
        <is>
          <t>BOLLNÄS</t>
        </is>
      </c>
      <c r="I1947" t="n">
        <v>10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30282-2026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46206</v>
      </c>
      <c r="E1948" s="1" t="n">
        <v>46250</v>
      </c>
      <c r="F1948" t="inlineStr">
        <is>
          <t>GÄVLEBORGS LÄN</t>
        </is>
      </c>
      <c r="G1948" t="inlineStr">
        <is>
          <t>BOLLNÄS</t>
        </is>
      </c>
      <c r="I1948" t="n">
        <v>4.8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29691-2026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46204</v>
      </c>
      <c r="E1949" s="1" t="n">
        <v>46250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30300-2026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46206</v>
      </c>
      <c r="E1950" s="1" t="n">
        <v>46250</v>
      </c>
      <c r="F1950" t="inlineStr">
        <is>
          <t>GÄVLEBORGS LÄN</t>
        </is>
      </c>
      <c r="G1950" t="inlineStr">
        <is>
          <t>BOLLNÄS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29700-2026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46204</v>
      </c>
      <c r="E1951" s="1" t="n">
        <v>46250</v>
      </c>
      <c r="F1951" t="inlineStr">
        <is>
          <t>GÄVLEBORGS LÄN</t>
        </is>
      </c>
      <c r="G1951" t="inlineStr">
        <is>
          <t>BOLLNÄS</t>
        </is>
      </c>
      <c r="I1951" t="n">
        <v>5.9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30305-2026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46206</v>
      </c>
      <c r="E1952" s="1" t="n">
        <v>46250</v>
      </c>
      <c r="F1952" t="inlineStr">
        <is>
          <t>GÄVLEBORGS LÄN</t>
        </is>
      </c>
      <c r="G1952" t="inlineStr">
        <is>
          <t>BOLLNÄS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29696-2026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46204</v>
      </c>
      <c r="E1953" s="1" t="n">
        <v>46250</v>
      </c>
      <c r="F1953" t="inlineStr">
        <is>
          <t>GÄVLEBORGS LÄN</t>
        </is>
      </c>
      <c r="G1953" t="inlineStr">
        <is>
          <t>BOLLNÄS</t>
        </is>
      </c>
      <c r="I1953" t="n">
        <v>5.3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29635-2026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46204</v>
      </c>
      <c r="E1954" s="1" t="n">
        <v>46250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30274-2026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46206</v>
      </c>
      <c r="E1955" s="1" t="n">
        <v>46250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30050-2026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46206</v>
      </c>
      <c r="E1956" s="1" t="n">
        <v>46250</v>
      </c>
      <c r="F1956" t="inlineStr">
        <is>
          <t>GÄVLEBORGS LÄN</t>
        </is>
      </c>
      <c r="G1956" t="inlineStr">
        <is>
          <t>BOLLNÄS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19767-2026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46135</v>
      </c>
      <c r="E1957" s="1" t="n">
        <v>46250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4.4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33390-2026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46247</v>
      </c>
      <c r="E1958" s="1" t="n">
        <v>46250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29617-2026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46250</v>
      </c>
      <c r="F1959" t="inlineStr">
        <is>
          <t>GÄVLEBORGS LÄN</t>
        </is>
      </c>
      <c r="G1959" t="inlineStr">
        <is>
          <t>BOLLNÄS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29629-2026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46204</v>
      </c>
      <c r="E1960" s="1" t="n">
        <v>46250</v>
      </c>
      <c r="F1960" t="inlineStr">
        <is>
          <t>GÄVLEBORGS LÄN</t>
        </is>
      </c>
      <c r="G1960" t="inlineStr">
        <is>
          <t>BOLLNÄS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30052-2026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46206</v>
      </c>
      <c r="E1961" s="1" t="n">
        <v>46250</v>
      </c>
      <c r="F1961" t="inlineStr">
        <is>
          <t>GÄVLEBORGS LÄN</t>
        </is>
      </c>
      <c r="G1961" t="inlineStr">
        <is>
          <t>BOLLNÄS</t>
        </is>
      </c>
      <c r="I1961" t="n">
        <v>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29697-2026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46204</v>
      </c>
      <c r="E1962" s="1" t="n">
        <v>46250</v>
      </c>
      <c r="F1962" t="inlineStr">
        <is>
          <t>GÄVLEBORGS LÄN</t>
        </is>
      </c>
      <c r="G1962" t="inlineStr">
        <is>
          <t>BOLLNÄS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29857-2026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46205</v>
      </c>
      <c r="E1963" s="1" t="n">
        <v>46250</v>
      </c>
      <c r="F1963" t="inlineStr">
        <is>
          <t>GÄVLEBORGS LÄN</t>
        </is>
      </c>
      <c r="G1963" t="inlineStr">
        <is>
          <t>BOLLNÄS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30273-2026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46206</v>
      </c>
      <c r="E1964" s="1" t="n">
        <v>46250</v>
      </c>
      <c r="F1964" t="inlineStr">
        <is>
          <t>GÄVLEBORGS LÄN</t>
        </is>
      </c>
      <c r="G1964" t="inlineStr">
        <is>
          <t>BOLLNÄS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30278-2026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46206</v>
      </c>
      <c r="E1965" s="1" t="n">
        <v>46250</v>
      </c>
      <c r="F1965" t="inlineStr">
        <is>
          <t>GÄVLEBORGS LÄN</t>
        </is>
      </c>
      <c r="G1965" t="inlineStr">
        <is>
          <t>BOLLNÄS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10329-2021</t>
        </is>
      </c>
      <c r="B1966" t="inlineStr">
        <is>
          <t>samrådsanmälan</t>
        </is>
      </c>
      <c r="C1966" t="inlineStr">
        <is>
          <t>Skogsgödsling</t>
        </is>
      </c>
      <c r="D1966" s="1" t="n">
        <v>44546</v>
      </c>
      <c r="E1966" s="1" t="n">
        <v>46250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188.9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188-2022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44566</v>
      </c>
      <c r="E1967" s="1" t="n">
        <v>46250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17.9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180-2022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44566</v>
      </c>
      <c r="E1968" s="1" t="n">
        <v>46250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60.4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560-2022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44589</v>
      </c>
      <c r="E1969" s="1" t="n">
        <v>46250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56.9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4000-2023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45237</v>
      </c>
      <c r="E1970" s="1" t="n">
        <v>46250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Holmen skog AB</t>
        </is>
      </c>
      <c r="I1970" t="n">
        <v>16.2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972-2023</t>
        </is>
      </c>
      <c r="B1971" t="inlineStr">
        <is>
          <t>samrådsanmälan</t>
        </is>
      </c>
      <c r="C1971" t="inlineStr">
        <is>
          <t>Annan skogsbruksåtgärd</t>
        </is>
      </c>
      <c r="D1971" s="1" t="n">
        <v>45005</v>
      </c>
      <c r="E1971" s="1" t="n">
        <v>46250</v>
      </c>
      <c r="F1971" t="inlineStr">
        <is>
          <t>GÄVLEBORGS LÄN</t>
        </is>
      </c>
      <c r="G1971" t="inlineStr">
        <is>
          <t>BOLLNÄS</t>
        </is>
      </c>
      <c r="I1971" t="n">
        <v>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392-2025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45695</v>
      </c>
      <c r="E1972" s="1" t="n">
        <v>46250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öst AB</t>
        </is>
      </c>
      <c r="I1972" t="n">
        <v>32.2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5000-2024</t>
        </is>
      </c>
      <c r="B1973" t="inlineStr">
        <is>
          <t>samrådsanmälan</t>
        </is>
      </c>
      <c r="C1973" t="inlineStr">
        <is>
          <t>Annan skogsbruksåtgärd</t>
        </is>
      </c>
      <c r="D1973" s="1" t="n">
        <v>45631</v>
      </c>
      <c r="E1973" s="1" t="n">
        <v>46250</v>
      </c>
      <c r="F1973" t="inlineStr">
        <is>
          <t>GÄVLEBORGS LÄN</t>
        </is>
      </c>
      <c r="G1973" t="inlineStr">
        <is>
          <t>BOLLNÄS</t>
        </is>
      </c>
      <c r="I1973" t="n">
        <v>3.7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400-2025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45699</v>
      </c>
      <c r="E1974" s="1" t="n">
        <v>46250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öst AB</t>
        </is>
      </c>
      <c r="I1974" t="n">
        <v>32.2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1092-2024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45391</v>
      </c>
      <c r="E1975" s="1" t="n">
        <v>46250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523.4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586-2024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45351</v>
      </c>
      <c r="E1976" s="1" t="n">
        <v>46250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205.2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1359-2025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45775</v>
      </c>
      <c r="E1977" s="1" t="n">
        <v>46250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1309-2025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45770</v>
      </c>
      <c r="E1978" s="1" t="n">
        <v>46250</v>
      </c>
      <c r="F1978" t="inlineStr">
        <is>
          <t>GÄVLEBORGS LÄN</t>
        </is>
      </c>
      <c r="G1978" t="inlineStr">
        <is>
          <t>BOLLNÄS</t>
        </is>
      </c>
      <c r="I1978" t="n">
        <v>31.8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1894-2025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45825</v>
      </c>
      <c r="E1979" s="1" t="n">
        <v>46250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10.7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1074-2024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45387</v>
      </c>
      <c r="E1980" s="1" t="n">
        <v>46250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245.9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424-2026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46070</v>
      </c>
      <c r="E1981" s="1" t="n">
        <v>46250</v>
      </c>
      <c r="F1981" t="inlineStr">
        <is>
          <t>GÄVLEBORGS LÄN</t>
        </is>
      </c>
      <c r="G1981" t="inlineStr">
        <is>
          <t>BOLLNÄS</t>
        </is>
      </c>
      <c r="I1981" t="n">
        <v>33.3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479-2026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46072</v>
      </c>
      <c r="E1982" s="1" t="n">
        <v>46250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672-2026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46090</v>
      </c>
      <c r="E1983" s="1" t="n">
        <v>46250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1042-2026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46125</v>
      </c>
      <c r="E1984" s="1" t="n">
        <v>46250</v>
      </c>
      <c r="F1984" t="inlineStr">
        <is>
          <t>GÄVLEBORGS LÄN</t>
        </is>
      </c>
      <c r="G1984" t="inlineStr">
        <is>
          <t>BOLLNÄS</t>
        </is>
      </c>
      <c r="I1984" t="n">
        <v>7.8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1559-2026</t>
        </is>
      </c>
      <c r="B1985" t="inlineStr">
        <is>
          <t>samrådsanmälan</t>
        </is>
      </c>
      <c r="C1985" t="inlineStr">
        <is>
          <t>Stubbskörd</t>
        </is>
      </c>
      <c r="D1985" s="1" t="n">
        <v>46168</v>
      </c>
      <c r="E1985" s="1" t="n">
        <v>46250</v>
      </c>
      <c r="F1985" t="inlineStr">
        <is>
          <t>GÄVLEBORGS LÄN</t>
        </is>
      </c>
      <c r="G1985" t="inlineStr">
        <is>
          <t>BOLLNÄS</t>
        </is>
      </c>
      <c r="I1985" t="n">
        <v>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>
      <c r="A1986" t="inlineStr">
        <is>
          <t>S 1599-2026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46174</v>
      </c>
      <c r="E1986" s="1" t="n">
        <v>46250</v>
      </c>
      <c r="F1986" t="inlineStr">
        <is>
          <t>GÄVLEBORGS LÄN</t>
        </is>
      </c>
      <c r="G1986" t="inlineStr">
        <is>
          <t>BOLLNÄS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2026-08-16T01:46:51Z</dcterms:created>
  <dcterms:modified xmlns:dcterms="http://purl.org/dc/terms/" xmlns:xsi="http://www.w3.org/2001/XMLSchema-instance" xsi:type="dcterms:W3CDTF">2026-08-16T01:46:53Z</dcterms:modified>
</cp:coreProperties>
</file>