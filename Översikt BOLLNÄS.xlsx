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46184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31312-2025</t>
        </is>
      </c>
      <c r="B3" s="1" t="n">
        <v>45833</v>
      </c>
      <c r="C3" s="1" t="n">
        <v>46184</v>
      </c>
      <c r="D3" t="inlineStr">
        <is>
          <t>GÄVLEBORGS LÄN</t>
        </is>
      </c>
      <c r="E3" t="inlineStr">
        <is>
          <t>BOLLNÄS</t>
        </is>
      </c>
      <c r="G3" t="n">
        <v>7.7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Fransfladdermus
Nordfladdermus
Mustaschfladdermus
Vattenfladdermus</t>
        </is>
      </c>
      <c r="S3">
        <f>HYPERLINK("https://klasma.github.io/Logging_2183/artfynd/A 31312-2025 artfynd.xlsx", "A 31312-2025")</f>
        <v/>
      </c>
      <c r="T3">
        <f>HYPERLINK("https://klasma.github.io/Logging_2183/kartor/A 31312-2025 karta.png", "A 31312-2025")</f>
        <v/>
      </c>
      <c r="V3">
        <f>HYPERLINK("https://klasma.github.io/Logging_2183/klagomål/A 31312-2025 FSC-klagomål.docx", "A 31312-2025")</f>
        <v/>
      </c>
      <c r="W3">
        <f>HYPERLINK("https://klasma.github.io/Logging_2183/klagomålsmail/A 31312-2025 FSC-klagomål mail.docx", "A 31312-2025")</f>
        <v/>
      </c>
      <c r="X3">
        <f>HYPERLINK("https://klasma.github.io/Logging_2183/tillsyn/A 31312-2025 tillsynsbegäran.docx", "A 31312-2025")</f>
        <v/>
      </c>
      <c r="Y3">
        <f>HYPERLINK("https://klasma.github.io/Logging_2183/tillsynsmail/A 31312-2025 tillsynsbegäran mail.docx", "A 31312-2025")</f>
        <v/>
      </c>
    </row>
    <row r="4" ht="15" customHeight="1">
      <c r="A4" t="inlineStr">
        <is>
          <t>A 25524-2026</t>
        </is>
      </c>
      <c r="B4" s="1" t="n">
        <v>46177.52336805555</v>
      </c>
      <c r="C4" s="1" t="n">
        <v>46184</v>
      </c>
      <c r="D4" t="inlineStr">
        <is>
          <t>GÄVLEBORGS LÄN</t>
        </is>
      </c>
      <c r="E4" t="inlineStr">
        <is>
          <t>BOLLNÄS</t>
        </is>
      </c>
      <c r="G4" t="n">
        <v>5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Tretåig hackspett
Spindelblomster
Lavskrika
Fläcknycklar</t>
        </is>
      </c>
      <c r="S4">
        <f>HYPERLINK("https://klasma.github.io/Logging_2183/artfynd/A 25524-2026 artfynd.xlsx", "A 25524-2026")</f>
        <v/>
      </c>
      <c r="T4">
        <f>HYPERLINK("https://klasma.github.io/Logging_2183/kartor/A 25524-2026 karta.png", "A 25524-2026")</f>
        <v/>
      </c>
      <c r="U4">
        <f>HYPERLINK("https://klasma.github.io/Logging_2183/knärot/A 25524-2026 karta knärot.png", "A 25524-2026")</f>
        <v/>
      </c>
      <c r="V4">
        <f>HYPERLINK("https://klasma.github.io/Logging_2183/klagomål/A 25524-2026 FSC-klagomål.docx", "A 25524-2026")</f>
        <v/>
      </c>
      <c r="W4">
        <f>HYPERLINK("https://klasma.github.io/Logging_2183/klagomålsmail/A 25524-2026 FSC-klagomål mail.docx", "A 25524-2026")</f>
        <v/>
      </c>
      <c r="X4">
        <f>HYPERLINK("https://klasma.github.io/Logging_2183/tillsyn/A 25524-2026 tillsynsbegäran.docx", "A 25524-2026")</f>
        <v/>
      </c>
      <c r="Y4">
        <f>HYPERLINK("https://klasma.github.io/Logging_2183/tillsynsmail/A 25524-2026 tillsynsbegäran mail.docx", "A 25524-2026")</f>
        <v/>
      </c>
      <c r="Z4">
        <f>HYPERLINK("https://klasma.github.io/Logging_2183/fåglar/A 25524-2026 prioriterade fågelarter.docx", "A 25524-2026")</f>
        <v/>
      </c>
    </row>
    <row r="5" ht="15" customHeight="1">
      <c r="A5" t="inlineStr">
        <is>
          <t>A 18632-2026</t>
        </is>
      </c>
      <c r="B5" s="1" t="n">
        <v>46128.25271990741</v>
      </c>
      <c r="C5" s="1" t="n">
        <v>46184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46184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20244-2026</t>
        </is>
      </c>
      <c r="B7" s="1" t="n">
        <v>46139.47620370371</v>
      </c>
      <c r="C7" s="1" t="n">
        <v>46184</v>
      </c>
      <c r="D7" t="inlineStr">
        <is>
          <t>GÄVLEBORGS LÄN</t>
        </is>
      </c>
      <c r="E7" t="inlineStr">
        <is>
          <t>BOLLNÄS</t>
        </is>
      </c>
      <c r="G7" t="n">
        <v>43.3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Grönkulla
Nattviol
Blåsippa</t>
        </is>
      </c>
      <c r="S7">
        <f>HYPERLINK("https://klasma.github.io/Logging_2183/artfynd/A 20244-2026 artfynd.xlsx", "A 20244-2026")</f>
        <v/>
      </c>
      <c r="T7">
        <f>HYPERLINK("https://klasma.github.io/Logging_2183/kartor/A 20244-2026 karta.png", "A 20244-2026")</f>
        <v/>
      </c>
      <c r="V7">
        <f>HYPERLINK("https://klasma.github.io/Logging_2183/klagomål/A 20244-2026 FSC-klagomål.docx", "A 20244-2026")</f>
        <v/>
      </c>
      <c r="W7">
        <f>HYPERLINK("https://klasma.github.io/Logging_2183/klagomålsmail/A 20244-2026 FSC-klagomål mail.docx", "A 20244-2026")</f>
        <v/>
      </c>
      <c r="X7">
        <f>HYPERLINK("https://klasma.github.io/Logging_2183/tillsyn/A 20244-2026 tillsynsbegäran.docx", "A 20244-2026")</f>
        <v/>
      </c>
      <c r="Y7">
        <f>HYPERLINK("https://klasma.github.io/Logging_2183/tillsynsmail/A 20244-2026 tillsynsbegäran mail.docx", "A 20244-2026")</f>
        <v/>
      </c>
    </row>
    <row r="8" ht="15" customHeight="1">
      <c r="A8" t="inlineStr">
        <is>
          <t>A 53203-2025</t>
        </is>
      </c>
      <c r="B8" s="1" t="n">
        <v>45958.57847222222</v>
      </c>
      <c r="C8" s="1" t="n">
        <v>46184</v>
      </c>
      <c r="D8" t="inlineStr">
        <is>
          <t>GÄVLEBORGS LÄN</t>
        </is>
      </c>
      <c r="E8" t="inlineStr">
        <is>
          <t>BOLLNÄS</t>
        </is>
      </c>
      <c r="G8" t="n">
        <v>4.3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Rosenfink
Mindre flugsnappare</t>
        </is>
      </c>
      <c r="S8">
        <f>HYPERLINK("https://klasma.github.io/Logging_2183/artfynd/A 53203-2025 artfynd.xlsx", "A 53203-2025")</f>
        <v/>
      </c>
      <c r="T8">
        <f>HYPERLINK("https://klasma.github.io/Logging_2183/kartor/A 53203-2025 karta.png", "A 53203-2025")</f>
        <v/>
      </c>
      <c r="V8">
        <f>HYPERLINK("https://klasma.github.io/Logging_2183/klagomål/A 53203-2025 FSC-klagomål.docx", "A 53203-2025")</f>
        <v/>
      </c>
      <c r="W8">
        <f>HYPERLINK("https://klasma.github.io/Logging_2183/klagomålsmail/A 53203-2025 FSC-klagomål mail.docx", "A 53203-2025")</f>
        <v/>
      </c>
      <c r="X8">
        <f>HYPERLINK("https://klasma.github.io/Logging_2183/tillsyn/A 53203-2025 tillsynsbegäran.docx", "A 53203-2025")</f>
        <v/>
      </c>
      <c r="Y8">
        <f>HYPERLINK("https://klasma.github.io/Logging_2183/tillsynsmail/A 53203-2025 tillsynsbegäran mail.docx", "A 53203-2025")</f>
        <v/>
      </c>
      <c r="Z8">
        <f>HYPERLINK("https://klasma.github.io/Logging_2183/fåglar/A 53203-2025 prioriterade fågelarter.docx", "A 53203-2025")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46184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46184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46184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8230-2026</t>
        </is>
      </c>
      <c r="B12" s="1" t="n">
        <v>46064</v>
      </c>
      <c r="C12" s="1" t="n">
        <v>46184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HYPERLINK("https://klasma.github.io/Logging_2183/artfynd/A 8230-2026 artfynd.xlsx", "A 8230-2026")</f>
        <v/>
      </c>
      <c r="T12">
        <f>HYPERLINK("https://klasma.github.io/Logging_2183/kartor/A 8230-2026 karta.png", "A 8230-2026")</f>
        <v/>
      </c>
      <c r="V12">
        <f>HYPERLINK("https://klasma.github.io/Logging_2183/klagomål/A 8230-2026 FSC-klagomål.docx", "A 8230-2026")</f>
        <v/>
      </c>
      <c r="W12">
        <f>HYPERLINK("https://klasma.github.io/Logging_2183/klagomålsmail/A 8230-2026 FSC-klagomål mail.docx", "A 8230-2026")</f>
        <v/>
      </c>
      <c r="X12">
        <f>HYPERLINK("https://klasma.github.io/Logging_2183/tillsyn/A 8230-2026 tillsynsbegäran.docx", "A 8230-2026")</f>
        <v/>
      </c>
      <c r="Y12">
        <f>HYPERLINK("https://klasma.github.io/Logging_2183/tillsynsmail/A 8230-2026 tillsynsbegäran mail.docx", "A 8230-2026")</f>
        <v/>
      </c>
    </row>
    <row r="13" ht="15" customHeight="1">
      <c r="A13" t="inlineStr">
        <is>
          <t>A 11946-2026</t>
        </is>
      </c>
      <c r="B13" s="1" t="n">
        <v>46085.59917824074</v>
      </c>
      <c r="C13" s="1" t="n">
        <v>46184</v>
      </c>
      <c r="D13" t="inlineStr">
        <is>
          <t>GÄVLEBORGS LÄN</t>
        </is>
      </c>
      <c r="E13" t="inlineStr">
        <is>
          <t>BOLLNÄS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Månlåsbräken
Sandviol</t>
        </is>
      </c>
      <c r="S13">
        <f>HYPERLINK("https://klasma.github.io/Logging_2183/artfynd/A 11946-2026 artfynd.xlsx", "A 11946-2026")</f>
        <v/>
      </c>
      <c r="T13">
        <f>HYPERLINK("https://klasma.github.io/Logging_2183/kartor/A 11946-2026 karta.png", "A 11946-2026")</f>
        <v/>
      </c>
      <c r="V13">
        <f>HYPERLINK("https://klasma.github.io/Logging_2183/klagomål/A 11946-2026 FSC-klagomål.docx", "A 11946-2026")</f>
        <v/>
      </c>
      <c r="W13">
        <f>HYPERLINK("https://klasma.github.io/Logging_2183/klagomålsmail/A 11946-2026 FSC-klagomål mail.docx", "A 11946-2026")</f>
        <v/>
      </c>
      <c r="X13">
        <f>HYPERLINK("https://klasma.github.io/Logging_2183/tillsyn/A 11946-2026 tillsynsbegäran.docx", "A 11946-2026")</f>
        <v/>
      </c>
      <c r="Y13">
        <f>HYPERLINK("https://klasma.github.io/Logging_2183/tillsynsmail/A 11946-2026 tillsynsbegäran mail.docx", "A 11946-2026")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46184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46184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20710-2023</t>
        </is>
      </c>
      <c r="B16" s="1" t="n">
        <v>45058</v>
      </c>
      <c r="C16" s="1" t="n">
        <v>46184</v>
      </c>
      <c r="D16" t="inlineStr">
        <is>
          <t>GÄVLEBORGS LÄN</t>
        </is>
      </c>
      <c r="E16" t="inlineStr">
        <is>
          <t>BOLLNÄS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Lavskrika</t>
        </is>
      </c>
      <c r="S16">
        <f>HYPERLINK("https://klasma.github.io/Logging_2183/artfynd/A 20710-2023 artfynd.xlsx", "A 20710-2023")</f>
        <v/>
      </c>
      <c r="T16">
        <f>HYPERLINK("https://klasma.github.io/Logging_2183/kartor/A 20710-2023 karta.png", "A 20710-2023")</f>
        <v/>
      </c>
      <c r="U16">
        <f>HYPERLINK("https://klasma.github.io/Logging_2183/knärot/A 20710-2023 karta knärot.png", "A 20710-2023")</f>
        <v/>
      </c>
      <c r="V16">
        <f>HYPERLINK("https://klasma.github.io/Logging_2183/klagomål/A 20710-2023 FSC-klagomål.docx", "A 20710-2023")</f>
        <v/>
      </c>
      <c r="W16">
        <f>HYPERLINK("https://klasma.github.io/Logging_2183/klagomålsmail/A 20710-2023 FSC-klagomål mail.docx", "A 20710-2023")</f>
        <v/>
      </c>
      <c r="X16">
        <f>HYPERLINK("https://klasma.github.io/Logging_2183/tillsyn/A 20710-2023 tillsynsbegäran.docx", "A 20710-2023")</f>
        <v/>
      </c>
      <c r="Y16">
        <f>HYPERLINK("https://klasma.github.io/Logging_2183/tillsynsmail/A 20710-2023 tillsynsbegäran mail.docx", "A 20710-2023")</f>
        <v/>
      </c>
      <c r="Z16">
        <f>HYPERLINK("https://klasma.github.io/Logging_2183/fåglar/A 20710-2023 prioriterade fågelarter.docx", "A 20710-2023")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46184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54083-2022</t>
        </is>
      </c>
      <c r="B18" s="1" t="n">
        <v>44881</v>
      </c>
      <c r="C18" s="1" t="n">
        <v>46184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HYPERLINK("https://klasma.github.io/Logging_2183/artfynd/A 54083-2022 artfynd.xlsx", "A 54083-2022")</f>
        <v/>
      </c>
      <c r="T18">
        <f>HYPERLINK("https://klasma.github.io/Logging_2183/kartor/A 54083-2022 karta.png", "A 54083-2022")</f>
        <v/>
      </c>
      <c r="V18">
        <f>HYPERLINK("https://klasma.github.io/Logging_2183/klagomål/A 54083-2022 FSC-klagomål.docx", "A 54083-2022")</f>
        <v/>
      </c>
      <c r="W18">
        <f>HYPERLINK("https://klasma.github.io/Logging_2183/klagomålsmail/A 54083-2022 FSC-klagomål mail.docx", "A 54083-2022")</f>
        <v/>
      </c>
      <c r="X18">
        <f>HYPERLINK("https://klasma.github.io/Logging_2183/tillsyn/A 54083-2022 tillsynsbegäran.docx", "A 54083-2022")</f>
        <v/>
      </c>
      <c r="Y18">
        <f>HYPERLINK("https://klasma.github.io/Logging_2183/tillsynsmail/A 54083-2022 tillsynsbegäran mail.docx", "A 54083-2022")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46184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46997-2025</t>
        </is>
      </c>
      <c r="B20" s="1" t="n">
        <v>45929.54833333333</v>
      </c>
      <c r="C20" s="1" t="n">
        <v>46184</v>
      </c>
      <c r="D20" t="inlineStr">
        <is>
          <t>GÄVLEBORGS LÄN</t>
        </is>
      </c>
      <c r="E20" t="inlineStr">
        <is>
          <t>BOLLNÄS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HYPERLINK("https://klasma.github.io/Logging_2183/artfynd/A 46997-2025 artfynd.xlsx", "A 46997-2025")</f>
        <v/>
      </c>
      <c r="T20">
        <f>HYPERLINK("https://klasma.github.io/Logging_2183/kartor/A 46997-2025 karta.png", "A 46997-2025")</f>
        <v/>
      </c>
      <c r="V20">
        <f>HYPERLINK("https://klasma.github.io/Logging_2183/klagomål/A 46997-2025 FSC-klagomål.docx", "A 46997-2025")</f>
        <v/>
      </c>
      <c r="W20">
        <f>HYPERLINK("https://klasma.github.io/Logging_2183/klagomålsmail/A 46997-2025 FSC-klagomål mail.docx", "A 46997-2025")</f>
        <v/>
      </c>
      <c r="X20">
        <f>HYPERLINK("https://klasma.github.io/Logging_2183/tillsyn/A 46997-2025 tillsynsbegäran.docx", "A 46997-2025")</f>
        <v/>
      </c>
      <c r="Y20">
        <f>HYPERLINK("https://klasma.github.io/Logging_2183/tillsynsmail/A 46997-2025 tillsynsbegäran mail.docx", "A 46997-2025")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46184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5130-2026</t>
        </is>
      </c>
      <c r="B22" s="1" t="n">
        <v>46049</v>
      </c>
      <c r="C22" s="1" t="n">
        <v>46184</v>
      </c>
      <c r="D22" t="inlineStr">
        <is>
          <t>GÄVLEBORGS LÄN</t>
        </is>
      </c>
      <c r="E22" t="inlineStr">
        <is>
          <t>BOLLNÄS</t>
        </is>
      </c>
      <c r="G22" t="n">
        <v>8.4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HYPERLINK("https://klasma.github.io/Logging_2183/artfynd/A 5130-2026 artfynd.xlsx", "A 5130-2026")</f>
        <v/>
      </c>
      <c r="T22">
        <f>HYPERLINK("https://klasma.github.io/Logging_2183/kartor/A 5130-2026 karta.png", "A 5130-2026")</f>
        <v/>
      </c>
      <c r="V22">
        <f>HYPERLINK("https://klasma.github.io/Logging_2183/klagomål/A 5130-2026 FSC-klagomål.docx", "A 5130-2026")</f>
        <v/>
      </c>
      <c r="W22">
        <f>HYPERLINK("https://klasma.github.io/Logging_2183/klagomålsmail/A 5130-2026 FSC-klagomål mail.docx", "A 5130-2026")</f>
        <v/>
      </c>
      <c r="X22">
        <f>HYPERLINK("https://klasma.github.io/Logging_2183/tillsyn/A 5130-2026 tillsynsbegäran.docx", "A 5130-2026")</f>
        <v/>
      </c>
      <c r="Y22">
        <f>HYPERLINK("https://klasma.github.io/Logging_2183/tillsynsmail/A 5130-2026 tillsynsbegäran mail.docx", "A 5130-2026")</f>
        <v/>
      </c>
    </row>
    <row r="23" ht="15" customHeight="1">
      <c r="A23" t="inlineStr">
        <is>
          <t>A 6286-2026</t>
        </is>
      </c>
      <c r="B23" s="1" t="n">
        <v>46055</v>
      </c>
      <c r="C23" s="1" t="n">
        <v>46184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HYPERLINK("https://klasma.github.io/Logging_2183/artfynd/A 6286-2026 artfynd.xlsx", "A 6286-2026")</f>
        <v/>
      </c>
      <c r="T23">
        <f>HYPERLINK("https://klasma.github.io/Logging_2183/kartor/A 6286-2026 karta.png", "A 6286-2026")</f>
        <v/>
      </c>
      <c r="V23">
        <f>HYPERLINK("https://klasma.github.io/Logging_2183/klagomål/A 6286-2026 FSC-klagomål.docx", "A 6286-2026")</f>
        <v/>
      </c>
      <c r="W23">
        <f>HYPERLINK("https://klasma.github.io/Logging_2183/klagomålsmail/A 6286-2026 FSC-klagomål mail.docx", "A 6286-2026")</f>
        <v/>
      </c>
      <c r="X23">
        <f>HYPERLINK("https://klasma.github.io/Logging_2183/tillsyn/A 6286-2026 tillsynsbegäran.docx", "A 6286-2026")</f>
        <v/>
      </c>
      <c r="Y23">
        <f>HYPERLINK("https://klasma.github.io/Logging_2183/tillsynsmail/A 6286-2026 tillsynsbegäran mail.docx", "A 6286-2026")</f>
        <v/>
      </c>
    </row>
    <row r="24" ht="15" customHeight="1">
      <c r="A24" t="inlineStr">
        <is>
          <t>A 10894-2026</t>
        </is>
      </c>
      <c r="B24" s="1" t="n">
        <v>46078.82186342592</v>
      </c>
      <c r="C24" s="1" t="n">
        <v>46184</v>
      </c>
      <c r="D24" t="inlineStr">
        <is>
          <t>GÄVLEBORGS LÄN</t>
        </is>
      </c>
      <c r="E24" t="inlineStr">
        <is>
          <t>BOLLNÄS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HYPERLINK("https://klasma.github.io/Logging_2183/artfynd/A 10894-2026 artfynd.xlsx", "A 10894-2026")</f>
        <v/>
      </c>
      <c r="T24">
        <f>HYPERLINK("https://klasma.github.io/Logging_2183/kartor/A 10894-2026 karta.png", "A 10894-2026")</f>
        <v/>
      </c>
      <c r="V24">
        <f>HYPERLINK("https://klasma.github.io/Logging_2183/klagomål/A 10894-2026 FSC-klagomål.docx", "A 10894-2026")</f>
        <v/>
      </c>
      <c r="W24">
        <f>HYPERLINK("https://klasma.github.io/Logging_2183/klagomålsmail/A 10894-2026 FSC-klagomål mail.docx", "A 10894-2026")</f>
        <v/>
      </c>
      <c r="X24">
        <f>HYPERLINK("https://klasma.github.io/Logging_2183/tillsyn/A 10894-2026 tillsynsbegäran.docx", "A 10894-2026")</f>
        <v/>
      </c>
      <c r="Y24">
        <f>HYPERLINK("https://klasma.github.io/Logging_2183/tillsynsmail/A 10894-2026 tillsynsbegäran mail.docx", "A 10894-2026")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46184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19648-2026</t>
        </is>
      </c>
      <c r="B26" s="1" t="n">
        <v>46134.5893287037</v>
      </c>
      <c r="C26" s="1" t="n">
        <v>46184</v>
      </c>
      <c r="D26" t="inlineStr">
        <is>
          <t>GÄVLEBORGS LÄN</t>
        </is>
      </c>
      <c r="E26" t="inlineStr">
        <is>
          <t>BOLLNÄS</t>
        </is>
      </c>
      <c r="G26" t="n">
        <v>3.4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HYPERLINK("https://klasma.github.io/Logging_2183/artfynd/A 19648-2026 artfynd.xlsx", "A 19648-2026")</f>
        <v/>
      </c>
      <c r="T26">
        <f>HYPERLINK("https://klasma.github.io/Logging_2183/kartor/A 19648-2026 karta.png", "A 19648-2026")</f>
        <v/>
      </c>
      <c r="V26">
        <f>HYPERLINK("https://klasma.github.io/Logging_2183/klagomål/A 19648-2026 FSC-klagomål.docx", "A 19648-2026")</f>
        <v/>
      </c>
      <c r="W26">
        <f>HYPERLINK("https://klasma.github.io/Logging_2183/klagomålsmail/A 19648-2026 FSC-klagomål mail.docx", "A 19648-2026")</f>
        <v/>
      </c>
      <c r="X26">
        <f>HYPERLINK("https://klasma.github.io/Logging_2183/tillsyn/A 19648-2026 tillsynsbegäran.docx", "A 19648-2026")</f>
        <v/>
      </c>
      <c r="Y26">
        <f>HYPERLINK("https://klasma.github.io/Logging_2183/tillsynsmail/A 19648-2026 tillsynsbegäran mail.docx", "A 19648-2026")</f>
        <v/>
      </c>
      <c r="Z26">
        <f>HYPERLINK("https://klasma.github.io/Logging_2183/fåglar/A 19648-2026 prioriterade fågelarter.docx", "A 19648-2026")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46184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46184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38529-2022</t>
        </is>
      </c>
      <c r="B29" s="1" t="n">
        <v>44813</v>
      </c>
      <c r="C29" s="1" t="n">
        <v>46184</v>
      </c>
      <c r="D29" t="inlineStr">
        <is>
          <t>GÄVLEBORGS LÄN</t>
        </is>
      </c>
      <c r="E29" t="inlineStr">
        <is>
          <t>BOLLNÄS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HYPERLINK("https://klasma.github.io/Logging_2183/artfynd/A 38529-2022 artfynd.xlsx", "A 38529-2022")</f>
        <v/>
      </c>
      <c r="T29">
        <f>HYPERLINK("https://klasma.github.io/Logging_2183/kartor/A 38529-2022 karta.png", "A 38529-2022")</f>
        <v/>
      </c>
      <c r="V29">
        <f>HYPERLINK("https://klasma.github.io/Logging_2183/klagomål/A 38529-2022 FSC-klagomål.docx", "A 38529-2022")</f>
        <v/>
      </c>
      <c r="W29">
        <f>HYPERLINK("https://klasma.github.io/Logging_2183/klagomålsmail/A 38529-2022 FSC-klagomål mail.docx", "A 38529-2022")</f>
        <v/>
      </c>
      <c r="X29">
        <f>HYPERLINK("https://klasma.github.io/Logging_2183/tillsyn/A 38529-2022 tillsynsbegäran.docx", "A 38529-2022")</f>
        <v/>
      </c>
      <c r="Y29">
        <f>HYPERLINK("https://klasma.github.io/Logging_2183/tillsynsmail/A 38529-2022 tillsynsbegäran mail.docx", "A 38529-2022")</f>
        <v/>
      </c>
    </row>
    <row r="30" ht="15" customHeight="1">
      <c r="A30" t="inlineStr">
        <is>
          <t>A 41663-2025</t>
        </is>
      </c>
      <c r="B30" s="1" t="n">
        <v>45902.35131944445</v>
      </c>
      <c r="C30" s="1" t="n">
        <v>46184</v>
      </c>
      <c r="D30" t="inlineStr">
        <is>
          <t>GÄVLEBORGS LÄN</t>
        </is>
      </c>
      <c r="E30" t="inlineStr">
        <is>
          <t>BOLLNÄS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HYPERLINK("https://klasma.github.io/Logging_2183/artfynd/A 41663-2025 artfynd.xlsx", "A 41663-2025")</f>
        <v/>
      </c>
      <c r="T30">
        <f>HYPERLINK("https://klasma.github.io/Logging_2183/kartor/A 41663-2025 karta.png", "A 41663-2025")</f>
        <v/>
      </c>
      <c r="V30">
        <f>HYPERLINK("https://klasma.github.io/Logging_2183/klagomål/A 41663-2025 FSC-klagomål.docx", "A 41663-2025")</f>
        <v/>
      </c>
      <c r="W30">
        <f>HYPERLINK("https://klasma.github.io/Logging_2183/klagomålsmail/A 41663-2025 FSC-klagomål mail.docx", "A 41663-2025")</f>
        <v/>
      </c>
      <c r="X30">
        <f>HYPERLINK("https://klasma.github.io/Logging_2183/tillsyn/A 41663-2025 tillsynsbegäran.docx", "A 41663-2025")</f>
        <v/>
      </c>
      <c r="Y30">
        <f>HYPERLINK("https://klasma.github.io/Logging_2183/tillsynsmail/A 41663-2025 tillsynsbegäran mail.docx", "A 41663-2025")</f>
        <v/>
      </c>
    </row>
    <row r="31" ht="15" customHeight="1">
      <c r="A31" t="inlineStr">
        <is>
          <t>A 16124-2026</t>
        </is>
      </c>
      <c r="B31" s="1" t="n">
        <v>46108</v>
      </c>
      <c r="C31" s="1" t="n">
        <v>46184</v>
      </c>
      <c r="D31" t="inlineStr">
        <is>
          <t>GÄVLEBORGS LÄN</t>
        </is>
      </c>
      <c r="E31" t="inlineStr">
        <is>
          <t>BOLLNÄS</t>
        </is>
      </c>
      <c r="G31" t="n">
        <v>6.6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Tallgråticka</t>
        </is>
      </c>
      <c r="S31">
        <f>HYPERLINK("https://klasma.github.io/Logging_2183/artfynd/A 16124-2026 artfynd.xlsx", "A 16124-2026")</f>
        <v/>
      </c>
      <c r="T31">
        <f>HYPERLINK("https://klasma.github.io/Logging_2183/kartor/A 16124-2026 karta.png", "A 16124-2026")</f>
        <v/>
      </c>
      <c r="V31">
        <f>HYPERLINK("https://klasma.github.io/Logging_2183/klagomål/A 16124-2026 FSC-klagomål.docx", "A 16124-2026")</f>
        <v/>
      </c>
      <c r="W31">
        <f>HYPERLINK("https://klasma.github.io/Logging_2183/klagomålsmail/A 16124-2026 FSC-klagomål mail.docx", "A 16124-2026")</f>
        <v/>
      </c>
      <c r="X31">
        <f>HYPERLINK("https://klasma.github.io/Logging_2183/tillsyn/A 16124-2026 tillsynsbegäran.docx", "A 16124-2026")</f>
        <v/>
      </c>
      <c r="Y31">
        <f>HYPERLINK("https://klasma.github.io/Logging_2183/tillsynsmail/A 16124-2026 tillsynsbegäran mail.docx", "A 16124-2026")</f>
        <v/>
      </c>
    </row>
    <row r="32" ht="15" customHeight="1">
      <c r="A32" t="inlineStr">
        <is>
          <t>A 22731-2022</t>
        </is>
      </c>
      <c r="B32" s="1" t="n">
        <v>44714.65887731482</v>
      </c>
      <c r="C32" s="1" t="n">
        <v>46184</v>
      </c>
      <c r="D32" t="inlineStr">
        <is>
          <t>GÄVLEBORGS LÄN</t>
        </is>
      </c>
      <c r="E32" t="inlineStr">
        <is>
          <t>BOLLNÄS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HYPERLINK("https://klasma.github.io/Logging_2183/artfynd/A 22731-2022 artfynd.xlsx", "A 22731-2022")</f>
        <v/>
      </c>
      <c r="T32">
        <f>HYPERLINK("https://klasma.github.io/Logging_2183/kartor/A 22731-2022 karta.png", "A 22731-2022")</f>
        <v/>
      </c>
      <c r="V32">
        <f>HYPERLINK("https://klasma.github.io/Logging_2183/klagomål/A 22731-2022 FSC-klagomål.docx", "A 22731-2022")</f>
        <v/>
      </c>
      <c r="W32">
        <f>HYPERLINK("https://klasma.github.io/Logging_2183/klagomålsmail/A 22731-2022 FSC-klagomål mail.docx", "A 22731-2022")</f>
        <v/>
      </c>
      <c r="X32">
        <f>HYPERLINK("https://klasma.github.io/Logging_2183/tillsyn/A 22731-2022 tillsynsbegäran.docx", "A 22731-2022")</f>
        <v/>
      </c>
      <c r="Y32">
        <f>HYPERLINK("https://klasma.github.io/Logging_2183/tillsynsmail/A 22731-2022 tillsynsbegäran mail.docx", "A 22731-2022")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46184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46184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46184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46184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46184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46184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46184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66121-2021</t>
        </is>
      </c>
      <c r="B40" s="1" t="n">
        <v>44517.75414351852</v>
      </c>
      <c r="C40" s="1" t="n">
        <v>46184</v>
      </c>
      <c r="D40" t="inlineStr">
        <is>
          <t>GÄVLEBORGS LÄN</t>
        </is>
      </c>
      <c r="E40" t="inlineStr">
        <is>
          <t>BOLLNÄS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66125-2021</t>
        </is>
      </c>
      <c r="B41" s="1" t="n">
        <v>44517</v>
      </c>
      <c r="C41" s="1" t="n">
        <v>46184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46184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46184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46184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9367-2022</t>
        </is>
      </c>
      <c r="B45" s="1" t="n">
        <v>44616.60581018519</v>
      </c>
      <c r="C45" s="1" t="n">
        <v>46184</v>
      </c>
      <c r="D45" t="inlineStr">
        <is>
          <t>GÄVLEBORGS LÄN</t>
        </is>
      </c>
      <c r="E45" t="inlineStr">
        <is>
          <t>BOLLNÄS</t>
        </is>
      </c>
      <c r="G45" t="n">
        <v>12.8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45841-2021</t>
        </is>
      </c>
      <c r="B46" s="1" t="n">
        <v>44441.54539351852</v>
      </c>
      <c r="C46" s="1" t="n">
        <v>46184</v>
      </c>
      <c r="D46" t="inlineStr">
        <is>
          <t>GÄVLEBORGS LÄN</t>
        </is>
      </c>
      <c r="E46" t="inlineStr">
        <is>
          <t>BOLLNÄS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32948-2022</t>
        </is>
      </c>
      <c r="B47" s="1" t="n">
        <v>44784.71929398148</v>
      </c>
      <c r="C47" s="1" t="n">
        <v>46184</v>
      </c>
      <c r="D47" t="inlineStr">
        <is>
          <t>GÄVLEBORGS LÄN</t>
        </is>
      </c>
      <c r="E47" t="inlineStr">
        <is>
          <t>BOLLNÄS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58528-2021</t>
        </is>
      </c>
      <c r="B48" s="1" t="n">
        <v>44488.65960648148</v>
      </c>
      <c r="C48" s="1" t="n">
        <v>46184</v>
      </c>
      <c r="D48" t="inlineStr">
        <is>
          <t>GÄVLEBORGS LÄN</t>
        </is>
      </c>
      <c r="E48" t="inlineStr">
        <is>
          <t>BOLLNÄS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69836-2021</t>
        </is>
      </c>
      <c r="B49" s="1" t="n">
        <v>44532</v>
      </c>
      <c r="C49" s="1" t="n">
        <v>46184</v>
      </c>
      <c r="D49" t="inlineStr">
        <is>
          <t>GÄVLEBORGS LÄN</t>
        </is>
      </c>
      <c r="E49" t="inlineStr">
        <is>
          <t>BOLLNÄS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25238-2022</t>
        </is>
      </c>
      <c r="B50" s="1" t="n">
        <v>44729</v>
      </c>
      <c r="C50" s="1" t="n">
        <v>46184</v>
      </c>
      <c r="D50" t="inlineStr">
        <is>
          <t>GÄVLEBORGS LÄN</t>
        </is>
      </c>
      <c r="E50" t="inlineStr">
        <is>
          <t>BOLLNÄS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1306-2022</t>
        </is>
      </c>
      <c r="B51" s="1" t="n">
        <v>44572</v>
      </c>
      <c r="C51" s="1" t="n">
        <v>46184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19856-2022</t>
        </is>
      </c>
      <c r="B52" s="1" t="n">
        <v>44697.25298611111</v>
      </c>
      <c r="C52" s="1" t="n">
        <v>46184</v>
      </c>
      <c r="D52" t="inlineStr">
        <is>
          <t>GÄVLEBORGS LÄN</t>
        </is>
      </c>
      <c r="E52" t="inlineStr">
        <is>
          <t>BOLLNÄS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32698-2021</t>
        </is>
      </c>
      <c r="B53" s="1" t="n">
        <v>44375.47541666667</v>
      </c>
      <c r="C53" s="1" t="n">
        <v>46184</v>
      </c>
      <c r="D53" t="inlineStr">
        <is>
          <t>GÄVLEBORGS LÄN</t>
        </is>
      </c>
      <c r="E53" t="inlineStr">
        <is>
          <t>BOLLNÄS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34939-2022</t>
        </is>
      </c>
      <c r="B54" s="1" t="n">
        <v>44796.62805555556</v>
      </c>
      <c r="C54" s="1" t="n">
        <v>46184</v>
      </c>
      <c r="D54" t="inlineStr">
        <is>
          <t>GÄVLEBORGS LÄN</t>
        </is>
      </c>
      <c r="E54" t="inlineStr">
        <is>
          <t>BOLLNÄS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50935-2021</t>
        </is>
      </c>
      <c r="B55" s="1" t="n">
        <v>44460</v>
      </c>
      <c r="C55" s="1" t="n">
        <v>46184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70914-2021</t>
        </is>
      </c>
      <c r="B56" s="1" t="n">
        <v>44538.44221064815</v>
      </c>
      <c r="C56" s="1" t="n">
        <v>46184</v>
      </c>
      <c r="D56" t="inlineStr">
        <is>
          <t>GÄVLEBORGS LÄN</t>
        </is>
      </c>
      <c r="E56" t="inlineStr">
        <is>
          <t>BOLLNÄS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7102-2022</t>
        </is>
      </c>
      <c r="B57" s="1" t="n">
        <v>44603.61780092592</v>
      </c>
      <c r="C57" s="1" t="n">
        <v>46184</v>
      </c>
      <c r="D57" t="inlineStr">
        <is>
          <t>GÄVLEBORGS LÄN</t>
        </is>
      </c>
      <c r="E57" t="inlineStr">
        <is>
          <t>BOLLNÄS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15269-2022</t>
        </is>
      </c>
      <c r="B58" s="1" t="n">
        <v>44659.36878472222</v>
      </c>
      <c r="C58" s="1" t="n">
        <v>46184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16646-2022</t>
        </is>
      </c>
      <c r="B59" s="1" t="n">
        <v>44672.65672453704</v>
      </c>
      <c r="C59" s="1" t="n">
        <v>46184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54897-2022</t>
        </is>
      </c>
      <c r="B60" s="1" t="n">
        <v>44886.37402777778</v>
      </c>
      <c r="C60" s="1" t="n">
        <v>46184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46961-2022</t>
        </is>
      </c>
      <c r="B61" s="1" t="n">
        <v>44851.94770833333</v>
      </c>
      <c r="C61" s="1" t="n">
        <v>46184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534-2022</t>
        </is>
      </c>
      <c r="B62" s="1" t="n">
        <v>44566.60619212963</v>
      </c>
      <c r="C62" s="1" t="n">
        <v>46184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54398-2022</t>
        </is>
      </c>
      <c r="B63" s="1" t="n">
        <v>44882.53259259259</v>
      </c>
      <c r="C63" s="1" t="n">
        <v>46184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54546-2022</t>
        </is>
      </c>
      <c r="B64" s="1" t="n">
        <v>44882.82246527778</v>
      </c>
      <c r="C64" s="1" t="n">
        <v>46184</v>
      </c>
      <c r="D64" t="inlineStr">
        <is>
          <t>GÄVLEBORGS LÄN</t>
        </is>
      </c>
      <c r="E64" t="inlineStr">
        <is>
          <t>BOLLNÄS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13401-2022</t>
        </is>
      </c>
      <c r="B65" s="1" t="n">
        <v>44645.52770833333</v>
      </c>
      <c r="C65" s="1" t="n">
        <v>46184</v>
      </c>
      <c r="D65" t="inlineStr">
        <is>
          <t>GÄVLEBORGS LÄN</t>
        </is>
      </c>
      <c r="E65" t="inlineStr">
        <is>
          <t>BOLLNÄS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19143-2022</t>
        </is>
      </c>
      <c r="B66" s="1" t="n">
        <v>44691.62394675926</v>
      </c>
      <c r="C66" s="1" t="n">
        <v>46184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16923-2022</t>
        </is>
      </c>
      <c r="B67" s="1" t="n">
        <v>44676.44880787037</v>
      </c>
      <c r="C67" s="1" t="n">
        <v>46184</v>
      </c>
      <c r="D67" t="inlineStr">
        <is>
          <t>GÄVLEBORGS LÄN</t>
        </is>
      </c>
      <c r="E67" t="inlineStr">
        <is>
          <t>BOLLNÄS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30615-2022</t>
        </is>
      </c>
      <c r="B68" s="1" t="n">
        <v>44763</v>
      </c>
      <c r="C68" s="1" t="n">
        <v>46184</v>
      </c>
      <c r="D68" t="inlineStr">
        <is>
          <t>GÄVLEBORGS LÄN</t>
        </is>
      </c>
      <c r="E68" t="inlineStr">
        <is>
          <t>BOLLNÄS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34462-2021</t>
        </is>
      </c>
      <c r="B69" s="1" t="n">
        <v>44381</v>
      </c>
      <c r="C69" s="1" t="n">
        <v>46184</v>
      </c>
      <c r="D69" t="inlineStr">
        <is>
          <t>GÄVLEBORGS LÄN</t>
        </is>
      </c>
      <c r="E69" t="inlineStr">
        <is>
          <t>BOLLNÄS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42325-2022</t>
        </is>
      </c>
      <c r="B70" s="1" t="n">
        <v>44831.34217592593</v>
      </c>
      <c r="C70" s="1" t="n">
        <v>46184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47723-2022</t>
        </is>
      </c>
      <c r="B71" s="1" t="n">
        <v>44854</v>
      </c>
      <c r="C71" s="1" t="n">
        <v>46184</v>
      </c>
      <c r="D71" t="inlineStr">
        <is>
          <t>GÄVLEBORGS LÄN</t>
        </is>
      </c>
      <c r="E71" t="inlineStr">
        <is>
          <t>BOLLNÄS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48547-2021</t>
        </is>
      </c>
      <c r="B72" s="1" t="n">
        <v>44452.45461805556</v>
      </c>
      <c r="C72" s="1" t="n">
        <v>46184</v>
      </c>
      <c r="D72" t="inlineStr">
        <is>
          <t>GÄVLEBORGS LÄN</t>
        </is>
      </c>
      <c r="E72" t="inlineStr">
        <is>
          <t>BOLLNÄS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48664-2022</t>
        </is>
      </c>
      <c r="B73" s="1" t="n">
        <v>44859</v>
      </c>
      <c r="C73" s="1" t="n">
        <v>46184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66120-2021</t>
        </is>
      </c>
      <c r="B74" s="1" t="n">
        <v>44517</v>
      </c>
      <c r="C74" s="1" t="n">
        <v>46184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66128-2021</t>
        </is>
      </c>
      <c r="B75" s="1" t="n">
        <v>44517</v>
      </c>
      <c r="C75" s="1" t="n">
        <v>46184</v>
      </c>
      <c r="D75" t="inlineStr">
        <is>
          <t>GÄVLEBORGS LÄN</t>
        </is>
      </c>
      <c r="E75" t="inlineStr">
        <is>
          <t>BOLLNÄS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66129-2021</t>
        </is>
      </c>
      <c r="B76" s="1" t="n">
        <v>44517</v>
      </c>
      <c r="C76" s="1" t="n">
        <v>46184</v>
      </c>
      <c r="D76" t="inlineStr">
        <is>
          <t>GÄVLEBORGS LÄN</t>
        </is>
      </c>
      <c r="E76" t="inlineStr">
        <is>
          <t>BOLLNÄS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31691-2021</t>
        </is>
      </c>
      <c r="B77" s="1" t="n">
        <v>44369.69809027778</v>
      </c>
      <c r="C77" s="1" t="n">
        <v>46184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13407-2022</t>
        </is>
      </c>
      <c r="B78" s="1" t="n">
        <v>44645.53493055556</v>
      </c>
      <c r="C78" s="1" t="n">
        <v>46184</v>
      </c>
      <c r="D78" t="inlineStr">
        <is>
          <t>GÄVLEBORGS LÄN</t>
        </is>
      </c>
      <c r="E78" t="inlineStr">
        <is>
          <t>BOLLNÄS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64633-2021</t>
        </is>
      </c>
      <c r="B79" s="1" t="n">
        <v>44511.92282407408</v>
      </c>
      <c r="C79" s="1" t="n">
        <v>46184</v>
      </c>
      <c r="D79" t="inlineStr">
        <is>
          <t>GÄVLEBORGS LÄN</t>
        </is>
      </c>
      <c r="E79" t="inlineStr">
        <is>
          <t>BOLLNÄS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56410-2021</t>
        </is>
      </c>
      <c r="B80" s="1" t="n">
        <v>44480.46203703704</v>
      </c>
      <c r="C80" s="1" t="n">
        <v>46184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31237-2022</t>
        </is>
      </c>
      <c r="B81" s="1" t="n">
        <v>44771.48913194444</v>
      </c>
      <c r="C81" s="1" t="n">
        <v>46184</v>
      </c>
      <c r="D81" t="inlineStr">
        <is>
          <t>GÄVLEBORGS LÄN</t>
        </is>
      </c>
      <c r="E81" t="inlineStr">
        <is>
          <t>BOLLNÄS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56686-2021</t>
        </is>
      </c>
      <c r="B82" s="1" t="n">
        <v>44481.36178240741</v>
      </c>
      <c r="C82" s="1" t="n">
        <v>46184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30813-2021</t>
        </is>
      </c>
      <c r="B83" s="1" t="n">
        <v>44365</v>
      </c>
      <c r="C83" s="1" t="n">
        <v>46184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48443-2021</t>
        </is>
      </c>
      <c r="B84" s="1" t="n">
        <v>44452</v>
      </c>
      <c r="C84" s="1" t="n">
        <v>46184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65030-2021</t>
        </is>
      </c>
      <c r="B85" s="1" t="n">
        <v>44515.32060185185</v>
      </c>
      <c r="C85" s="1" t="n">
        <v>46184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70473-2021</t>
        </is>
      </c>
      <c r="B86" s="1" t="n">
        <v>44536</v>
      </c>
      <c r="C86" s="1" t="n">
        <v>46184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48718-2021</t>
        </is>
      </c>
      <c r="B87" s="1" t="n">
        <v>44452</v>
      </c>
      <c r="C87" s="1" t="n">
        <v>46184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56481-2021</t>
        </is>
      </c>
      <c r="B88" s="1" t="n">
        <v>44480</v>
      </c>
      <c r="C88" s="1" t="n">
        <v>46184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57337-2021</t>
        </is>
      </c>
      <c r="B89" s="1" t="n">
        <v>44483.4696875</v>
      </c>
      <c r="C89" s="1" t="n">
        <v>46184</v>
      </c>
      <c r="D89" t="inlineStr">
        <is>
          <t>GÄVLEBORGS LÄN</t>
        </is>
      </c>
      <c r="E89" t="inlineStr">
        <is>
          <t>BOLLNÄS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26301-2022</t>
        </is>
      </c>
      <c r="B90" s="1" t="n">
        <v>44735.5850462963</v>
      </c>
      <c r="C90" s="1" t="n">
        <v>46184</v>
      </c>
      <c r="D90" t="inlineStr">
        <is>
          <t>GÄVLEBORGS LÄN</t>
        </is>
      </c>
      <c r="E90" t="inlineStr">
        <is>
          <t>BOLLNÄS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7075-2022</t>
        </is>
      </c>
      <c r="B91" s="1" t="n">
        <v>44603</v>
      </c>
      <c r="C91" s="1" t="n">
        <v>46184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7079-2022</t>
        </is>
      </c>
      <c r="B92" s="1" t="n">
        <v>44603.58001157407</v>
      </c>
      <c r="C92" s="1" t="n">
        <v>46184</v>
      </c>
      <c r="D92" t="inlineStr">
        <is>
          <t>GÄVLEBORGS LÄN</t>
        </is>
      </c>
      <c r="E92" t="inlineStr">
        <is>
          <t>BOLLNÄS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31801-2021</t>
        </is>
      </c>
      <c r="B93" s="1" t="n">
        <v>44370</v>
      </c>
      <c r="C93" s="1" t="n">
        <v>46184</v>
      </c>
      <c r="D93" t="inlineStr">
        <is>
          <t>GÄVLEBORGS LÄN</t>
        </is>
      </c>
      <c r="E93" t="inlineStr">
        <is>
          <t>BOLLNÄS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24763-2022</t>
        </is>
      </c>
      <c r="B94" s="1" t="n">
        <v>44728</v>
      </c>
      <c r="C94" s="1" t="n">
        <v>46184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31694-2021</t>
        </is>
      </c>
      <c r="B95" s="1" t="n">
        <v>44369.70108796296</v>
      </c>
      <c r="C95" s="1" t="n">
        <v>46184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63882-2021</t>
        </is>
      </c>
      <c r="B96" s="1" t="n">
        <v>44509</v>
      </c>
      <c r="C96" s="1" t="n">
        <v>46184</v>
      </c>
      <c r="D96" t="inlineStr">
        <is>
          <t>GÄVLEBORGS LÄN</t>
        </is>
      </c>
      <c r="E96" t="inlineStr">
        <is>
          <t>BOLLNÄS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63128-2021</t>
        </is>
      </c>
      <c r="B97" s="1" t="n">
        <v>44505.66327546296</v>
      </c>
      <c r="C97" s="1" t="n">
        <v>46184</v>
      </c>
      <c r="D97" t="inlineStr">
        <is>
          <t>GÄVLEBORGS LÄN</t>
        </is>
      </c>
      <c r="E97" t="inlineStr">
        <is>
          <t>BOLLNÄS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25088-2022</t>
        </is>
      </c>
      <c r="B98" s="1" t="n">
        <v>44729</v>
      </c>
      <c r="C98" s="1" t="n">
        <v>46184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42519-2022</t>
        </is>
      </c>
      <c r="B99" s="1" t="n">
        <v>44831.60743055555</v>
      </c>
      <c r="C99" s="1" t="n">
        <v>46184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14012-2022</t>
        </is>
      </c>
      <c r="B100" s="1" t="n">
        <v>44650</v>
      </c>
      <c r="C100" s="1" t="n">
        <v>46184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44862-2021</t>
        </is>
      </c>
      <c r="B101" s="1" t="n">
        <v>44438</v>
      </c>
      <c r="C101" s="1" t="n">
        <v>46184</v>
      </c>
      <c r="D101" t="inlineStr">
        <is>
          <t>GÄVLEBORGS LÄN</t>
        </is>
      </c>
      <c r="E101" t="inlineStr">
        <is>
          <t>BOLLNÄS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58434-2021</t>
        </is>
      </c>
      <c r="B102" s="1" t="n">
        <v>44488</v>
      </c>
      <c r="C102" s="1" t="n">
        <v>46184</v>
      </c>
      <c r="D102" t="inlineStr">
        <is>
          <t>GÄVLEBORGS LÄN</t>
        </is>
      </c>
      <c r="E102" t="inlineStr">
        <is>
          <t>BOLLNÄS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34893-2022</t>
        </is>
      </c>
      <c r="B103" s="1" t="n">
        <v>44796</v>
      </c>
      <c r="C103" s="1" t="n">
        <v>46184</v>
      </c>
      <c r="D103" t="inlineStr">
        <is>
          <t>GÄVLEBORGS LÄN</t>
        </is>
      </c>
      <c r="E103" t="inlineStr">
        <is>
          <t>BOLLNÄS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48451-2021</t>
        </is>
      </c>
      <c r="B104" s="1" t="n">
        <v>44452</v>
      </c>
      <c r="C104" s="1" t="n">
        <v>46184</v>
      </c>
      <c r="D104" t="inlineStr">
        <is>
          <t>GÄVLEBORGS LÄN</t>
        </is>
      </c>
      <c r="E104" t="inlineStr">
        <is>
          <t>BOLLNÄS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23925-2022</t>
        </is>
      </c>
      <c r="B105" s="1" t="n">
        <v>44722</v>
      </c>
      <c r="C105" s="1" t="n">
        <v>46184</v>
      </c>
      <c r="D105" t="inlineStr">
        <is>
          <t>GÄVLEBORGS LÄN</t>
        </is>
      </c>
      <c r="E105" t="inlineStr">
        <is>
          <t>BOLLNÄS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60481-2021</t>
        </is>
      </c>
      <c r="B106" s="1" t="n">
        <v>44496</v>
      </c>
      <c r="C106" s="1" t="n">
        <v>46184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12108-2022</t>
        </is>
      </c>
      <c r="B107" s="1" t="n">
        <v>44636</v>
      </c>
      <c r="C107" s="1" t="n">
        <v>46184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44151-2022</t>
        </is>
      </c>
      <c r="B108" s="1" t="n">
        <v>44839</v>
      </c>
      <c r="C108" s="1" t="n">
        <v>46184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58112-2021</t>
        </is>
      </c>
      <c r="B109" s="1" t="n">
        <v>44487.53695601852</v>
      </c>
      <c r="C109" s="1" t="n">
        <v>46184</v>
      </c>
      <c r="D109" t="inlineStr">
        <is>
          <t>GÄVLEBORGS LÄN</t>
        </is>
      </c>
      <c r="E109" t="inlineStr">
        <is>
          <t>BOLLNÄS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32837-2021</t>
        </is>
      </c>
      <c r="B110" s="1" t="n">
        <v>44375.6319212963</v>
      </c>
      <c r="C110" s="1" t="n">
        <v>46184</v>
      </c>
      <c r="D110" t="inlineStr">
        <is>
          <t>GÄVLEBORGS LÄN</t>
        </is>
      </c>
      <c r="E110" t="inlineStr">
        <is>
          <t>BOLLNÄS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25100-2022</t>
        </is>
      </c>
      <c r="B111" s="1" t="n">
        <v>44729.44290509259</v>
      </c>
      <c r="C111" s="1" t="n">
        <v>46184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22126-2022</t>
        </is>
      </c>
      <c r="B112" s="1" t="n">
        <v>44712</v>
      </c>
      <c r="C112" s="1" t="n">
        <v>46184</v>
      </c>
      <c r="D112" t="inlineStr">
        <is>
          <t>GÄVLEBORGS LÄN</t>
        </is>
      </c>
      <c r="E112" t="inlineStr">
        <is>
          <t>BOLLNÄS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21438-2022</t>
        </is>
      </c>
      <c r="B113" s="1" t="n">
        <v>44706.34857638889</v>
      </c>
      <c r="C113" s="1" t="n">
        <v>46184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51645-2022</t>
        </is>
      </c>
      <c r="B114" s="1" t="n">
        <v>44872.38538194444</v>
      </c>
      <c r="C114" s="1" t="n">
        <v>46184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53618-2022</t>
        </is>
      </c>
      <c r="B115" s="1" t="n">
        <v>44879</v>
      </c>
      <c r="C115" s="1" t="n">
        <v>46184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6752-2024</t>
        </is>
      </c>
      <c r="B116" s="1" t="n">
        <v>45342</v>
      </c>
      <c r="C116" s="1" t="n">
        <v>46184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2885-2023</t>
        </is>
      </c>
      <c r="B117" s="1" t="n">
        <v>44945</v>
      </c>
      <c r="C117" s="1" t="n">
        <v>46184</v>
      </c>
      <c r="D117" t="inlineStr">
        <is>
          <t>GÄVLEBORGS LÄN</t>
        </is>
      </c>
      <c r="E117" t="inlineStr">
        <is>
          <t>BOLLNÄS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58929-2023</t>
        </is>
      </c>
      <c r="B118" s="1" t="n">
        <v>45252.5525462963</v>
      </c>
      <c r="C118" s="1" t="n">
        <v>46184</v>
      </c>
      <c r="D118" t="inlineStr">
        <is>
          <t>GÄVLEBORGS LÄN</t>
        </is>
      </c>
      <c r="E118" t="inlineStr">
        <is>
          <t>BOLLNÄS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22010-2024</t>
        </is>
      </c>
      <c r="B119" s="1" t="n">
        <v>45443.57775462963</v>
      </c>
      <c r="C119" s="1" t="n">
        <v>46184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6879-2023</t>
        </is>
      </c>
      <c r="B120" s="1" t="n">
        <v>44967.4797337963</v>
      </c>
      <c r="C120" s="1" t="n">
        <v>46184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6922-2023</t>
        </is>
      </c>
      <c r="B121" s="1" t="n">
        <v>44967</v>
      </c>
      <c r="C121" s="1" t="n">
        <v>46184</v>
      </c>
      <c r="D121" t="inlineStr">
        <is>
          <t>GÄVLEBORGS LÄN</t>
        </is>
      </c>
      <c r="E121" t="inlineStr">
        <is>
          <t>BOLLNÄS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54945-2022</t>
        </is>
      </c>
      <c r="B122" s="1" t="n">
        <v>44886.46003472222</v>
      </c>
      <c r="C122" s="1" t="n">
        <v>46184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53815-2022</t>
        </is>
      </c>
      <c r="B123" s="1" t="n">
        <v>44880</v>
      </c>
      <c r="C123" s="1" t="n">
        <v>46184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29716-2023</t>
        </is>
      </c>
      <c r="B124" s="1" t="n">
        <v>45107</v>
      </c>
      <c r="C124" s="1" t="n">
        <v>46184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50544-2023</t>
        </is>
      </c>
      <c r="B125" s="1" t="n">
        <v>45217.35626157407</v>
      </c>
      <c r="C125" s="1" t="n">
        <v>46184</v>
      </c>
      <c r="D125" t="inlineStr">
        <is>
          <t>GÄVLEBORGS LÄN</t>
        </is>
      </c>
      <c r="E125" t="inlineStr">
        <is>
          <t>BOLLNÄS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2611-2022</t>
        </is>
      </c>
      <c r="B126" s="1" t="n">
        <v>44580.4372337963</v>
      </c>
      <c r="C126" s="1" t="n">
        <v>46184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57260-2023</t>
        </is>
      </c>
      <c r="B127" s="1" t="n">
        <v>45239</v>
      </c>
      <c r="C127" s="1" t="n">
        <v>46184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60428-2024</t>
        </is>
      </c>
      <c r="B128" s="1" t="n">
        <v>45643</v>
      </c>
      <c r="C128" s="1" t="n">
        <v>46184</v>
      </c>
      <c r="D128" t="inlineStr">
        <is>
          <t>GÄVLEBORGS LÄN</t>
        </is>
      </c>
      <c r="E128" t="inlineStr">
        <is>
          <t>BOLLNÄS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59740-2023</t>
        </is>
      </c>
      <c r="B129" s="1" t="n">
        <v>45257</v>
      </c>
      <c r="C129" s="1" t="n">
        <v>46184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52181-2024</t>
        </is>
      </c>
      <c r="B130" s="1" t="n">
        <v>45608.56155092592</v>
      </c>
      <c r="C130" s="1" t="n">
        <v>46184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63716-2021</t>
        </is>
      </c>
      <c r="B131" s="1" t="n">
        <v>44509.43005787037</v>
      </c>
      <c r="C131" s="1" t="n">
        <v>46184</v>
      </c>
      <c r="D131" t="inlineStr">
        <is>
          <t>GÄVLEBORGS LÄN</t>
        </is>
      </c>
      <c r="E131" t="inlineStr">
        <is>
          <t>BOLLNÄS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6882-2023</t>
        </is>
      </c>
      <c r="B132" s="1" t="n">
        <v>44967.48270833334</v>
      </c>
      <c r="C132" s="1" t="n">
        <v>46184</v>
      </c>
      <c r="D132" t="inlineStr">
        <is>
          <t>GÄVLEBORGS LÄN</t>
        </is>
      </c>
      <c r="E132" t="inlineStr">
        <is>
          <t>BOLLNÄS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3271-2025</t>
        </is>
      </c>
      <c r="B133" s="1" t="n">
        <v>45679.58766203704</v>
      </c>
      <c r="C133" s="1" t="n">
        <v>46184</v>
      </c>
      <c r="D133" t="inlineStr">
        <is>
          <t>GÄVLEBORGS LÄN</t>
        </is>
      </c>
      <c r="E133" t="inlineStr">
        <is>
          <t>BOLLNÄS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2620-2025</t>
        </is>
      </c>
      <c r="B134" s="1" t="n">
        <v>45675.58435185185</v>
      </c>
      <c r="C134" s="1" t="n">
        <v>46184</v>
      </c>
      <c r="D134" t="inlineStr">
        <is>
          <t>GÄVLEBORGS LÄN</t>
        </is>
      </c>
      <c r="E134" t="inlineStr">
        <is>
          <t>BOLLNÄS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18614-2023</t>
        </is>
      </c>
      <c r="B135" s="1" t="n">
        <v>45043</v>
      </c>
      <c r="C135" s="1" t="n">
        <v>46184</v>
      </c>
      <c r="D135" t="inlineStr">
        <is>
          <t>GÄVLEBORGS LÄN</t>
        </is>
      </c>
      <c r="E135" t="inlineStr">
        <is>
          <t>BOLLNÄS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39091-2024</t>
        </is>
      </c>
      <c r="B136" s="1" t="n">
        <v>45548.55346064815</v>
      </c>
      <c r="C136" s="1" t="n">
        <v>46184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28314-2023</t>
        </is>
      </c>
      <c r="B137" s="1" t="n">
        <v>45099.66478009259</v>
      </c>
      <c r="C137" s="1" t="n">
        <v>46184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43177-2024</t>
        </is>
      </c>
      <c r="B138" s="1" t="n">
        <v>45567.66236111111</v>
      </c>
      <c r="C138" s="1" t="n">
        <v>46184</v>
      </c>
      <c r="D138" t="inlineStr">
        <is>
          <t>GÄVLEBORGS LÄN</t>
        </is>
      </c>
      <c r="E138" t="inlineStr">
        <is>
          <t>BOLLNÄS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20705-2025</t>
        </is>
      </c>
      <c r="B139" s="1" t="n">
        <v>45776.48304398148</v>
      </c>
      <c r="C139" s="1" t="n">
        <v>46184</v>
      </c>
      <c r="D139" t="inlineStr">
        <is>
          <t>GÄVLEBORGS LÄN</t>
        </is>
      </c>
      <c r="E139" t="inlineStr">
        <is>
          <t>BOLLNÄS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12166-2024</t>
        </is>
      </c>
      <c r="B140" s="1" t="n">
        <v>45377.8671412037</v>
      </c>
      <c r="C140" s="1" t="n">
        <v>46184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51983-2024</t>
        </is>
      </c>
      <c r="B141" s="1" t="n">
        <v>45607.67049768518</v>
      </c>
      <c r="C141" s="1" t="n">
        <v>46184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38762-2025</t>
        </is>
      </c>
      <c r="B142" s="1" t="n">
        <v>45887</v>
      </c>
      <c r="C142" s="1" t="n">
        <v>46184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38769-2025</t>
        </is>
      </c>
      <c r="B143" s="1" t="n">
        <v>45887.41712962963</v>
      </c>
      <c r="C143" s="1" t="n">
        <v>46184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38747-2025</t>
        </is>
      </c>
      <c r="B144" s="1" t="n">
        <v>45887.38575231482</v>
      </c>
      <c r="C144" s="1" t="n">
        <v>46184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20710-2025</t>
        </is>
      </c>
      <c r="B145" s="1" t="n">
        <v>45776.48524305555</v>
      </c>
      <c r="C145" s="1" t="n">
        <v>46184</v>
      </c>
      <c r="D145" t="inlineStr">
        <is>
          <t>GÄVLEBORGS LÄN</t>
        </is>
      </c>
      <c r="E145" t="inlineStr">
        <is>
          <t>BOLLNÄS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46800-2024</t>
        </is>
      </c>
      <c r="B146" s="1" t="n">
        <v>45583.54946759259</v>
      </c>
      <c r="C146" s="1" t="n">
        <v>46184</v>
      </c>
      <c r="D146" t="inlineStr">
        <is>
          <t>GÄVLEBORGS LÄN</t>
        </is>
      </c>
      <c r="E146" t="inlineStr">
        <is>
          <t>BOLLNÄS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21393-2025</t>
        </is>
      </c>
      <c r="B147" s="1" t="n">
        <v>45782.48126157407</v>
      </c>
      <c r="C147" s="1" t="n">
        <v>46184</v>
      </c>
      <c r="D147" t="inlineStr">
        <is>
          <t>GÄVLEBORGS LÄN</t>
        </is>
      </c>
      <c r="E147" t="inlineStr">
        <is>
          <t>BOLLNÄS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21352-2025</t>
        </is>
      </c>
      <c r="B148" s="1" t="n">
        <v>45782.41087962963</v>
      </c>
      <c r="C148" s="1" t="n">
        <v>46184</v>
      </c>
      <c r="D148" t="inlineStr">
        <is>
          <t>GÄVLEBORGS LÄN</t>
        </is>
      </c>
      <c r="E148" t="inlineStr">
        <is>
          <t>BOLLNÄS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45782-2024</t>
        </is>
      </c>
      <c r="B149" s="1" t="n">
        <v>45579.66521990741</v>
      </c>
      <c r="C149" s="1" t="n">
        <v>46184</v>
      </c>
      <c r="D149" t="inlineStr">
        <is>
          <t>GÄVLEBORGS LÄN</t>
        </is>
      </c>
      <c r="E149" t="inlineStr">
        <is>
          <t>BOLLNÄS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61060-2023</t>
        </is>
      </c>
      <c r="B150" s="1" t="n">
        <v>45261.61160879629</v>
      </c>
      <c r="C150" s="1" t="n">
        <v>46184</v>
      </c>
      <c r="D150" t="inlineStr">
        <is>
          <t>GÄVLEBORGS LÄN</t>
        </is>
      </c>
      <c r="E150" t="inlineStr">
        <is>
          <t>BOLLNÄS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20224-2024</t>
        </is>
      </c>
      <c r="B151" s="1" t="n">
        <v>45434.70263888889</v>
      </c>
      <c r="C151" s="1" t="n">
        <v>46184</v>
      </c>
      <c r="D151" t="inlineStr">
        <is>
          <t>GÄVLEBORGS LÄN</t>
        </is>
      </c>
      <c r="E151" t="inlineStr">
        <is>
          <t>BOLLNÄS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19135-2024</t>
        </is>
      </c>
      <c r="B152" s="1" t="n">
        <v>45428</v>
      </c>
      <c r="C152" s="1" t="n">
        <v>46184</v>
      </c>
      <c r="D152" t="inlineStr">
        <is>
          <t>GÄVLEBORGS LÄN</t>
        </is>
      </c>
      <c r="E152" t="inlineStr">
        <is>
          <t>BOLLNÄS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21562-2025</t>
        </is>
      </c>
      <c r="B153" s="1" t="n">
        <v>45782.69534722222</v>
      </c>
      <c r="C153" s="1" t="n">
        <v>46184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54236-2023</t>
        </is>
      </c>
      <c r="B154" s="1" t="n">
        <v>45232.61173611111</v>
      </c>
      <c r="C154" s="1" t="n">
        <v>46184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21873-2025</t>
        </is>
      </c>
      <c r="B155" s="1" t="n">
        <v>45784.38891203704</v>
      </c>
      <c r="C155" s="1" t="n">
        <v>46184</v>
      </c>
      <c r="D155" t="inlineStr">
        <is>
          <t>GÄVLEBORGS LÄN</t>
        </is>
      </c>
      <c r="E155" t="inlineStr">
        <is>
          <t>BOLLNÄS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36256-2024</t>
        </is>
      </c>
      <c r="B156" s="1" t="n">
        <v>45534</v>
      </c>
      <c r="C156" s="1" t="n">
        <v>46184</v>
      </c>
      <c r="D156" t="inlineStr">
        <is>
          <t>GÄVLEBORGS LÄN</t>
        </is>
      </c>
      <c r="E156" t="inlineStr">
        <is>
          <t>BOLLNÄS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42541-2024</t>
        </is>
      </c>
      <c r="B157" s="1" t="n">
        <v>45565.58790509259</v>
      </c>
      <c r="C157" s="1" t="n">
        <v>46184</v>
      </c>
      <c r="D157" t="inlineStr">
        <is>
          <t>GÄVLEBORGS LÄN</t>
        </is>
      </c>
      <c r="E157" t="inlineStr">
        <is>
          <t>BOLLNÄS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42579-2024</t>
        </is>
      </c>
      <c r="B158" s="1" t="n">
        <v>45565.65407407407</v>
      </c>
      <c r="C158" s="1" t="n">
        <v>46184</v>
      </c>
      <c r="D158" t="inlineStr">
        <is>
          <t>GÄVLEBORGS LÄN</t>
        </is>
      </c>
      <c r="E158" t="inlineStr">
        <is>
          <t>BOLLNÄS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48951-2025</t>
        </is>
      </c>
      <c r="B159" s="1" t="n">
        <v>45937.5466087963</v>
      </c>
      <c r="C159" s="1" t="n">
        <v>46184</v>
      </c>
      <c r="D159" t="inlineStr">
        <is>
          <t>GÄVLEBORGS LÄN</t>
        </is>
      </c>
      <c r="E159" t="inlineStr">
        <is>
          <t>BOLLNÄS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48270-2024</t>
        </is>
      </c>
      <c r="B160" s="1" t="n">
        <v>45590.4315162037</v>
      </c>
      <c r="C160" s="1" t="n">
        <v>46184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23335-2024</t>
        </is>
      </c>
      <c r="B161" s="1" t="n">
        <v>45453</v>
      </c>
      <c r="C161" s="1" t="n">
        <v>46184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19144-2024</t>
        </is>
      </c>
      <c r="B162" s="1" t="n">
        <v>45428</v>
      </c>
      <c r="C162" s="1" t="n">
        <v>46184</v>
      </c>
      <c r="D162" t="inlineStr">
        <is>
          <t>GÄVLEBORGS LÄN</t>
        </is>
      </c>
      <c r="E162" t="inlineStr">
        <is>
          <t>BOLLNÄS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31649-2024</t>
        </is>
      </c>
      <c r="B163" s="1" t="n">
        <v>45506.62546296296</v>
      </c>
      <c r="C163" s="1" t="n">
        <v>46184</v>
      </c>
      <c r="D163" t="inlineStr">
        <is>
          <t>GÄVLEBORGS LÄN</t>
        </is>
      </c>
      <c r="E163" t="inlineStr">
        <is>
          <t>BOLLNÄS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42580-2024</t>
        </is>
      </c>
      <c r="B164" s="1" t="n">
        <v>45565.65543981481</v>
      </c>
      <c r="C164" s="1" t="n">
        <v>46184</v>
      </c>
      <c r="D164" t="inlineStr">
        <is>
          <t>GÄVLEBORGS LÄN</t>
        </is>
      </c>
      <c r="E164" t="inlineStr">
        <is>
          <t>BOLLNÄS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52748-2024</t>
        </is>
      </c>
      <c r="B165" s="1" t="n">
        <v>45610.48736111111</v>
      </c>
      <c r="C165" s="1" t="n">
        <v>46184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56229-2024</t>
        </is>
      </c>
      <c r="B166" s="1" t="n">
        <v>45624.61965277778</v>
      </c>
      <c r="C166" s="1" t="n">
        <v>46184</v>
      </c>
      <c r="D166" t="inlineStr">
        <is>
          <t>GÄVLEBORGS LÄN</t>
        </is>
      </c>
      <c r="E166" t="inlineStr">
        <is>
          <t>BOLLNÄS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28083-2024</t>
        </is>
      </c>
      <c r="B167" s="1" t="n">
        <v>45476.59189814814</v>
      </c>
      <c r="C167" s="1" t="n">
        <v>46184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44344-2024</t>
        </is>
      </c>
      <c r="B168" s="1" t="n">
        <v>45573.62100694444</v>
      </c>
      <c r="C168" s="1" t="n">
        <v>46184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44120-2022</t>
        </is>
      </c>
      <c r="B169" s="1" t="n">
        <v>44839.39199074074</v>
      </c>
      <c r="C169" s="1" t="n">
        <v>46184</v>
      </c>
      <c r="D169" t="inlineStr">
        <is>
          <t>GÄVLEBORGS LÄN</t>
        </is>
      </c>
      <c r="E169" t="inlineStr">
        <is>
          <t>BOLLNÄS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43750-2023</t>
        </is>
      </c>
      <c r="B170" s="1" t="n">
        <v>45187</v>
      </c>
      <c r="C170" s="1" t="n">
        <v>46184</v>
      </c>
      <c r="D170" t="inlineStr">
        <is>
          <t>GÄVLEBORGS LÄN</t>
        </is>
      </c>
      <c r="E170" t="inlineStr">
        <is>
          <t>BOLLNÄS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22134-2025</t>
        </is>
      </c>
      <c r="B171" s="1" t="n">
        <v>45785.54400462963</v>
      </c>
      <c r="C171" s="1" t="n">
        <v>46184</v>
      </c>
      <c r="D171" t="inlineStr">
        <is>
          <t>GÄVLEBORGS LÄN</t>
        </is>
      </c>
      <c r="E171" t="inlineStr">
        <is>
          <t>BOLLNÄS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41670-2024</t>
        </is>
      </c>
      <c r="B172" s="1" t="n">
        <v>45560.65509259259</v>
      </c>
      <c r="C172" s="1" t="n">
        <v>46184</v>
      </c>
      <c r="D172" t="inlineStr">
        <is>
          <t>GÄVLEBORGS LÄN</t>
        </is>
      </c>
      <c r="E172" t="inlineStr">
        <is>
          <t>BOLLNÄS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22622-2025</t>
        </is>
      </c>
      <c r="B173" s="1" t="n">
        <v>45789.43271990741</v>
      </c>
      <c r="C173" s="1" t="n">
        <v>46184</v>
      </c>
      <c r="D173" t="inlineStr">
        <is>
          <t>GÄVLEBORGS LÄN</t>
        </is>
      </c>
      <c r="E173" t="inlineStr">
        <is>
          <t>BOLLNÄS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38146-2023</t>
        </is>
      </c>
      <c r="B174" s="1" t="n">
        <v>45161</v>
      </c>
      <c r="C174" s="1" t="n">
        <v>46184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39165-2025</t>
        </is>
      </c>
      <c r="B175" s="1" t="n">
        <v>45888.63737268518</v>
      </c>
      <c r="C175" s="1" t="n">
        <v>46184</v>
      </c>
      <c r="D175" t="inlineStr">
        <is>
          <t>GÄVLEBORGS LÄN</t>
        </is>
      </c>
      <c r="E175" t="inlineStr">
        <is>
          <t>BOLLNÄS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579-2025</t>
        </is>
      </c>
      <c r="B176" s="1" t="n">
        <v>45664.56732638889</v>
      </c>
      <c r="C176" s="1" t="n">
        <v>46184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549-2024</t>
        </is>
      </c>
      <c r="B177" s="1" t="n">
        <v>45299</v>
      </c>
      <c r="C177" s="1" t="n">
        <v>46184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48605-2023</t>
        </is>
      </c>
      <c r="B178" s="1" t="n">
        <v>45208</v>
      </c>
      <c r="C178" s="1" t="n">
        <v>46184</v>
      </c>
      <c r="D178" t="inlineStr">
        <is>
          <t>GÄVLEBORGS LÄN</t>
        </is>
      </c>
      <c r="E178" t="inlineStr">
        <is>
          <t>BOLLNÄS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39886-2025</t>
        </is>
      </c>
      <c r="B179" s="1" t="n">
        <v>45891</v>
      </c>
      <c r="C179" s="1" t="n">
        <v>46184</v>
      </c>
      <c r="D179" t="inlineStr">
        <is>
          <t>GÄVLEBORGS LÄN</t>
        </is>
      </c>
      <c r="E179" t="inlineStr">
        <is>
          <t>BOLLNÄS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39897-2025</t>
        </is>
      </c>
      <c r="B180" s="1" t="n">
        <v>45891</v>
      </c>
      <c r="C180" s="1" t="n">
        <v>46184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12018-2024</t>
        </is>
      </c>
      <c r="B181" s="1" t="n">
        <v>45377.36298611111</v>
      </c>
      <c r="C181" s="1" t="n">
        <v>46184</v>
      </c>
      <c r="D181" t="inlineStr">
        <is>
          <t>GÄVLEBORGS LÄN</t>
        </is>
      </c>
      <c r="E181" t="inlineStr">
        <is>
          <t>BOLLNÄS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12023-2024</t>
        </is>
      </c>
      <c r="B182" s="1" t="n">
        <v>45377.3715625</v>
      </c>
      <c r="C182" s="1" t="n">
        <v>46184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40333-2025</t>
        </is>
      </c>
      <c r="B183" s="1" t="n">
        <v>45895.46172453704</v>
      </c>
      <c r="C183" s="1" t="n">
        <v>46184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40335-2025</t>
        </is>
      </c>
      <c r="B184" s="1" t="n">
        <v>45895.4652199074</v>
      </c>
      <c r="C184" s="1" t="n">
        <v>46184</v>
      </c>
      <c r="D184" t="inlineStr">
        <is>
          <t>GÄVLEBORGS LÄN</t>
        </is>
      </c>
      <c r="E184" t="inlineStr">
        <is>
          <t>BOLLNÄS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48310-2023</t>
        </is>
      </c>
      <c r="B185" s="1" t="n">
        <v>45205</v>
      </c>
      <c r="C185" s="1" t="n">
        <v>46184</v>
      </c>
      <c r="D185" t="inlineStr">
        <is>
          <t>GÄVLEBORGS LÄN</t>
        </is>
      </c>
      <c r="E185" t="inlineStr">
        <is>
          <t>BOLLNÄS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40161-2025</t>
        </is>
      </c>
      <c r="B186" s="1" t="n">
        <v>45894</v>
      </c>
      <c r="C186" s="1" t="n">
        <v>46184</v>
      </c>
      <c r="D186" t="inlineStr">
        <is>
          <t>GÄVLEBORGS LÄN</t>
        </is>
      </c>
      <c r="E186" t="inlineStr">
        <is>
          <t>BOLLNÄS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22927-2025</t>
        </is>
      </c>
      <c r="B187" s="1" t="n">
        <v>45790.4482175926</v>
      </c>
      <c r="C187" s="1" t="n">
        <v>46184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40159-2025</t>
        </is>
      </c>
      <c r="B188" s="1" t="n">
        <v>45894</v>
      </c>
      <c r="C188" s="1" t="n">
        <v>46184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50130-2025</t>
        </is>
      </c>
      <c r="B189" s="1" t="n">
        <v>45943.55408564815</v>
      </c>
      <c r="C189" s="1" t="n">
        <v>46184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49811-2025</t>
        </is>
      </c>
      <c r="B190" s="1" t="n">
        <v>45940.42462962963</v>
      </c>
      <c r="C190" s="1" t="n">
        <v>46184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34887-2022</t>
        </is>
      </c>
      <c r="B191" s="1" t="n">
        <v>44796</v>
      </c>
      <c r="C191" s="1" t="n">
        <v>46184</v>
      </c>
      <c r="D191" t="inlineStr">
        <is>
          <t>GÄVLEBORGS LÄN</t>
        </is>
      </c>
      <c r="E191" t="inlineStr">
        <is>
          <t>BOLLNÄS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2802-2025</t>
        </is>
      </c>
      <c r="B192" s="1" t="n">
        <v>45677.58137731482</v>
      </c>
      <c r="C192" s="1" t="n">
        <v>46184</v>
      </c>
      <c r="D192" t="inlineStr">
        <is>
          <t>GÄVLEBORGS LÄN</t>
        </is>
      </c>
      <c r="E192" t="inlineStr">
        <is>
          <t>BOLLNÄS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40927-2025</t>
        </is>
      </c>
      <c r="B193" s="1" t="n">
        <v>45897.643125</v>
      </c>
      <c r="C193" s="1" t="n">
        <v>46184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50157-2025</t>
        </is>
      </c>
      <c r="B194" s="1" t="n">
        <v>45943.58341435185</v>
      </c>
      <c r="C194" s="1" t="n">
        <v>46184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40777-2025</t>
        </is>
      </c>
      <c r="B195" s="1" t="n">
        <v>45897.43212962963</v>
      </c>
      <c r="C195" s="1" t="n">
        <v>46184</v>
      </c>
      <c r="D195" t="inlineStr">
        <is>
          <t>GÄVLEBORGS LÄN</t>
        </is>
      </c>
      <c r="E195" t="inlineStr">
        <is>
          <t>BOLLNÄS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17375-2024</t>
        </is>
      </c>
      <c r="B196" s="1" t="n">
        <v>45414.63744212963</v>
      </c>
      <c r="C196" s="1" t="n">
        <v>46184</v>
      </c>
      <c r="D196" t="inlineStr">
        <is>
          <t>GÄVLEBORGS LÄN</t>
        </is>
      </c>
      <c r="E196" t="inlineStr">
        <is>
          <t>BOLLNÄS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23880-2025</t>
        </is>
      </c>
      <c r="B197" s="1" t="n">
        <v>45793.69190972222</v>
      </c>
      <c r="C197" s="1" t="n">
        <v>46184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49848-2025</t>
        </is>
      </c>
      <c r="B198" s="1" t="n">
        <v>45940.48313657408</v>
      </c>
      <c r="C198" s="1" t="n">
        <v>46184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47820-2024</t>
        </is>
      </c>
      <c r="B199" s="1" t="n">
        <v>45588.62625</v>
      </c>
      <c r="C199" s="1" t="n">
        <v>46184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47894-2024</t>
        </is>
      </c>
      <c r="B200" s="1" t="n">
        <v>45588.87435185185</v>
      </c>
      <c r="C200" s="1" t="n">
        <v>46184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8519-2025</t>
        </is>
      </c>
      <c r="B201" s="1" t="n">
        <v>45709.55436342592</v>
      </c>
      <c r="C201" s="1" t="n">
        <v>46184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23883-2025</t>
        </is>
      </c>
      <c r="B202" s="1" t="n">
        <v>45793.72311342593</v>
      </c>
      <c r="C202" s="1" t="n">
        <v>46184</v>
      </c>
      <c r="D202" t="inlineStr">
        <is>
          <t>GÄVLEBORGS LÄN</t>
        </is>
      </c>
      <c r="E202" t="inlineStr">
        <is>
          <t>BOLLNÄS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36710-2023</t>
        </is>
      </c>
      <c r="B203" s="1" t="n">
        <v>45153.65484953704</v>
      </c>
      <c r="C203" s="1" t="n">
        <v>46184</v>
      </c>
      <c r="D203" t="inlineStr">
        <is>
          <t>GÄVLEBORGS LÄN</t>
        </is>
      </c>
      <c r="E203" t="inlineStr">
        <is>
          <t>BOLLNÄS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10485-2024</t>
        </is>
      </c>
      <c r="B204" s="1" t="n">
        <v>45366</v>
      </c>
      <c r="C204" s="1" t="n">
        <v>46184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55367-2023</t>
        </is>
      </c>
      <c r="B205" s="1" t="n">
        <v>45238.34386574074</v>
      </c>
      <c r="C205" s="1" t="n">
        <v>46184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50218-2025</t>
        </is>
      </c>
      <c r="B206" s="1" t="n">
        <v>45943.68053240741</v>
      </c>
      <c r="C206" s="1" t="n">
        <v>46184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49742-2025</t>
        </is>
      </c>
      <c r="B207" s="1" t="n">
        <v>45940.33552083333</v>
      </c>
      <c r="C207" s="1" t="n">
        <v>46184</v>
      </c>
      <c r="D207" t="inlineStr">
        <is>
          <t>GÄVLEBORGS LÄN</t>
        </is>
      </c>
      <c r="E207" t="inlineStr">
        <is>
          <t>BOLLNÄS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56755-2022</t>
        </is>
      </c>
      <c r="B208" s="1" t="n">
        <v>44894</v>
      </c>
      <c r="C208" s="1" t="n">
        <v>46184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48666-2022</t>
        </is>
      </c>
      <c r="B209" s="1" t="n">
        <v>44859.44630787037</v>
      </c>
      <c r="C209" s="1" t="n">
        <v>46184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46795-2024</t>
        </is>
      </c>
      <c r="B210" s="1" t="n">
        <v>45583.54359953704</v>
      </c>
      <c r="C210" s="1" t="n">
        <v>46184</v>
      </c>
      <c r="D210" t="inlineStr">
        <is>
          <t>GÄVLEBORGS LÄN</t>
        </is>
      </c>
      <c r="E210" t="inlineStr">
        <is>
          <t>BOLLNÄS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49883-2023</t>
        </is>
      </c>
      <c r="B211" s="1" t="n">
        <v>45213.37230324074</v>
      </c>
      <c r="C211" s="1" t="n">
        <v>46184</v>
      </c>
      <c r="D211" t="inlineStr">
        <is>
          <t>GÄVLEBORGS LÄN</t>
        </is>
      </c>
      <c r="E211" t="inlineStr">
        <is>
          <t>BOLLNÄS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23882-2025</t>
        </is>
      </c>
      <c r="B212" s="1" t="n">
        <v>45793.71438657407</v>
      </c>
      <c r="C212" s="1" t="n">
        <v>46184</v>
      </c>
      <c r="D212" t="inlineStr">
        <is>
          <t>GÄVLEBORGS LÄN</t>
        </is>
      </c>
      <c r="E212" t="inlineStr">
        <is>
          <t>BOLLNÄS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17792-2023</t>
        </is>
      </c>
      <c r="B213" s="1" t="n">
        <v>45037</v>
      </c>
      <c r="C213" s="1" t="n">
        <v>46184</v>
      </c>
      <c r="D213" t="inlineStr">
        <is>
          <t>GÄVLEBORGS LÄN</t>
        </is>
      </c>
      <c r="E213" t="inlineStr">
        <is>
          <t>BOLLNÄS</t>
        </is>
      </c>
      <c r="F213" t="inlineStr">
        <is>
          <t>Kyrkan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55941-2024</t>
        </is>
      </c>
      <c r="B214" s="1" t="n">
        <v>45623.61159722223</v>
      </c>
      <c r="C214" s="1" t="n">
        <v>46184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38594-2024</t>
        </is>
      </c>
      <c r="B215" s="1" t="n">
        <v>45546.65759259259</v>
      </c>
      <c r="C215" s="1" t="n">
        <v>46184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17376-2024</t>
        </is>
      </c>
      <c r="B216" s="1" t="n">
        <v>45414.639375</v>
      </c>
      <c r="C216" s="1" t="n">
        <v>46184</v>
      </c>
      <c r="D216" t="inlineStr">
        <is>
          <t>GÄVLEBORGS LÄN</t>
        </is>
      </c>
      <c r="E216" t="inlineStr">
        <is>
          <t>BOLLNÄS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41057-2025</t>
        </is>
      </c>
      <c r="B217" s="1" t="n">
        <v>45898</v>
      </c>
      <c r="C217" s="1" t="n">
        <v>46184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41088-2025</t>
        </is>
      </c>
      <c r="B218" s="1" t="n">
        <v>45898.43726851852</v>
      </c>
      <c r="C218" s="1" t="n">
        <v>46184</v>
      </c>
      <c r="D218" t="inlineStr">
        <is>
          <t>GÄVLEBORGS LÄN</t>
        </is>
      </c>
      <c r="E218" t="inlineStr">
        <is>
          <t>BOLLNÄS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24314-2025</t>
        </is>
      </c>
      <c r="B219" s="1" t="n">
        <v>45797.52796296297</v>
      </c>
      <c r="C219" s="1" t="n">
        <v>46184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41504-2025</t>
        </is>
      </c>
      <c r="B220" s="1" t="n">
        <v>45901.52376157408</v>
      </c>
      <c r="C220" s="1" t="n">
        <v>46184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41408-2025</t>
        </is>
      </c>
      <c r="B221" s="1" t="n">
        <v>45901.34625</v>
      </c>
      <c r="C221" s="1" t="n">
        <v>46184</v>
      </c>
      <c r="D221" t="inlineStr">
        <is>
          <t>GÄVLEBORGS LÄN</t>
        </is>
      </c>
      <c r="E221" t="inlineStr">
        <is>
          <t>BOLLNÄS</t>
        </is>
      </c>
      <c r="F221" t="inlineStr">
        <is>
          <t>Kyrkan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41072-2025</t>
        </is>
      </c>
      <c r="B222" s="1" t="n">
        <v>45898.42072916667</v>
      </c>
      <c r="C222" s="1" t="n">
        <v>46184</v>
      </c>
      <c r="D222" t="inlineStr">
        <is>
          <t>GÄVLEBORGS LÄN</t>
        </is>
      </c>
      <c r="E222" t="inlineStr">
        <is>
          <t>BOLLNÄS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41081-2025</t>
        </is>
      </c>
      <c r="B223" s="1" t="n">
        <v>45898.42881944445</v>
      </c>
      <c r="C223" s="1" t="n">
        <v>46184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24319-2025</t>
        </is>
      </c>
      <c r="B224" s="1" t="n">
        <v>45797.55027777778</v>
      </c>
      <c r="C224" s="1" t="n">
        <v>46184</v>
      </c>
      <c r="D224" t="inlineStr">
        <is>
          <t>GÄVLEBORGS LÄN</t>
        </is>
      </c>
      <c r="E224" t="inlineStr">
        <is>
          <t>BOLLNÄS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5579-2022</t>
        </is>
      </c>
      <c r="B225" s="1" t="n">
        <v>44595</v>
      </c>
      <c r="C225" s="1" t="n">
        <v>46184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41655-2025</t>
        </is>
      </c>
      <c r="B226" s="1" t="n">
        <v>45902.34259259259</v>
      </c>
      <c r="C226" s="1" t="n">
        <v>46184</v>
      </c>
      <c r="D226" t="inlineStr">
        <is>
          <t>GÄVLEBORGS LÄN</t>
        </is>
      </c>
      <c r="E226" t="inlineStr">
        <is>
          <t>BOLLNÄS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29742-2024</t>
        </is>
      </c>
      <c r="B227" s="1" t="n">
        <v>45485</v>
      </c>
      <c r="C227" s="1" t="n">
        <v>46184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56547-2023</t>
        </is>
      </c>
      <c r="B228" s="1" t="n">
        <v>45243</v>
      </c>
      <c r="C228" s="1" t="n">
        <v>46184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24937-2025</t>
        </is>
      </c>
      <c r="B229" s="1" t="n">
        <v>45799.55748842593</v>
      </c>
      <c r="C229" s="1" t="n">
        <v>46184</v>
      </c>
      <c r="D229" t="inlineStr">
        <is>
          <t>GÄVLEBORGS LÄN</t>
        </is>
      </c>
      <c r="E229" t="inlineStr">
        <is>
          <t>BOLLNÄS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42516-2025</t>
        </is>
      </c>
      <c r="B230" s="1" t="n">
        <v>45905.54534722222</v>
      </c>
      <c r="C230" s="1" t="n">
        <v>46184</v>
      </c>
      <c r="D230" t="inlineStr">
        <is>
          <t>GÄVLEBORGS LÄN</t>
        </is>
      </c>
      <c r="E230" t="inlineStr">
        <is>
          <t>BOLLNÄS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28795-2024</t>
        </is>
      </c>
      <c r="B231" s="1" t="n">
        <v>45478.61697916667</v>
      </c>
      <c r="C231" s="1" t="n">
        <v>46184</v>
      </c>
      <c r="D231" t="inlineStr">
        <is>
          <t>GÄVLEBORGS LÄN</t>
        </is>
      </c>
      <c r="E231" t="inlineStr">
        <is>
          <t>BOLLNÄS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24918-2025</t>
        </is>
      </c>
      <c r="B232" s="1" t="n">
        <v>45799.54648148148</v>
      </c>
      <c r="C232" s="1" t="n">
        <v>46184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42340-2025</t>
        </is>
      </c>
      <c r="B233" s="1" t="n">
        <v>45904</v>
      </c>
      <c r="C233" s="1" t="n">
        <v>46184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42341-2025</t>
        </is>
      </c>
      <c r="B234" s="1" t="n">
        <v>45904</v>
      </c>
      <c r="C234" s="1" t="n">
        <v>46184</v>
      </c>
      <c r="D234" t="inlineStr">
        <is>
          <t>GÄVLEBORGS LÄN</t>
        </is>
      </c>
      <c r="E234" t="inlineStr">
        <is>
          <t>BOLLNÄS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9700-2025</t>
        </is>
      </c>
      <c r="B235" s="1" t="n">
        <v>45716.37511574074</v>
      </c>
      <c r="C235" s="1" t="n">
        <v>46184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30303-2025</t>
        </is>
      </c>
      <c r="B236" s="1" t="n">
        <v>45827.48033564815</v>
      </c>
      <c r="C236" s="1" t="n">
        <v>46184</v>
      </c>
      <c r="D236" t="inlineStr">
        <is>
          <t>GÄVLEBORGS LÄN</t>
        </is>
      </c>
      <c r="E236" t="inlineStr">
        <is>
          <t>BOLLNÄS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18311-2023</t>
        </is>
      </c>
      <c r="B237" s="1" t="n">
        <v>45041.59797453704</v>
      </c>
      <c r="C237" s="1" t="n">
        <v>46184</v>
      </c>
      <c r="D237" t="inlineStr">
        <is>
          <t>GÄVLEBORGS LÄN</t>
        </is>
      </c>
      <c r="E237" t="inlineStr">
        <is>
          <t>BOLLNÄS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24920-2025</t>
        </is>
      </c>
      <c r="B238" s="1" t="n">
        <v>45799.55019675926</v>
      </c>
      <c r="C238" s="1" t="n">
        <v>46184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57041-2022</t>
        </is>
      </c>
      <c r="B239" s="1" t="n">
        <v>44895</v>
      </c>
      <c r="C239" s="1" t="n">
        <v>46184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40160-2025</t>
        </is>
      </c>
      <c r="B240" s="1" t="n">
        <v>45894</v>
      </c>
      <c r="C240" s="1" t="n">
        <v>46184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42865-2025</t>
        </is>
      </c>
      <c r="B241" s="1" t="n">
        <v>45908</v>
      </c>
      <c r="C241" s="1" t="n">
        <v>46184</v>
      </c>
      <c r="D241" t="inlineStr">
        <is>
          <t>GÄVLEBORGS LÄN</t>
        </is>
      </c>
      <c r="E241" t="inlineStr">
        <is>
          <t>BOLLNÄS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51563-2025</t>
        </is>
      </c>
      <c r="B242" s="1" t="n">
        <v>45951.29929398148</v>
      </c>
      <c r="C242" s="1" t="n">
        <v>46184</v>
      </c>
      <c r="D242" t="inlineStr">
        <is>
          <t>GÄVLEBORGS LÄN</t>
        </is>
      </c>
      <c r="E242" t="inlineStr">
        <is>
          <t>BOLLNÄS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42690-2025</t>
        </is>
      </c>
      <c r="B243" s="1" t="n">
        <v>45908.35690972222</v>
      </c>
      <c r="C243" s="1" t="n">
        <v>46184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51681-2024</t>
        </is>
      </c>
      <c r="B244" s="1" t="n">
        <v>45607.34104166667</v>
      </c>
      <c r="C244" s="1" t="n">
        <v>46184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15146-2023</t>
        </is>
      </c>
      <c r="B245" s="1" t="n">
        <v>45016</v>
      </c>
      <c r="C245" s="1" t="n">
        <v>46184</v>
      </c>
      <c r="D245" t="inlineStr">
        <is>
          <t>GÄVLEBORGS LÄN</t>
        </is>
      </c>
      <c r="E245" t="inlineStr">
        <is>
          <t>BOLLNÄS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31022-2024</t>
        </is>
      </c>
      <c r="B246" s="1" t="n">
        <v>45500.42336805556</v>
      </c>
      <c r="C246" s="1" t="n">
        <v>46184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33153-2025</t>
        </is>
      </c>
      <c r="B247" s="1" t="n">
        <v>45840.55234953704</v>
      </c>
      <c r="C247" s="1" t="n">
        <v>46184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25226-2025</t>
        </is>
      </c>
      <c r="B248" s="1" t="n">
        <v>45800</v>
      </c>
      <c r="C248" s="1" t="n">
        <v>46184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25596-2025</t>
        </is>
      </c>
      <c r="B249" s="1" t="n">
        <v>45803.52922453704</v>
      </c>
      <c r="C249" s="1" t="n">
        <v>46184</v>
      </c>
      <c r="D249" t="inlineStr">
        <is>
          <t>GÄVLEBORGS LÄN</t>
        </is>
      </c>
      <c r="E249" t="inlineStr">
        <is>
          <t>BOLLNÄS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24770-2022</t>
        </is>
      </c>
      <c r="B250" s="1" t="n">
        <v>44728.36199074074</v>
      </c>
      <c r="C250" s="1" t="n">
        <v>46184</v>
      </c>
      <c r="D250" t="inlineStr">
        <is>
          <t>GÄVLEBORGS LÄN</t>
        </is>
      </c>
      <c r="E250" t="inlineStr">
        <is>
          <t>BOLLNÄS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37099-2025</t>
        </is>
      </c>
      <c r="B251" s="1" t="n">
        <v>45875</v>
      </c>
      <c r="C251" s="1" t="n">
        <v>46184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26303-2025</t>
        </is>
      </c>
      <c r="B252" s="1" t="n">
        <v>45805.64239583333</v>
      </c>
      <c r="C252" s="1" t="n">
        <v>46184</v>
      </c>
      <c r="D252" t="inlineStr">
        <is>
          <t>GÄVLEBORGS LÄN</t>
        </is>
      </c>
      <c r="E252" t="inlineStr">
        <is>
          <t>BOLLNÄS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26323-2025</t>
        </is>
      </c>
      <c r="B253" s="1" t="n">
        <v>45805.66572916666</v>
      </c>
      <c r="C253" s="1" t="n">
        <v>46184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26308-2025</t>
        </is>
      </c>
      <c r="B254" s="1" t="n">
        <v>45805.64973379629</v>
      </c>
      <c r="C254" s="1" t="n">
        <v>46184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43808-2025</t>
        </is>
      </c>
      <c r="B255" s="1" t="n">
        <v>45912.57952546296</v>
      </c>
      <c r="C255" s="1" t="n">
        <v>46184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26289-2025</t>
        </is>
      </c>
      <c r="B256" s="1" t="n">
        <v>45805.62409722222</v>
      </c>
      <c r="C256" s="1" t="n">
        <v>46184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25987-2025</t>
        </is>
      </c>
      <c r="B257" s="1" t="n">
        <v>45804.64680555555</v>
      </c>
      <c r="C257" s="1" t="n">
        <v>46184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43979-2025</t>
        </is>
      </c>
      <c r="B258" s="1" t="n">
        <v>45915.42203703704</v>
      </c>
      <c r="C258" s="1" t="n">
        <v>46184</v>
      </c>
      <c r="D258" t="inlineStr">
        <is>
          <t>GÄVLEBORGS LÄN</t>
        </is>
      </c>
      <c r="E258" t="inlineStr">
        <is>
          <t>BOLLNÄS</t>
        </is>
      </c>
      <c r="F258" t="inlineStr">
        <is>
          <t>Kyrkan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52303-2025</t>
        </is>
      </c>
      <c r="B259" s="1" t="n">
        <v>45953.62354166667</v>
      </c>
      <c r="C259" s="1" t="n">
        <v>46184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44230-2025</t>
        </is>
      </c>
      <c r="B260" s="1" t="n">
        <v>45915.64261574074</v>
      </c>
      <c r="C260" s="1" t="n">
        <v>46184</v>
      </c>
      <c r="D260" t="inlineStr">
        <is>
          <t>GÄVLEBORGS LÄN</t>
        </is>
      </c>
      <c r="E260" t="inlineStr">
        <is>
          <t>BOLLNÄS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44116-2025</t>
        </is>
      </c>
      <c r="B261" s="1" t="n">
        <v>45915.57671296296</v>
      </c>
      <c r="C261" s="1" t="n">
        <v>46184</v>
      </c>
      <c r="D261" t="inlineStr">
        <is>
          <t>GÄVLEBORGS LÄN</t>
        </is>
      </c>
      <c r="E261" t="inlineStr">
        <is>
          <t>BOLLNÄS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43649-2025</t>
        </is>
      </c>
      <c r="B262" s="1" t="n">
        <v>45912.32010416667</v>
      </c>
      <c r="C262" s="1" t="n">
        <v>46184</v>
      </c>
      <c r="D262" t="inlineStr">
        <is>
          <t>GÄVLEBORGS LÄN</t>
        </is>
      </c>
      <c r="E262" t="inlineStr">
        <is>
          <t>BOLLNÄS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44085-2025</t>
        </is>
      </c>
      <c r="B263" s="1" t="n">
        <v>45915.55561342592</v>
      </c>
      <c r="C263" s="1" t="n">
        <v>46184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44110-2025</t>
        </is>
      </c>
      <c r="B264" s="1" t="n">
        <v>45915.57398148148</v>
      </c>
      <c r="C264" s="1" t="n">
        <v>46184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51878-2025</t>
        </is>
      </c>
      <c r="B265" s="1" t="n">
        <v>45952.40241898148</v>
      </c>
      <c r="C265" s="1" t="n">
        <v>46184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51884-2025</t>
        </is>
      </c>
      <c r="B266" s="1" t="n">
        <v>45952.40753472222</v>
      </c>
      <c r="C266" s="1" t="n">
        <v>46184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51853-2025</t>
        </is>
      </c>
      <c r="B267" s="1" t="n">
        <v>45952.35881944445</v>
      </c>
      <c r="C267" s="1" t="n">
        <v>46184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44136-2025</t>
        </is>
      </c>
      <c r="B268" s="1" t="n">
        <v>45915.58728009259</v>
      </c>
      <c r="C268" s="1" t="n">
        <v>46184</v>
      </c>
      <c r="D268" t="inlineStr">
        <is>
          <t>GÄVLEBORGS LÄN</t>
        </is>
      </c>
      <c r="E268" t="inlineStr">
        <is>
          <t>BOLLNÄS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43946-2025</t>
        </is>
      </c>
      <c r="B269" s="1" t="n">
        <v>45915.37418981481</v>
      </c>
      <c r="C269" s="1" t="n">
        <v>46184</v>
      </c>
      <c r="D269" t="inlineStr">
        <is>
          <t>GÄVLEBORGS LÄN</t>
        </is>
      </c>
      <c r="E269" t="inlineStr">
        <is>
          <t>BOLLNÄS</t>
        </is>
      </c>
      <c r="F269" t="inlineStr">
        <is>
          <t>Kyrkan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14864-2025</t>
        </is>
      </c>
      <c r="B270" s="1" t="n">
        <v>45743.43662037037</v>
      </c>
      <c r="C270" s="1" t="n">
        <v>46184</v>
      </c>
      <c r="D270" t="inlineStr">
        <is>
          <t>GÄVLEBORGS LÄN</t>
        </is>
      </c>
      <c r="E270" t="inlineStr">
        <is>
          <t>BOLLNÄS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43844-2025</t>
        </is>
      </c>
      <c r="B271" s="1" t="n">
        <v>45912.63609953703</v>
      </c>
      <c r="C271" s="1" t="n">
        <v>46184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44200-2025</t>
        </is>
      </c>
      <c r="B272" s="1" t="n">
        <v>45915.62230324074</v>
      </c>
      <c r="C272" s="1" t="n">
        <v>46184</v>
      </c>
      <c r="D272" t="inlineStr">
        <is>
          <t>GÄVLEBORGS LÄN</t>
        </is>
      </c>
      <c r="E272" t="inlineStr">
        <is>
          <t>BOLLNÄS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44195-2025</t>
        </is>
      </c>
      <c r="B273" s="1" t="n">
        <v>45915.61612268518</v>
      </c>
      <c r="C273" s="1" t="n">
        <v>46184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59085-2021</t>
        </is>
      </c>
      <c r="B274" s="1" t="n">
        <v>44490.41263888889</v>
      </c>
      <c r="C274" s="1" t="n">
        <v>46184</v>
      </c>
      <c r="D274" t="inlineStr">
        <is>
          <t>GÄVLEBORGS LÄN</t>
        </is>
      </c>
      <c r="E274" t="inlineStr">
        <is>
          <t>BOLLNÄS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29930-2025</t>
        </is>
      </c>
      <c r="B275" s="1" t="n">
        <v>45826.43805555555</v>
      </c>
      <c r="C275" s="1" t="n">
        <v>46184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26723-2025</t>
        </is>
      </c>
      <c r="B276" s="1" t="n">
        <v>45810.49068287037</v>
      </c>
      <c r="C276" s="1" t="n">
        <v>46184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57510-2023</t>
        </is>
      </c>
      <c r="B277" s="1" t="n">
        <v>45246</v>
      </c>
      <c r="C277" s="1" t="n">
        <v>46184</v>
      </c>
      <c r="D277" t="inlineStr">
        <is>
          <t>GÄVLEBORGS LÄN</t>
        </is>
      </c>
      <c r="E277" t="inlineStr">
        <is>
          <t>BOLLNÄS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18311-2025</t>
        </is>
      </c>
      <c r="B278" s="1" t="n">
        <v>45762</v>
      </c>
      <c r="C278" s="1" t="n">
        <v>46184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44643-2025</t>
        </is>
      </c>
      <c r="B279" s="1" t="n">
        <v>45917</v>
      </c>
      <c r="C279" s="1" t="n">
        <v>46184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45239-2025</t>
        </is>
      </c>
      <c r="B280" s="1" t="n">
        <v>45919.59678240741</v>
      </c>
      <c r="C280" s="1" t="n">
        <v>46184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27345-2025</t>
        </is>
      </c>
      <c r="B281" s="1" t="n">
        <v>45812.62276620371</v>
      </c>
      <c r="C281" s="1" t="n">
        <v>46184</v>
      </c>
      <c r="D281" t="inlineStr">
        <is>
          <t>GÄVLEBORGS LÄN</t>
        </is>
      </c>
      <c r="E281" t="inlineStr">
        <is>
          <t>BOLLNÄS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45224-2025</t>
        </is>
      </c>
      <c r="B282" s="1" t="n">
        <v>45919.58016203704</v>
      </c>
      <c r="C282" s="1" t="n">
        <v>46184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27361-2025</t>
        </is>
      </c>
      <c r="B283" s="1" t="n">
        <v>45812.64255787037</v>
      </c>
      <c r="C283" s="1" t="n">
        <v>46184</v>
      </c>
      <c r="D283" t="inlineStr">
        <is>
          <t>GÄVLEBORGS LÄN</t>
        </is>
      </c>
      <c r="E283" t="inlineStr">
        <is>
          <t>BOLLNÄS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51862-2025</t>
        </is>
      </c>
      <c r="B284" s="1" t="n">
        <v>45952.3700925926</v>
      </c>
      <c r="C284" s="1" t="n">
        <v>46184</v>
      </c>
      <c r="D284" t="inlineStr">
        <is>
          <t>GÄVLEBORGS LÄN</t>
        </is>
      </c>
      <c r="E284" t="inlineStr">
        <is>
          <t>BOLLNÄS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27143-2025</t>
        </is>
      </c>
      <c r="B285" s="1" t="n">
        <v>45812.28103009259</v>
      </c>
      <c r="C285" s="1" t="n">
        <v>46184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45044-2025</t>
        </is>
      </c>
      <c r="B286" s="1" t="n">
        <v>45919.23412037037</v>
      </c>
      <c r="C286" s="1" t="n">
        <v>46184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45050-2025</t>
        </is>
      </c>
      <c r="B287" s="1" t="n">
        <v>45919.29921296296</v>
      </c>
      <c r="C287" s="1" t="n">
        <v>46184</v>
      </c>
      <c r="D287" t="inlineStr">
        <is>
          <t>GÄVLEBORGS LÄN</t>
        </is>
      </c>
      <c r="E287" t="inlineStr">
        <is>
          <t>BOLLNÄS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37345-2024</t>
        </is>
      </c>
      <c r="B288" s="1" t="n">
        <v>45540.53148148148</v>
      </c>
      <c r="C288" s="1" t="n">
        <v>46184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46664-2024</t>
        </is>
      </c>
      <c r="B289" s="1" t="n">
        <v>45583.36581018518</v>
      </c>
      <c r="C289" s="1" t="n">
        <v>46184</v>
      </c>
      <c r="D289" t="inlineStr">
        <is>
          <t>GÄVLEBORGS LÄN</t>
        </is>
      </c>
      <c r="E289" t="inlineStr">
        <is>
          <t>BOLLNÄS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46669-2024</t>
        </is>
      </c>
      <c r="B290" s="1" t="n">
        <v>45583.3762037037</v>
      </c>
      <c r="C290" s="1" t="n">
        <v>46184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30187-2024</t>
        </is>
      </c>
      <c r="B291" s="1" t="n">
        <v>45490.27436342592</v>
      </c>
      <c r="C291" s="1" t="n">
        <v>46184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21682-2024</t>
        </is>
      </c>
      <c r="B292" s="1" t="n">
        <v>45442.43586805555</v>
      </c>
      <c r="C292" s="1" t="n">
        <v>46184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45327-2025</t>
        </is>
      </c>
      <c r="B293" s="1" t="n">
        <v>45922.32622685185</v>
      </c>
      <c r="C293" s="1" t="n">
        <v>46184</v>
      </c>
      <c r="D293" t="inlineStr">
        <is>
          <t>GÄVLEBORGS LÄN</t>
        </is>
      </c>
      <c r="E293" t="inlineStr">
        <is>
          <t>BOLLNÄS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52447-2025</t>
        </is>
      </c>
      <c r="B294" s="1" t="n">
        <v>45954.41811342593</v>
      </c>
      <c r="C294" s="1" t="n">
        <v>46184</v>
      </c>
      <c r="D294" t="inlineStr">
        <is>
          <t>GÄVLEBORGS LÄN</t>
        </is>
      </c>
      <c r="E294" t="inlineStr">
        <is>
          <t>BOLLNÄS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45832-2025</t>
        </is>
      </c>
      <c r="B295" s="1" t="n">
        <v>45923</v>
      </c>
      <c r="C295" s="1" t="n">
        <v>46184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45889-2025</t>
        </is>
      </c>
      <c r="B296" s="1" t="n">
        <v>45923.67244212963</v>
      </c>
      <c r="C296" s="1" t="n">
        <v>46184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45713-2025</t>
        </is>
      </c>
      <c r="B297" s="1" t="n">
        <v>45923.43292824074</v>
      </c>
      <c r="C297" s="1" t="n">
        <v>46184</v>
      </c>
      <c r="D297" t="inlineStr">
        <is>
          <t>GÄVLEBORGS LÄN</t>
        </is>
      </c>
      <c r="E297" t="inlineStr">
        <is>
          <t>BOLLNÄS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21211-2025</t>
        </is>
      </c>
      <c r="B298" s="1" t="n">
        <v>45779</v>
      </c>
      <c r="C298" s="1" t="n">
        <v>46184</v>
      </c>
      <c r="D298" t="inlineStr">
        <is>
          <t>GÄVLEBORGS LÄN</t>
        </is>
      </c>
      <c r="E298" t="inlineStr">
        <is>
          <t>BOLLNÄS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45737-2025</t>
        </is>
      </c>
      <c r="B299" s="1" t="n">
        <v>45923.46788194445</v>
      </c>
      <c r="C299" s="1" t="n">
        <v>46184</v>
      </c>
      <c r="D299" t="inlineStr">
        <is>
          <t>GÄVLEBORGS LÄN</t>
        </is>
      </c>
      <c r="E299" t="inlineStr">
        <is>
          <t>BOLLNÄS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45830-2025</t>
        </is>
      </c>
      <c r="B300" s="1" t="n">
        <v>45923</v>
      </c>
      <c r="C300" s="1" t="n">
        <v>46184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45838-2025</t>
        </is>
      </c>
      <c r="B301" s="1" t="n">
        <v>45923</v>
      </c>
      <c r="C301" s="1" t="n">
        <v>46184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45280-2025</t>
        </is>
      </c>
      <c r="B302" s="1" t="n">
        <v>45919</v>
      </c>
      <c r="C302" s="1" t="n">
        <v>46184</v>
      </c>
      <c r="D302" t="inlineStr">
        <is>
          <t>GÄVLEBORGS LÄN</t>
        </is>
      </c>
      <c r="E302" t="inlineStr">
        <is>
          <t>BOLLNÄS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45901-2025</t>
        </is>
      </c>
      <c r="B303" s="1" t="n">
        <v>45923.68782407408</v>
      </c>
      <c r="C303" s="1" t="n">
        <v>46184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46185-2025</t>
        </is>
      </c>
      <c r="B304" s="1" t="n">
        <v>45924.6600462963</v>
      </c>
      <c r="C304" s="1" t="n">
        <v>46184</v>
      </c>
      <c r="D304" t="inlineStr">
        <is>
          <t>GÄVLEBORGS LÄN</t>
        </is>
      </c>
      <c r="E304" t="inlineStr">
        <is>
          <t>BOLLNÄS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35174-2023</t>
        </is>
      </c>
      <c r="B305" s="1" t="n">
        <v>45145.58690972222</v>
      </c>
      <c r="C305" s="1" t="n">
        <v>46184</v>
      </c>
      <c r="D305" t="inlineStr">
        <is>
          <t>GÄVLEBORGS LÄN</t>
        </is>
      </c>
      <c r="E305" t="inlineStr">
        <is>
          <t>BOLLNÄS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28338-2025</t>
        </is>
      </c>
      <c r="B306" s="1" t="n">
        <v>45818.66855324074</v>
      </c>
      <c r="C306" s="1" t="n">
        <v>46184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23375-2024</t>
        </is>
      </c>
      <c r="B307" s="1" t="n">
        <v>45453.55662037037</v>
      </c>
      <c r="C307" s="1" t="n">
        <v>46184</v>
      </c>
      <c r="D307" t="inlineStr">
        <is>
          <t>GÄVLEBORGS LÄN</t>
        </is>
      </c>
      <c r="E307" t="inlineStr">
        <is>
          <t>BOLLNÄS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45947-2025</t>
        </is>
      </c>
      <c r="B308" s="1" t="n">
        <v>45924.33660879629</v>
      </c>
      <c r="C308" s="1" t="n">
        <v>46184</v>
      </c>
      <c r="D308" t="inlineStr">
        <is>
          <t>GÄVLEBORGS LÄN</t>
        </is>
      </c>
      <c r="E308" t="inlineStr">
        <is>
          <t>BOLLNÄS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28339-2025</t>
        </is>
      </c>
      <c r="B309" s="1" t="n">
        <v>45818.67405092593</v>
      </c>
      <c r="C309" s="1" t="n">
        <v>46184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28462-2025</t>
        </is>
      </c>
      <c r="B310" s="1" t="n">
        <v>45819.41706018519</v>
      </c>
      <c r="C310" s="1" t="n">
        <v>46184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45951-2025</t>
        </is>
      </c>
      <c r="B311" s="1" t="n">
        <v>45924</v>
      </c>
      <c r="C311" s="1" t="n">
        <v>46184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28618-2025</t>
        </is>
      </c>
      <c r="B312" s="1" t="n">
        <v>45819.61023148148</v>
      </c>
      <c r="C312" s="1" t="n">
        <v>46184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60495-2023</t>
        </is>
      </c>
      <c r="B313" s="1" t="n">
        <v>45258</v>
      </c>
      <c r="C313" s="1" t="n">
        <v>46184</v>
      </c>
      <c r="D313" t="inlineStr">
        <is>
          <t>GÄVLEBORGS LÄN</t>
        </is>
      </c>
      <c r="E313" t="inlineStr">
        <is>
          <t>BOLLNÄS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12686-2025</t>
        </is>
      </c>
      <c r="B314" s="1" t="n">
        <v>45733</v>
      </c>
      <c r="C314" s="1" t="n">
        <v>46184</v>
      </c>
      <c r="D314" t="inlineStr">
        <is>
          <t>GÄVLEBORGS LÄN</t>
        </is>
      </c>
      <c r="E314" t="inlineStr">
        <is>
          <t>BOLLNÄS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35208-2025</t>
        </is>
      </c>
      <c r="B315" s="1" t="n">
        <v>45853</v>
      </c>
      <c r="C315" s="1" t="n">
        <v>46184</v>
      </c>
      <c r="D315" t="inlineStr">
        <is>
          <t>GÄVLEBORGS LÄN</t>
        </is>
      </c>
      <c r="E315" t="inlineStr">
        <is>
          <t>BOLLNÄS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28446-2025</t>
        </is>
      </c>
      <c r="B316" s="1" t="n">
        <v>45819.39910879629</v>
      </c>
      <c r="C316" s="1" t="n">
        <v>46184</v>
      </c>
      <c r="D316" t="inlineStr">
        <is>
          <t>GÄVLEBORGS LÄN</t>
        </is>
      </c>
      <c r="E316" t="inlineStr">
        <is>
          <t>BOLLNÄS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13461-2024</t>
        </is>
      </c>
      <c r="B317" s="1" t="n">
        <v>45387.55202546297</v>
      </c>
      <c r="C317" s="1" t="n">
        <v>46184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46675-2025</t>
        </is>
      </c>
      <c r="B318" s="1" t="n">
        <v>45926.54326388889</v>
      </c>
      <c r="C318" s="1" t="n">
        <v>46184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51156-2023</t>
        </is>
      </c>
      <c r="B319" s="1" t="n">
        <v>45212</v>
      </c>
      <c r="C319" s="1" t="n">
        <v>46184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51310-2023</t>
        </is>
      </c>
      <c r="B320" s="1" t="n">
        <v>45219.56564814815</v>
      </c>
      <c r="C320" s="1" t="n">
        <v>46184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47108-2025</t>
        </is>
      </c>
      <c r="B321" s="1" t="n">
        <v>45929.66302083333</v>
      </c>
      <c r="C321" s="1" t="n">
        <v>46184</v>
      </c>
      <c r="D321" t="inlineStr">
        <is>
          <t>GÄVLEBORGS LÄN</t>
        </is>
      </c>
      <c r="E321" t="inlineStr">
        <is>
          <t>BOLLNÄS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14030-2025</t>
        </is>
      </c>
      <c r="B322" s="1" t="n">
        <v>45740</v>
      </c>
      <c r="C322" s="1" t="n">
        <v>46184</v>
      </c>
      <c r="D322" t="inlineStr">
        <is>
          <t>GÄVLEBORGS LÄN</t>
        </is>
      </c>
      <c r="E322" t="inlineStr">
        <is>
          <t>BOLLNÄS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46883-2025</t>
        </is>
      </c>
      <c r="B323" s="1" t="n">
        <v>45929.36471064815</v>
      </c>
      <c r="C323" s="1" t="n">
        <v>46184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29575-2025</t>
        </is>
      </c>
      <c r="B324" s="1" t="n">
        <v>45825.37327546296</v>
      </c>
      <c r="C324" s="1" t="n">
        <v>46184</v>
      </c>
      <c r="D324" t="inlineStr">
        <is>
          <t>GÄVLEBORGS LÄN</t>
        </is>
      </c>
      <c r="E324" t="inlineStr">
        <is>
          <t>BOLLNÄS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59237-2024</t>
        </is>
      </c>
      <c r="B325" s="1" t="n">
        <v>45637.58819444444</v>
      </c>
      <c r="C325" s="1" t="n">
        <v>46184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47061-2025</t>
        </is>
      </c>
      <c r="B326" s="1" t="n">
        <v>45929.62881944444</v>
      </c>
      <c r="C326" s="1" t="n">
        <v>46184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47000-2025</t>
        </is>
      </c>
      <c r="B327" s="1" t="n">
        <v>45929.54972222223</v>
      </c>
      <c r="C327" s="1" t="n">
        <v>46184</v>
      </c>
      <c r="D327" t="inlineStr">
        <is>
          <t>GÄVLEBORGS LÄN</t>
        </is>
      </c>
      <c r="E327" t="inlineStr">
        <is>
          <t>BOLLNÄS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38764-2025</t>
        </is>
      </c>
      <c r="B328" s="1" t="n">
        <v>45887.40658564815</v>
      </c>
      <c r="C328" s="1" t="n">
        <v>46184</v>
      </c>
      <c r="D328" t="inlineStr">
        <is>
          <t>GÄVLEBORGS LÄN</t>
        </is>
      </c>
      <c r="E328" t="inlineStr">
        <is>
          <t>BOLLNÄS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61399-2023</t>
        </is>
      </c>
      <c r="B329" s="1" t="n">
        <v>45264</v>
      </c>
      <c r="C329" s="1" t="n">
        <v>46184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47322-2025</t>
        </is>
      </c>
      <c r="B330" s="1" t="n">
        <v>45930</v>
      </c>
      <c r="C330" s="1" t="n">
        <v>46184</v>
      </c>
      <c r="D330" t="inlineStr">
        <is>
          <t>GÄVLEBORGS LÄN</t>
        </is>
      </c>
      <c r="E330" t="inlineStr">
        <is>
          <t>BOLLNÄS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30292-2025</t>
        </is>
      </c>
      <c r="B331" s="1" t="n">
        <v>45827.47149305556</v>
      </c>
      <c r="C331" s="1" t="n">
        <v>46184</v>
      </c>
      <c r="D331" t="inlineStr">
        <is>
          <t>GÄVLEBORGS LÄN</t>
        </is>
      </c>
      <c r="E331" t="inlineStr">
        <is>
          <t>BOLLNÄS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50746-2025</t>
        </is>
      </c>
      <c r="B332" s="1" t="n">
        <v>45946.3878587963</v>
      </c>
      <c r="C332" s="1" t="n">
        <v>46184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51149-2023</t>
        </is>
      </c>
      <c r="B333" s="1" t="n">
        <v>45212</v>
      </c>
      <c r="C333" s="1" t="n">
        <v>46184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30458-2025</t>
        </is>
      </c>
      <c r="B334" s="1" t="n">
        <v>45827</v>
      </c>
      <c r="C334" s="1" t="n">
        <v>46184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47639-2025</t>
        </is>
      </c>
      <c r="B335" s="1" t="n">
        <v>45931.505625</v>
      </c>
      <c r="C335" s="1" t="n">
        <v>46184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30456-2025</t>
        </is>
      </c>
      <c r="B336" s="1" t="n">
        <v>45827</v>
      </c>
      <c r="C336" s="1" t="n">
        <v>46184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30455-2025</t>
        </is>
      </c>
      <c r="B337" s="1" t="n">
        <v>45827</v>
      </c>
      <c r="C337" s="1" t="n">
        <v>46184</v>
      </c>
      <c r="D337" t="inlineStr">
        <is>
          <t>GÄVLEBORGS LÄN</t>
        </is>
      </c>
      <c r="E337" t="inlineStr">
        <is>
          <t>BOLLNÄS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28771-2023</t>
        </is>
      </c>
      <c r="B338" s="1" t="n">
        <v>45104</v>
      </c>
      <c r="C338" s="1" t="n">
        <v>46184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30650-2025</t>
        </is>
      </c>
      <c r="B339" s="1" t="n">
        <v>45831.50133101852</v>
      </c>
      <c r="C339" s="1" t="n">
        <v>46184</v>
      </c>
      <c r="D339" t="inlineStr">
        <is>
          <t>GÄVLEBORGS LÄN</t>
        </is>
      </c>
      <c r="E339" t="inlineStr">
        <is>
          <t>BOLLNÄS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30749-2025</t>
        </is>
      </c>
      <c r="B340" s="1" t="n">
        <v>45831.58878472223</v>
      </c>
      <c r="C340" s="1" t="n">
        <v>46184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53195-2025</t>
        </is>
      </c>
      <c r="B341" s="1" t="n">
        <v>45958.57086805555</v>
      </c>
      <c r="C341" s="1" t="n">
        <v>46184</v>
      </c>
      <c r="D341" t="inlineStr">
        <is>
          <t>GÄVLEBORGS LÄN</t>
        </is>
      </c>
      <c r="E341" t="inlineStr">
        <is>
          <t>BOLLNÄS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53063-2025</t>
        </is>
      </c>
      <c r="B342" s="1" t="n">
        <v>45958</v>
      </c>
      <c r="C342" s="1" t="n">
        <v>46184</v>
      </c>
      <c r="D342" t="inlineStr">
        <is>
          <t>GÄVLEBORGS LÄN</t>
        </is>
      </c>
      <c r="E342" t="inlineStr">
        <is>
          <t>BOLLNÄS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53444-2025</t>
        </is>
      </c>
      <c r="B343" s="1" t="n">
        <v>45959.64644675926</v>
      </c>
      <c r="C343" s="1" t="n">
        <v>46184</v>
      </c>
      <c r="D343" t="inlineStr">
        <is>
          <t>GÄVLEBORGS LÄN</t>
        </is>
      </c>
      <c r="E343" t="inlineStr">
        <is>
          <t>BOLLNÄS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53198-2025</t>
        </is>
      </c>
      <c r="B344" s="1" t="n">
        <v>45958.57416666667</v>
      </c>
      <c r="C344" s="1" t="n">
        <v>46184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21061-2023</t>
        </is>
      </c>
      <c r="B345" s="1" t="n">
        <v>45061</v>
      </c>
      <c r="C345" s="1" t="n">
        <v>46184</v>
      </c>
      <c r="D345" t="inlineStr">
        <is>
          <t>GÄVLEBORGS LÄN</t>
        </is>
      </c>
      <c r="E345" t="inlineStr">
        <is>
          <t>BOLLNÄS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35181-2023</t>
        </is>
      </c>
      <c r="B346" s="1" t="n">
        <v>45145.59108796297</v>
      </c>
      <c r="C346" s="1" t="n">
        <v>46184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53036-2024</t>
        </is>
      </c>
      <c r="B347" s="1" t="n">
        <v>45611.43383101852</v>
      </c>
      <c r="C347" s="1" t="n">
        <v>46184</v>
      </c>
      <c r="D347" t="inlineStr">
        <is>
          <t>GÄVLEBORGS LÄN</t>
        </is>
      </c>
      <c r="E347" t="inlineStr">
        <is>
          <t>BOLLNÄS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31374-2025</t>
        </is>
      </c>
      <c r="B348" s="1" t="n">
        <v>45833.44599537037</v>
      </c>
      <c r="C348" s="1" t="n">
        <v>46184</v>
      </c>
      <c r="D348" t="inlineStr">
        <is>
          <t>GÄVLEBORGS LÄN</t>
        </is>
      </c>
      <c r="E348" t="inlineStr">
        <is>
          <t>BOLLNÄS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53037-2025</t>
        </is>
      </c>
      <c r="B349" s="1" t="n">
        <v>45958.35025462963</v>
      </c>
      <c r="C349" s="1" t="n">
        <v>46184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53067-2025</t>
        </is>
      </c>
      <c r="B350" s="1" t="n">
        <v>45958.37748842593</v>
      </c>
      <c r="C350" s="1" t="n">
        <v>46184</v>
      </c>
      <c r="D350" t="inlineStr">
        <is>
          <t>GÄVLEBORGS LÄN</t>
        </is>
      </c>
      <c r="E350" t="inlineStr">
        <is>
          <t>BOLLNÄS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53599-2025</t>
        </is>
      </c>
      <c r="B351" s="1" t="n">
        <v>45960.4559375</v>
      </c>
      <c r="C351" s="1" t="n">
        <v>46184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57689-2022</t>
        </is>
      </c>
      <c r="B352" s="1" t="n">
        <v>44897</v>
      </c>
      <c r="C352" s="1" t="n">
        <v>46184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54013-2025</t>
        </is>
      </c>
      <c r="B353" s="1" t="n">
        <v>45961.61868055556</v>
      </c>
      <c r="C353" s="1" t="n">
        <v>46184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24994-2024</t>
        </is>
      </c>
      <c r="B354" s="1" t="n">
        <v>45461</v>
      </c>
      <c r="C354" s="1" t="n">
        <v>46184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56209-2023</t>
        </is>
      </c>
      <c r="B355" s="1" t="n">
        <v>45240</v>
      </c>
      <c r="C355" s="1" t="n">
        <v>46184</v>
      </c>
      <c r="D355" t="inlineStr">
        <is>
          <t>GÄVLEBORGS LÄN</t>
        </is>
      </c>
      <c r="E355" t="inlineStr">
        <is>
          <t>BOLLNÄS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53818-2025</t>
        </is>
      </c>
      <c r="B356" s="1" t="n">
        <v>45961.29015046296</v>
      </c>
      <c r="C356" s="1" t="n">
        <v>46184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31954-2025</t>
        </is>
      </c>
      <c r="B357" s="1" t="n">
        <v>45835.34113425926</v>
      </c>
      <c r="C357" s="1" t="n">
        <v>46184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31719-2025</t>
        </is>
      </c>
      <c r="B358" s="1" t="n">
        <v>45834.46130787037</v>
      </c>
      <c r="C358" s="1" t="n">
        <v>46184</v>
      </c>
      <c r="D358" t="inlineStr">
        <is>
          <t>GÄVLEBORGS LÄN</t>
        </is>
      </c>
      <c r="E358" t="inlineStr">
        <is>
          <t>BOLLNÄS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34941-2024</t>
        </is>
      </c>
      <c r="B359" s="1" t="n">
        <v>45527.46644675926</v>
      </c>
      <c r="C359" s="1" t="n">
        <v>46184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31948-2025</t>
        </is>
      </c>
      <c r="B360" s="1" t="n">
        <v>45835.32489583334</v>
      </c>
      <c r="C360" s="1" t="n">
        <v>46184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31971-2025</t>
        </is>
      </c>
      <c r="B361" s="1" t="n">
        <v>45835.34876157407</v>
      </c>
      <c r="C361" s="1" t="n">
        <v>46184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48336-2023</t>
        </is>
      </c>
      <c r="B362" s="1" t="n">
        <v>45205</v>
      </c>
      <c r="C362" s="1" t="n">
        <v>46184</v>
      </c>
      <c r="D362" t="inlineStr">
        <is>
          <t>GÄVLEBORGS LÄN</t>
        </is>
      </c>
      <c r="E362" t="inlineStr">
        <is>
          <t>BOLLNÄS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53817-2025</t>
        </is>
      </c>
      <c r="B363" s="1" t="n">
        <v>45961.28778935185</v>
      </c>
      <c r="C363" s="1" t="n">
        <v>46184</v>
      </c>
      <c r="D363" t="inlineStr">
        <is>
          <t>GÄVLEBORGS LÄN</t>
        </is>
      </c>
      <c r="E363" t="inlineStr">
        <is>
          <t>BOLLNÄS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43384-2024</t>
        </is>
      </c>
      <c r="B364" s="1" t="n">
        <v>45568.5949537037</v>
      </c>
      <c r="C364" s="1" t="n">
        <v>46184</v>
      </c>
      <c r="D364" t="inlineStr">
        <is>
          <t>GÄVLEBORGS LÄN</t>
        </is>
      </c>
      <c r="E364" t="inlineStr">
        <is>
          <t>BOLLNÄS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53692-2025</t>
        </is>
      </c>
      <c r="B365" s="1" t="n">
        <v>45960.58421296296</v>
      </c>
      <c r="C365" s="1" t="n">
        <v>46184</v>
      </c>
      <c r="D365" t="inlineStr">
        <is>
          <t>GÄVLEBORGS LÄN</t>
        </is>
      </c>
      <c r="E365" t="inlineStr">
        <is>
          <t>BOLLNÄS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32405-2025</t>
        </is>
      </c>
      <c r="B366" s="1" t="n">
        <v>45838.31546296296</v>
      </c>
      <c r="C366" s="1" t="n">
        <v>46184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32411-2025</t>
        </is>
      </c>
      <c r="B367" s="1" t="n">
        <v>45838.33667824074</v>
      </c>
      <c r="C367" s="1" t="n">
        <v>46184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54149-2025</t>
        </is>
      </c>
      <c r="B368" s="1" t="n">
        <v>45964.48533564815</v>
      </c>
      <c r="C368" s="1" t="n">
        <v>46184</v>
      </c>
      <c r="D368" t="inlineStr">
        <is>
          <t>GÄVLEBORGS LÄN</t>
        </is>
      </c>
      <c r="E368" t="inlineStr">
        <is>
          <t>BOLLNÄS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54423-2025</t>
        </is>
      </c>
      <c r="B369" s="1" t="n">
        <v>45965.48761574074</v>
      </c>
      <c r="C369" s="1" t="n">
        <v>46184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18013-2023</t>
        </is>
      </c>
      <c r="B370" s="1" t="n">
        <v>45040.57412037037</v>
      </c>
      <c r="C370" s="1" t="n">
        <v>46184</v>
      </c>
      <c r="D370" t="inlineStr">
        <is>
          <t>GÄVLEBORGS LÄN</t>
        </is>
      </c>
      <c r="E370" t="inlineStr">
        <is>
          <t>BOLLNÄS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32603-2025</t>
        </is>
      </c>
      <c r="B371" s="1" t="n">
        <v>45838.62444444445</v>
      </c>
      <c r="C371" s="1" t="n">
        <v>46184</v>
      </c>
      <c r="D371" t="inlineStr">
        <is>
          <t>GÄVLEBORGS LÄN</t>
        </is>
      </c>
      <c r="E371" t="inlineStr">
        <is>
          <t>BOLLNÄS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54053-2025</t>
        </is>
      </c>
      <c r="B372" s="1" t="n">
        <v>45964.28209490741</v>
      </c>
      <c r="C372" s="1" t="n">
        <v>46184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54097-2025</t>
        </is>
      </c>
      <c r="B373" s="1" t="n">
        <v>45964.40912037037</v>
      </c>
      <c r="C373" s="1" t="n">
        <v>46184</v>
      </c>
      <c r="D373" t="inlineStr">
        <is>
          <t>GÄVLEBORGS LÄN</t>
        </is>
      </c>
      <c r="E373" t="inlineStr">
        <is>
          <t>BOLLNÄS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29723-2024</t>
        </is>
      </c>
      <c r="B374" s="1" t="n">
        <v>45485.36784722222</v>
      </c>
      <c r="C374" s="1" t="n">
        <v>46184</v>
      </c>
      <c r="D374" t="inlineStr">
        <is>
          <t>GÄVLEBORGS LÄN</t>
        </is>
      </c>
      <c r="E374" t="inlineStr">
        <is>
          <t>BOLLNÄS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54253-2025</t>
        </is>
      </c>
      <c r="B375" s="1" t="n">
        <v>45964.65013888889</v>
      </c>
      <c r="C375" s="1" t="n">
        <v>46184</v>
      </c>
      <c r="D375" t="inlineStr">
        <is>
          <t>GÄVLEBORGS LÄN</t>
        </is>
      </c>
      <c r="E375" t="inlineStr">
        <is>
          <t>BOLLNÄS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33624-2025</t>
        </is>
      </c>
      <c r="B376" s="1" t="n">
        <v>45841.63111111111</v>
      </c>
      <c r="C376" s="1" t="n">
        <v>46184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33259-2025</t>
        </is>
      </c>
      <c r="B377" s="1" t="n">
        <v>45840.67278935185</v>
      </c>
      <c r="C377" s="1" t="n">
        <v>46184</v>
      </c>
      <c r="D377" t="inlineStr">
        <is>
          <t>GÄVLEBORGS LÄN</t>
        </is>
      </c>
      <c r="E377" t="inlineStr">
        <is>
          <t>BOLLNÄS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33137-2025</t>
        </is>
      </c>
      <c r="B378" s="1" t="n">
        <v>45840.5125</v>
      </c>
      <c r="C378" s="1" t="n">
        <v>46184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54370-2025</t>
        </is>
      </c>
      <c r="B379" s="1" t="n">
        <v>45965.40790509259</v>
      </c>
      <c r="C379" s="1" t="n">
        <v>46184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54229-2025</t>
        </is>
      </c>
      <c r="B380" s="1" t="n">
        <v>45964.61523148148</v>
      </c>
      <c r="C380" s="1" t="n">
        <v>46184</v>
      </c>
      <c r="D380" t="inlineStr">
        <is>
          <t>GÄVLEBORGS LÄN</t>
        </is>
      </c>
      <c r="E380" t="inlineStr">
        <is>
          <t>BOLLNÄS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34239-2025</t>
        </is>
      </c>
      <c r="B381" s="1" t="n">
        <v>45845.67314814815</v>
      </c>
      <c r="C381" s="1" t="n">
        <v>46184</v>
      </c>
      <c r="D381" t="inlineStr">
        <is>
          <t>GÄVLEBORGS LÄN</t>
        </is>
      </c>
      <c r="E381" t="inlineStr">
        <is>
          <t>BOLLNÄS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34216-2025</t>
        </is>
      </c>
      <c r="B382" s="1" t="n">
        <v>45845.64680555555</v>
      </c>
      <c r="C382" s="1" t="n">
        <v>46184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34233-2025</t>
        </is>
      </c>
      <c r="B383" s="1" t="n">
        <v>45845</v>
      </c>
      <c r="C383" s="1" t="n">
        <v>46184</v>
      </c>
      <c r="D383" t="inlineStr">
        <is>
          <t>GÄVLEBORGS LÄN</t>
        </is>
      </c>
      <c r="E383" t="inlineStr">
        <is>
          <t>BOLLNÄS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49624-2022</t>
        </is>
      </c>
      <c r="B384" s="1" t="n">
        <v>44862</v>
      </c>
      <c r="C384" s="1" t="n">
        <v>46184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33944-2025</t>
        </is>
      </c>
      <c r="B385" s="1" t="n">
        <v>45842.64752314815</v>
      </c>
      <c r="C385" s="1" t="n">
        <v>46184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41740-2023</t>
        </is>
      </c>
      <c r="B386" s="1" t="n">
        <v>45176.41961805556</v>
      </c>
      <c r="C386" s="1" t="n">
        <v>46184</v>
      </c>
      <c r="D386" t="inlineStr">
        <is>
          <t>GÄVLEBORGS LÄN</t>
        </is>
      </c>
      <c r="E386" t="inlineStr">
        <is>
          <t>BOLLNÄS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23809-2024</t>
        </is>
      </c>
      <c r="B387" s="1" t="n">
        <v>45455.44559027778</v>
      </c>
      <c r="C387" s="1" t="n">
        <v>46184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34224-2025</t>
        </is>
      </c>
      <c r="B388" s="1" t="n">
        <v>45845.65662037037</v>
      </c>
      <c r="C388" s="1" t="n">
        <v>46184</v>
      </c>
      <c r="D388" t="inlineStr">
        <is>
          <t>GÄVLEBORGS LÄN</t>
        </is>
      </c>
      <c r="E388" t="inlineStr">
        <is>
          <t>BOLLNÄS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34481-2025</t>
        </is>
      </c>
      <c r="B389" s="1" t="n">
        <v>45847.37819444444</v>
      </c>
      <c r="C389" s="1" t="n">
        <v>46184</v>
      </c>
      <c r="D389" t="inlineStr">
        <is>
          <t>GÄVLEBORGS LÄN</t>
        </is>
      </c>
      <c r="E389" t="inlineStr">
        <is>
          <t>BOLLNÄS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53298-2023</t>
        </is>
      </c>
      <c r="B390" s="1" t="n">
        <v>45229</v>
      </c>
      <c r="C390" s="1" t="n">
        <v>46184</v>
      </c>
      <c r="D390" t="inlineStr">
        <is>
          <t>GÄVLEBORGS LÄN</t>
        </is>
      </c>
      <c r="E390" t="inlineStr">
        <is>
          <t>BOLLNÄS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34553-2025</t>
        </is>
      </c>
      <c r="B391" s="1" t="n">
        <v>45847.5684375</v>
      </c>
      <c r="C391" s="1" t="n">
        <v>46184</v>
      </c>
      <c r="D391" t="inlineStr">
        <is>
          <t>GÄVLEBORGS LÄN</t>
        </is>
      </c>
      <c r="E391" t="inlineStr">
        <is>
          <t>BOLLNÄS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34688-2025</t>
        </is>
      </c>
      <c r="B392" s="1" t="n">
        <v>45848</v>
      </c>
      <c r="C392" s="1" t="n">
        <v>46184</v>
      </c>
      <c r="D392" t="inlineStr">
        <is>
          <t>GÄVLEBORGS LÄN</t>
        </is>
      </c>
      <c r="E392" t="inlineStr">
        <is>
          <t>BOLLNÄS</t>
        </is>
      </c>
      <c r="F392" t="inlineStr">
        <is>
          <t>Holmen skog AB</t>
        </is>
      </c>
      <c r="G392" t="n">
        <v>32.6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12454-2023</t>
        </is>
      </c>
      <c r="B393" s="1" t="n">
        <v>44999.58185185185</v>
      </c>
      <c r="C393" s="1" t="n">
        <v>46184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35095-2025</t>
        </is>
      </c>
      <c r="B394" s="1" t="n">
        <v>45852.5432175926</v>
      </c>
      <c r="C394" s="1" t="n">
        <v>46184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55191-2025</t>
        </is>
      </c>
      <c r="B395" s="1" t="n">
        <v>45968.5480787037</v>
      </c>
      <c r="C395" s="1" t="n">
        <v>46184</v>
      </c>
      <c r="D395" t="inlineStr">
        <is>
          <t>GÄVLEBORGS LÄN</t>
        </is>
      </c>
      <c r="E395" t="inlineStr">
        <is>
          <t>BOLLNÄS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55164-2025</t>
        </is>
      </c>
      <c r="B396" s="1" t="n">
        <v>45968.48046296297</v>
      </c>
      <c r="C396" s="1" t="n">
        <v>46184</v>
      </c>
      <c r="D396" t="inlineStr">
        <is>
          <t>GÄVLEBORGS LÄN</t>
        </is>
      </c>
      <c r="E396" t="inlineStr">
        <is>
          <t>BOLLNÄS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32056-2023</t>
        </is>
      </c>
      <c r="B397" s="1" t="n">
        <v>45119.55945601852</v>
      </c>
      <c r="C397" s="1" t="n">
        <v>46184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31434-2022</t>
        </is>
      </c>
      <c r="B398" s="1" t="n">
        <v>44774.92517361111</v>
      </c>
      <c r="C398" s="1" t="n">
        <v>46184</v>
      </c>
      <c r="D398" t="inlineStr">
        <is>
          <t>GÄVLEBORGS LÄN</t>
        </is>
      </c>
      <c r="E398" t="inlineStr">
        <is>
          <t>BOLLNÄS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46184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43996-2024</t>
        </is>
      </c>
      <c r="B400" s="1" t="n">
        <v>45572.53714120371</v>
      </c>
      <c r="C400" s="1" t="n">
        <v>46184</v>
      </c>
      <c r="D400" t="inlineStr">
        <is>
          <t>GÄVLEBORGS LÄN</t>
        </is>
      </c>
      <c r="E400" t="inlineStr">
        <is>
          <t>BOLLNÄS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6903-2025</t>
        </is>
      </c>
      <c r="B401" s="1" t="n">
        <v>45701</v>
      </c>
      <c r="C401" s="1" t="n">
        <v>46184</v>
      </c>
      <c r="D401" t="inlineStr">
        <is>
          <t>GÄVLEBORGS LÄN</t>
        </is>
      </c>
      <c r="E401" t="inlineStr">
        <is>
          <t>BOLLNÄS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16627-2025</t>
        </is>
      </c>
      <c r="B402" s="1" t="n">
        <v>45754.35082175926</v>
      </c>
      <c r="C402" s="1" t="n">
        <v>46184</v>
      </c>
      <c r="D402" t="inlineStr">
        <is>
          <t>GÄVLEBORGS LÄN</t>
        </is>
      </c>
      <c r="E402" t="inlineStr">
        <is>
          <t>BOLLNÄS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55930-2025</t>
        </is>
      </c>
      <c r="B403" s="1" t="n">
        <v>45973.43680555555</v>
      </c>
      <c r="C403" s="1" t="n">
        <v>46184</v>
      </c>
      <c r="D403" t="inlineStr">
        <is>
          <t>GÄVLEBORGS LÄN</t>
        </is>
      </c>
      <c r="E403" t="inlineStr">
        <is>
          <t>BOLLNÄS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36228-2025</t>
        </is>
      </c>
      <c r="B404" s="1" t="n">
        <v>45867.53563657407</v>
      </c>
      <c r="C404" s="1" t="n">
        <v>46184</v>
      </c>
      <c r="D404" t="inlineStr">
        <is>
          <t>GÄVLEBORGS LÄN</t>
        </is>
      </c>
      <c r="E404" t="inlineStr">
        <is>
          <t>BOLLNÄS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36234-2025</t>
        </is>
      </c>
      <c r="B405" s="1" t="n">
        <v>45867.54785879629</v>
      </c>
      <c r="C405" s="1" t="n">
        <v>46184</v>
      </c>
      <c r="D405" t="inlineStr">
        <is>
          <t>GÄVLEBORGS LÄN</t>
        </is>
      </c>
      <c r="E405" t="inlineStr">
        <is>
          <t>BOLLNÄS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36265-2025</t>
        </is>
      </c>
      <c r="B406" s="1" t="n">
        <v>45867.61561342593</v>
      </c>
      <c r="C406" s="1" t="n">
        <v>46184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41266-2023</t>
        </is>
      </c>
      <c r="B407" s="1" t="n">
        <v>45174.54631944445</v>
      </c>
      <c r="C407" s="1" t="n">
        <v>46184</v>
      </c>
      <c r="D407" t="inlineStr">
        <is>
          <t>GÄVLEBORGS LÄN</t>
        </is>
      </c>
      <c r="E407" t="inlineStr">
        <is>
          <t>BOLLNÄS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56328-2025</t>
        </is>
      </c>
      <c r="B408" s="1" t="n">
        <v>45974.6381712963</v>
      </c>
      <c r="C408" s="1" t="n">
        <v>46184</v>
      </c>
      <c r="D408" t="inlineStr">
        <is>
          <t>GÄVLEBORGS LÄN</t>
        </is>
      </c>
      <c r="E408" t="inlineStr">
        <is>
          <t>BOLLNÄS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36474-2025</t>
        </is>
      </c>
      <c r="B409" s="1" t="n">
        <v>45869.48569444445</v>
      </c>
      <c r="C409" s="1" t="n">
        <v>46184</v>
      </c>
      <c r="D409" t="inlineStr">
        <is>
          <t>GÄVLEBORGS LÄN</t>
        </is>
      </c>
      <c r="E409" t="inlineStr">
        <is>
          <t>BOLLNÄS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56188-2025</t>
        </is>
      </c>
      <c r="B410" s="1" t="n">
        <v>45974.42587962963</v>
      </c>
      <c r="C410" s="1" t="n">
        <v>46184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36482-2025</t>
        </is>
      </c>
      <c r="B411" s="1" t="n">
        <v>45869.5053587963</v>
      </c>
      <c r="C411" s="1" t="n">
        <v>46184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56481-2025</t>
        </is>
      </c>
      <c r="B412" s="1" t="n">
        <v>45975.39924768519</v>
      </c>
      <c r="C412" s="1" t="n">
        <v>46184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58329-2024</t>
        </is>
      </c>
      <c r="B413" s="1" t="n">
        <v>45632.62980324074</v>
      </c>
      <c r="C413" s="1" t="n">
        <v>46184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56596-2025</t>
        </is>
      </c>
      <c r="B414" s="1" t="n">
        <v>45975.56984953704</v>
      </c>
      <c r="C414" s="1" t="n">
        <v>46184</v>
      </c>
      <c r="D414" t="inlineStr">
        <is>
          <t>GÄVLEBORGS LÄN</t>
        </is>
      </c>
      <c r="E414" t="inlineStr">
        <is>
          <t>BOLLNÄS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56609-2025</t>
        </is>
      </c>
      <c r="B415" s="1" t="n">
        <v>45975.58710648148</v>
      </c>
      <c r="C415" s="1" t="n">
        <v>46184</v>
      </c>
      <c r="D415" t="inlineStr">
        <is>
          <t>GÄVLEBORGS LÄN</t>
        </is>
      </c>
      <c r="E415" t="inlineStr">
        <is>
          <t>BOLLNÄS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2666-2025</t>
        </is>
      </c>
      <c r="B416" s="1" t="n">
        <v>45677.27112268518</v>
      </c>
      <c r="C416" s="1" t="n">
        <v>46184</v>
      </c>
      <c r="D416" t="inlineStr">
        <is>
          <t>GÄVLEBORGS LÄN</t>
        </is>
      </c>
      <c r="E416" t="inlineStr">
        <is>
          <t>BOLLNÄS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36957-2025</t>
        </is>
      </c>
      <c r="B417" s="1" t="n">
        <v>45874</v>
      </c>
      <c r="C417" s="1" t="n">
        <v>46184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59360-2024</t>
        </is>
      </c>
      <c r="B418" s="1" t="n">
        <v>45638.32483796297</v>
      </c>
      <c r="C418" s="1" t="n">
        <v>46184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51970-2024</t>
        </is>
      </c>
      <c r="B419" s="1" t="n">
        <v>45607</v>
      </c>
      <c r="C419" s="1" t="n">
        <v>46184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57214-2025</t>
        </is>
      </c>
      <c r="B420" s="1" t="n">
        <v>45979.60623842593</v>
      </c>
      <c r="C420" s="1" t="n">
        <v>46184</v>
      </c>
      <c r="D420" t="inlineStr">
        <is>
          <t>GÄVLEBORGS LÄN</t>
        </is>
      </c>
      <c r="E420" t="inlineStr">
        <is>
          <t>BOLLNÄS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57054-2025</t>
        </is>
      </c>
      <c r="B421" s="1" t="n">
        <v>45979.36201388889</v>
      </c>
      <c r="C421" s="1" t="n">
        <v>46184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55860-2025</t>
        </is>
      </c>
      <c r="B422" s="1" t="n">
        <v>45973</v>
      </c>
      <c r="C422" s="1" t="n">
        <v>46184</v>
      </c>
      <c r="D422" t="inlineStr">
        <is>
          <t>GÄVLEBORGS LÄN</t>
        </is>
      </c>
      <c r="E422" t="inlineStr">
        <is>
          <t>BOLLNÄS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27558-2023</t>
        </is>
      </c>
      <c r="B423" s="1" t="n">
        <v>45097</v>
      </c>
      <c r="C423" s="1" t="n">
        <v>46184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56958-2025</t>
        </is>
      </c>
      <c r="B424" s="1" t="n">
        <v>45978.65644675926</v>
      </c>
      <c r="C424" s="1" t="n">
        <v>46184</v>
      </c>
      <c r="D424" t="inlineStr">
        <is>
          <t>GÄVLEBORGS LÄN</t>
        </is>
      </c>
      <c r="E424" t="inlineStr">
        <is>
          <t>BOLLNÄS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15525-2025</t>
        </is>
      </c>
      <c r="B425" s="1" t="n">
        <v>45747</v>
      </c>
      <c r="C425" s="1" t="n">
        <v>46184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37987-2025</t>
        </is>
      </c>
      <c r="B426" s="1" t="n">
        <v>45881.7040162037</v>
      </c>
      <c r="C426" s="1" t="n">
        <v>46184</v>
      </c>
      <c r="D426" t="inlineStr">
        <is>
          <t>GÄVLEBORGS LÄN</t>
        </is>
      </c>
      <c r="E426" t="inlineStr">
        <is>
          <t>BOLLNÄS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29712-2023</t>
        </is>
      </c>
      <c r="B427" s="1" t="n">
        <v>45107</v>
      </c>
      <c r="C427" s="1" t="n">
        <v>46184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57151-2025</t>
        </is>
      </c>
      <c r="B428" s="1" t="n">
        <v>45979.5083912037</v>
      </c>
      <c r="C428" s="1" t="n">
        <v>46184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37631-2025</t>
        </is>
      </c>
      <c r="B429" s="1" t="n">
        <v>45880.46456018519</v>
      </c>
      <c r="C429" s="1" t="n">
        <v>46184</v>
      </c>
      <c r="D429" t="inlineStr">
        <is>
          <t>GÄVLEBORGS LÄN</t>
        </is>
      </c>
      <c r="E429" t="inlineStr">
        <is>
          <t>BOLLNÄS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43734-2023</t>
        </is>
      </c>
      <c r="B430" s="1" t="n">
        <v>45187.45697916667</v>
      </c>
      <c r="C430" s="1" t="n">
        <v>46184</v>
      </c>
      <c r="D430" t="inlineStr">
        <is>
          <t>GÄVLEBORGS LÄN</t>
        </is>
      </c>
      <c r="E430" t="inlineStr">
        <is>
          <t>BOLLNÄS</t>
        </is>
      </c>
      <c r="F430" t="inlineStr">
        <is>
          <t>Kyrkan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37780-2024</t>
        </is>
      </c>
      <c r="B431" s="1" t="n">
        <v>45542.70951388889</v>
      </c>
      <c r="C431" s="1" t="n">
        <v>46184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38074-2025</t>
        </is>
      </c>
      <c r="B432" s="1" t="n">
        <v>45882</v>
      </c>
      <c r="C432" s="1" t="n">
        <v>46184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38248-2025</t>
        </is>
      </c>
      <c r="B433" s="1" t="n">
        <v>45883.36921296296</v>
      </c>
      <c r="C433" s="1" t="n">
        <v>46184</v>
      </c>
      <c r="D433" t="inlineStr">
        <is>
          <t>GÄVLEBORGS LÄN</t>
        </is>
      </c>
      <c r="E433" t="inlineStr">
        <is>
          <t>BOLLNÄS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38251-2025</t>
        </is>
      </c>
      <c r="B434" s="1" t="n">
        <v>45883.375</v>
      </c>
      <c r="C434" s="1" t="n">
        <v>46184</v>
      </c>
      <c r="D434" t="inlineStr">
        <is>
          <t>GÄVLEBORGS LÄN</t>
        </is>
      </c>
      <c r="E434" t="inlineStr">
        <is>
          <t>BOLLNÄS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57706-2025</t>
        </is>
      </c>
      <c r="B435" s="1" t="n">
        <v>45981.46954861111</v>
      </c>
      <c r="C435" s="1" t="n">
        <v>46184</v>
      </c>
      <c r="D435" t="inlineStr">
        <is>
          <t>GÄVLEBORGS LÄN</t>
        </is>
      </c>
      <c r="E435" t="inlineStr">
        <is>
          <t>BOLLNÄS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38252-2025</t>
        </is>
      </c>
      <c r="B436" s="1" t="n">
        <v>45883.37849537037</v>
      </c>
      <c r="C436" s="1" t="n">
        <v>46184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48110-2022</t>
        </is>
      </c>
      <c r="B437" s="1" t="n">
        <v>44856.96982638889</v>
      </c>
      <c r="C437" s="1" t="n">
        <v>46184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57707-2025</t>
        </is>
      </c>
      <c r="B438" s="1" t="n">
        <v>45981.46956018519</v>
      </c>
      <c r="C438" s="1" t="n">
        <v>46184</v>
      </c>
      <c r="D438" t="inlineStr">
        <is>
          <t>GÄVLEBORGS LÄN</t>
        </is>
      </c>
      <c r="E438" t="inlineStr">
        <is>
          <t>BOLLNÄS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57708-2025</t>
        </is>
      </c>
      <c r="B439" s="1" t="n">
        <v>45981.46957175926</v>
      </c>
      <c r="C439" s="1" t="n">
        <v>46184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57893-2025</t>
        </is>
      </c>
      <c r="B440" s="1" t="n">
        <v>45981.69824074074</v>
      </c>
      <c r="C440" s="1" t="n">
        <v>46184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57443-2025</t>
        </is>
      </c>
      <c r="B441" s="1" t="n">
        <v>45980.48813657407</v>
      </c>
      <c r="C441" s="1" t="n">
        <v>46184</v>
      </c>
      <c r="D441" t="inlineStr">
        <is>
          <t>GÄVLEBORGS LÄN</t>
        </is>
      </c>
      <c r="E441" t="inlineStr">
        <is>
          <t>BOLLNÄS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24958-2023</t>
        </is>
      </c>
      <c r="B442" s="1" t="n">
        <v>45085</v>
      </c>
      <c r="C442" s="1" t="n">
        <v>46184</v>
      </c>
      <c r="D442" t="inlineStr">
        <is>
          <t>GÄVLEBORGS LÄN</t>
        </is>
      </c>
      <c r="E442" t="inlineStr">
        <is>
          <t>BOLLNÄS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57995-2025</t>
        </is>
      </c>
      <c r="B443" s="1" t="n">
        <v>45982.43063657408</v>
      </c>
      <c r="C443" s="1" t="n">
        <v>46184</v>
      </c>
      <c r="D443" t="inlineStr">
        <is>
          <t>GÄVLEBORGS LÄN</t>
        </is>
      </c>
      <c r="E443" t="inlineStr">
        <is>
          <t>BOLLNÄS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63108-2021</t>
        </is>
      </c>
      <c r="B444" s="1" t="n">
        <v>44505</v>
      </c>
      <c r="C444" s="1" t="n">
        <v>46184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38563-2025</t>
        </is>
      </c>
      <c r="B445" s="1" t="n">
        <v>45884.44887731481</v>
      </c>
      <c r="C445" s="1" t="n">
        <v>46184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58119-2025</t>
        </is>
      </c>
      <c r="B446" s="1" t="n">
        <v>45982.60759259259</v>
      </c>
      <c r="C446" s="1" t="n">
        <v>46184</v>
      </c>
      <c r="D446" t="inlineStr">
        <is>
          <t>GÄVLEBORGS LÄN</t>
        </is>
      </c>
      <c r="E446" t="inlineStr">
        <is>
          <t>BOLLNÄS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58127-2025</t>
        </is>
      </c>
      <c r="B447" s="1" t="n">
        <v>45982.61534722222</v>
      </c>
      <c r="C447" s="1" t="n">
        <v>46184</v>
      </c>
      <c r="D447" t="inlineStr">
        <is>
          <t>GÄVLEBORGS LÄN</t>
        </is>
      </c>
      <c r="E447" t="inlineStr">
        <is>
          <t>BOLLNÄS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58279-2025</t>
        </is>
      </c>
      <c r="B448" s="1" t="n">
        <v>45985.43799768519</v>
      </c>
      <c r="C448" s="1" t="n">
        <v>46184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58121-2025</t>
        </is>
      </c>
      <c r="B449" s="1" t="n">
        <v>45982.60978009259</v>
      </c>
      <c r="C449" s="1" t="n">
        <v>46184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58697-2025</t>
        </is>
      </c>
      <c r="B450" s="1" t="n">
        <v>45986.58783564815</v>
      </c>
      <c r="C450" s="1" t="n">
        <v>46184</v>
      </c>
      <c r="D450" t="inlineStr">
        <is>
          <t>GÄVLEBORGS LÄN</t>
        </is>
      </c>
      <c r="E450" t="inlineStr">
        <is>
          <t>BOLLNÄS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58808-2025</t>
        </is>
      </c>
      <c r="B451" s="1" t="n">
        <v>45987.29195601852</v>
      </c>
      <c r="C451" s="1" t="n">
        <v>46184</v>
      </c>
      <c r="D451" t="inlineStr">
        <is>
          <t>GÄVLEBORGS LÄN</t>
        </is>
      </c>
      <c r="E451" t="inlineStr">
        <is>
          <t>BOLLNÄS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58819-2025</t>
        </is>
      </c>
      <c r="B452" s="1" t="n">
        <v>45987.34052083334</v>
      </c>
      <c r="C452" s="1" t="n">
        <v>46184</v>
      </c>
      <c r="D452" t="inlineStr">
        <is>
          <t>GÄVLEBORGS LÄN</t>
        </is>
      </c>
      <c r="E452" t="inlineStr">
        <is>
          <t>BOLLNÄS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59362-2025</t>
        </is>
      </c>
      <c r="B453" s="1" t="n">
        <v>45989.43668981481</v>
      </c>
      <c r="C453" s="1" t="n">
        <v>46184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56208-2023</t>
        </is>
      </c>
      <c r="B454" s="1" t="n">
        <v>45240</v>
      </c>
      <c r="C454" s="1" t="n">
        <v>46184</v>
      </c>
      <c r="D454" t="inlineStr">
        <is>
          <t>GÄVLEBORGS LÄN</t>
        </is>
      </c>
      <c r="E454" t="inlineStr">
        <is>
          <t>BOLLNÄS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36058-2023</t>
        </is>
      </c>
      <c r="B455" s="1" t="n">
        <v>45149</v>
      </c>
      <c r="C455" s="1" t="n">
        <v>46184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36061-2023</t>
        </is>
      </c>
      <c r="B456" s="1" t="n">
        <v>45149.46030092592</v>
      </c>
      <c r="C456" s="1" t="n">
        <v>46184</v>
      </c>
      <c r="D456" t="inlineStr">
        <is>
          <t>GÄVLEBORGS LÄN</t>
        </is>
      </c>
      <c r="E456" t="inlineStr">
        <is>
          <t>BOLLNÄS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28983-2022</t>
        </is>
      </c>
      <c r="B457" s="1" t="n">
        <v>44749.65376157407</v>
      </c>
      <c r="C457" s="1" t="n">
        <v>46184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56024-2024</t>
        </is>
      </c>
      <c r="B458" s="1" t="n">
        <v>45624.28030092592</v>
      </c>
      <c r="C458" s="1" t="n">
        <v>46184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60335-2022</t>
        </is>
      </c>
      <c r="B459" s="1" t="n">
        <v>44910.60543981481</v>
      </c>
      <c r="C459" s="1" t="n">
        <v>46184</v>
      </c>
      <c r="D459" t="inlineStr">
        <is>
          <t>GÄVLEBORGS LÄN</t>
        </is>
      </c>
      <c r="E459" t="inlineStr">
        <is>
          <t>BOLLNÄS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9262-2024</t>
        </is>
      </c>
      <c r="B460" s="1" t="n">
        <v>45358.60657407407</v>
      </c>
      <c r="C460" s="1" t="n">
        <v>46184</v>
      </c>
      <c r="D460" t="inlineStr">
        <is>
          <t>GÄVLEBORGS LÄN</t>
        </is>
      </c>
      <c r="E460" t="inlineStr">
        <is>
          <t>BOLLNÄS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59428-2025</t>
        </is>
      </c>
      <c r="B461" s="1" t="n">
        <v>45989.5432175926</v>
      </c>
      <c r="C461" s="1" t="n">
        <v>46184</v>
      </c>
      <c r="D461" t="inlineStr">
        <is>
          <t>GÄVLEBORGS LÄN</t>
        </is>
      </c>
      <c r="E461" t="inlineStr">
        <is>
          <t>BOLLNÄS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59441-2025</t>
        </is>
      </c>
      <c r="B462" s="1" t="n">
        <v>45989.56060185185</v>
      </c>
      <c r="C462" s="1" t="n">
        <v>46184</v>
      </c>
      <c r="D462" t="inlineStr">
        <is>
          <t>GÄVLEBORGS LÄN</t>
        </is>
      </c>
      <c r="E462" t="inlineStr">
        <is>
          <t>BOLLNÄS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521-2024</t>
        </is>
      </c>
      <c r="B463" s="1" t="n">
        <v>45299.4562037037</v>
      </c>
      <c r="C463" s="1" t="n">
        <v>46184</v>
      </c>
      <c r="D463" t="inlineStr">
        <is>
          <t>GÄVLEBORGS LÄN</t>
        </is>
      </c>
      <c r="E463" t="inlineStr">
        <is>
          <t>BOLLNÄS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62685-2023</t>
        </is>
      </c>
      <c r="B464" s="1" t="n">
        <v>45271.49274305555</v>
      </c>
      <c r="C464" s="1" t="n">
        <v>46184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59427-2025</t>
        </is>
      </c>
      <c r="B465" s="1" t="n">
        <v>45989.5421875</v>
      </c>
      <c r="C465" s="1" t="n">
        <v>46184</v>
      </c>
      <c r="D465" t="inlineStr">
        <is>
          <t>GÄVLEBORGS LÄN</t>
        </is>
      </c>
      <c r="E465" t="inlineStr">
        <is>
          <t>BOLLNÄS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46958-2024</t>
        </is>
      </c>
      <c r="B466" s="1" t="n">
        <v>45586.29105324074</v>
      </c>
      <c r="C466" s="1" t="n">
        <v>46184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51133-2023</t>
        </is>
      </c>
      <c r="B467" s="1" t="n">
        <v>45219.33283564815</v>
      </c>
      <c r="C467" s="1" t="n">
        <v>46184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58100-2025</t>
        </is>
      </c>
      <c r="B468" s="1" t="n">
        <v>45982.58819444444</v>
      </c>
      <c r="C468" s="1" t="n">
        <v>46184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59844-2025</t>
        </is>
      </c>
      <c r="B469" s="1" t="n">
        <v>45992.6824537037</v>
      </c>
      <c r="C469" s="1" t="n">
        <v>46184</v>
      </c>
      <c r="D469" t="inlineStr">
        <is>
          <t>GÄVLEBORGS LÄN</t>
        </is>
      </c>
      <c r="E469" t="inlineStr">
        <is>
          <t>BOLLNÄS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58748-2024</t>
        </is>
      </c>
      <c r="B470" s="1" t="n">
        <v>45635.71362268519</v>
      </c>
      <c r="C470" s="1" t="n">
        <v>46184</v>
      </c>
      <c r="D470" t="inlineStr">
        <is>
          <t>GÄVLEBORGS LÄN</t>
        </is>
      </c>
      <c r="E470" t="inlineStr">
        <is>
          <t>BOLLNÄS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54949-2022</t>
        </is>
      </c>
      <c r="B471" s="1" t="n">
        <v>44886.469375</v>
      </c>
      <c r="C471" s="1" t="n">
        <v>46184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54974-2022</t>
        </is>
      </c>
      <c r="B472" s="1" t="n">
        <v>44886.48644675926</v>
      </c>
      <c r="C472" s="1" t="n">
        <v>46184</v>
      </c>
      <c r="D472" t="inlineStr">
        <is>
          <t>GÄVLEBORGS LÄN</t>
        </is>
      </c>
      <c r="E472" t="inlineStr">
        <is>
          <t>BOLLNÄS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60757-2025</t>
        </is>
      </c>
      <c r="B473" s="1" t="n">
        <v>45999.38424768519</v>
      </c>
      <c r="C473" s="1" t="n">
        <v>46184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60779-2025</t>
        </is>
      </c>
      <c r="B474" s="1" t="n">
        <v>45999.39215277778</v>
      </c>
      <c r="C474" s="1" t="n">
        <v>46184</v>
      </c>
      <c r="D474" t="inlineStr">
        <is>
          <t>GÄVLEBORGS LÄN</t>
        </is>
      </c>
      <c r="E474" t="inlineStr">
        <is>
          <t>BOLLNÄS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60955-2025</t>
        </is>
      </c>
      <c r="B475" s="1" t="n">
        <v>45999</v>
      </c>
      <c r="C475" s="1" t="n">
        <v>46184</v>
      </c>
      <c r="D475" t="inlineStr">
        <is>
          <t>GÄVLEBORGS LÄN</t>
        </is>
      </c>
      <c r="E475" t="inlineStr">
        <is>
          <t>BOLLNÄS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60707-2025</t>
        </is>
      </c>
      <c r="B476" s="1" t="n">
        <v>45996.61716435185</v>
      </c>
      <c r="C476" s="1" t="n">
        <v>46184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60810-2025</t>
        </is>
      </c>
      <c r="B477" s="1" t="n">
        <v>45999.44400462963</v>
      </c>
      <c r="C477" s="1" t="n">
        <v>46184</v>
      </c>
      <c r="D477" t="inlineStr">
        <is>
          <t>GÄVLEBORGS LÄN</t>
        </is>
      </c>
      <c r="E477" t="inlineStr">
        <is>
          <t>BOLLNÄS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60573-2025</t>
        </is>
      </c>
      <c r="B478" s="1" t="n">
        <v>45996.24320601852</v>
      </c>
      <c r="C478" s="1" t="n">
        <v>46184</v>
      </c>
      <c r="D478" t="inlineStr">
        <is>
          <t>GÄVLEBORGS LÄN</t>
        </is>
      </c>
      <c r="E478" t="inlineStr">
        <is>
          <t>BOLLNÄS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61043-2025</t>
        </is>
      </c>
      <c r="B479" s="1" t="n">
        <v>46000.28028935185</v>
      </c>
      <c r="C479" s="1" t="n">
        <v>46184</v>
      </c>
      <c r="D479" t="inlineStr">
        <is>
          <t>GÄVLEBORGS LÄN</t>
        </is>
      </c>
      <c r="E479" t="inlineStr">
        <is>
          <t>BOLLNÄS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55048-2022</t>
        </is>
      </c>
      <c r="B480" s="1" t="n">
        <v>44886</v>
      </c>
      <c r="C480" s="1" t="n">
        <v>46184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61835-2025</t>
        </is>
      </c>
      <c r="B481" s="1" t="n">
        <v>46003.34667824074</v>
      </c>
      <c r="C481" s="1" t="n">
        <v>46184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64422-2023</t>
        </is>
      </c>
      <c r="B482" s="1" t="n">
        <v>45280.65898148148</v>
      </c>
      <c r="C482" s="1" t="n">
        <v>46184</v>
      </c>
      <c r="D482" t="inlineStr">
        <is>
          <t>GÄVLEBORGS LÄN</t>
        </is>
      </c>
      <c r="E482" t="inlineStr">
        <is>
          <t>BOLLNÄS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61689-2025</t>
        </is>
      </c>
      <c r="B483" s="1" t="n">
        <v>46002</v>
      </c>
      <c r="C483" s="1" t="n">
        <v>46184</v>
      </c>
      <c r="D483" t="inlineStr">
        <is>
          <t>GÄVLEBORGS LÄN</t>
        </is>
      </c>
      <c r="E483" t="inlineStr">
        <is>
          <t>BOLLNÄS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61568-2025</t>
        </is>
      </c>
      <c r="B484" s="1" t="n">
        <v>46002.25414351852</v>
      </c>
      <c r="C484" s="1" t="n">
        <v>46184</v>
      </c>
      <c r="D484" t="inlineStr">
        <is>
          <t>GÄVLEBORGS LÄN</t>
        </is>
      </c>
      <c r="E484" t="inlineStr">
        <is>
          <t>BOLLNÄS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61686-2025</t>
        </is>
      </c>
      <c r="B485" s="1" t="n">
        <v>46002</v>
      </c>
      <c r="C485" s="1" t="n">
        <v>46184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62272-2025</t>
        </is>
      </c>
      <c r="B486" s="1" t="n">
        <v>46006.6241087963</v>
      </c>
      <c r="C486" s="1" t="n">
        <v>46184</v>
      </c>
      <c r="D486" t="inlineStr">
        <is>
          <t>GÄVLEBORGS LÄN</t>
        </is>
      </c>
      <c r="E486" t="inlineStr">
        <is>
          <t>BOLLNÄS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62355-2025</t>
        </is>
      </c>
      <c r="B487" s="1" t="n">
        <v>46007.29127314815</v>
      </c>
      <c r="C487" s="1" t="n">
        <v>46184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41962-2022</t>
        </is>
      </c>
      <c r="B488" s="1" t="n">
        <v>44830</v>
      </c>
      <c r="C488" s="1" t="n">
        <v>46184</v>
      </c>
      <c r="D488" t="inlineStr">
        <is>
          <t>GÄVLEBORGS LÄN</t>
        </is>
      </c>
      <c r="E488" t="inlineStr">
        <is>
          <t>BOLLNÄS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61604-2025</t>
        </is>
      </c>
      <c r="B489" s="1" t="n">
        <v>46002.37079861111</v>
      </c>
      <c r="C489" s="1" t="n">
        <v>46184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34613-2024</t>
        </is>
      </c>
      <c r="B490" s="1" t="n">
        <v>45526.41092592593</v>
      </c>
      <c r="C490" s="1" t="n">
        <v>46184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51259-2023</t>
        </is>
      </c>
      <c r="B491" s="1" t="n">
        <v>45219</v>
      </c>
      <c r="C491" s="1" t="n">
        <v>46184</v>
      </c>
      <c r="D491" t="inlineStr">
        <is>
          <t>GÄVLEBORGS LÄN</t>
        </is>
      </c>
      <c r="E491" t="inlineStr">
        <is>
          <t>BOLLNÄS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51261-2023</t>
        </is>
      </c>
      <c r="B492" s="1" t="n">
        <v>45219</v>
      </c>
      <c r="C492" s="1" t="n">
        <v>46184</v>
      </c>
      <c r="D492" t="inlineStr">
        <is>
          <t>GÄVLEBORGS LÄN</t>
        </is>
      </c>
      <c r="E492" t="inlineStr">
        <is>
          <t>BOLLNÄS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50066-2022</t>
        </is>
      </c>
      <c r="B493" s="1" t="n">
        <v>44865.47965277778</v>
      </c>
      <c r="C493" s="1" t="n">
        <v>46184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34562-2021</t>
        </is>
      </c>
      <c r="B494" s="1" t="n">
        <v>44382</v>
      </c>
      <c r="C494" s="1" t="n">
        <v>46184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63027-2025</t>
        </is>
      </c>
      <c r="B495" s="1" t="n">
        <v>46009.595625</v>
      </c>
      <c r="C495" s="1" t="n">
        <v>46184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62656-2025</t>
        </is>
      </c>
      <c r="B496" s="1" t="n">
        <v>46008.41877314815</v>
      </c>
      <c r="C496" s="1" t="n">
        <v>46184</v>
      </c>
      <c r="D496" t="inlineStr">
        <is>
          <t>GÄVLEBORGS LÄN</t>
        </is>
      </c>
      <c r="E496" t="inlineStr">
        <is>
          <t>BOLLNÄS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63326-2025</t>
        </is>
      </c>
      <c r="B497" s="1" t="n">
        <v>46010.63858796296</v>
      </c>
      <c r="C497" s="1" t="n">
        <v>46184</v>
      </c>
      <c r="D497" t="inlineStr">
        <is>
          <t>GÄVLEBORGS LÄN</t>
        </is>
      </c>
      <c r="E497" t="inlineStr">
        <is>
          <t>BOLLNÄS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64109-2025</t>
        </is>
      </c>
      <c r="B498" s="1" t="n">
        <v>46013</v>
      </c>
      <c r="C498" s="1" t="n">
        <v>46184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63200-2025</t>
        </is>
      </c>
      <c r="B499" s="1" t="n">
        <v>46010.46172453704</v>
      </c>
      <c r="C499" s="1" t="n">
        <v>46184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65403-2021</t>
        </is>
      </c>
      <c r="B500" s="1" t="n">
        <v>44515</v>
      </c>
      <c r="C500" s="1" t="n">
        <v>46184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51867-2022</t>
        </is>
      </c>
      <c r="B501" s="1" t="n">
        <v>44872.58997685185</v>
      </c>
      <c r="C501" s="1" t="n">
        <v>46184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63312-2025</t>
        </is>
      </c>
      <c r="B502" s="1" t="n">
        <v>46010.62248842593</v>
      </c>
      <c r="C502" s="1" t="n">
        <v>46184</v>
      </c>
      <c r="D502" t="inlineStr">
        <is>
          <t>GÄVLEBORGS LÄN</t>
        </is>
      </c>
      <c r="E502" t="inlineStr">
        <is>
          <t>BOLLNÄS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63214-2025</t>
        </is>
      </c>
      <c r="B503" s="1" t="n">
        <v>46010</v>
      </c>
      <c r="C503" s="1" t="n">
        <v>46184</v>
      </c>
      <c r="D503" t="inlineStr">
        <is>
          <t>GÄVLEBORGS LÄN</t>
        </is>
      </c>
      <c r="E503" t="inlineStr">
        <is>
          <t>BOLLNÄS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63272-2025</t>
        </is>
      </c>
      <c r="B504" s="1" t="n">
        <v>46010.57067129629</v>
      </c>
      <c r="C504" s="1" t="n">
        <v>46184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63270-2025</t>
        </is>
      </c>
      <c r="B505" s="1" t="n">
        <v>46010.56822916667</v>
      </c>
      <c r="C505" s="1" t="n">
        <v>46184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63286-2025</t>
        </is>
      </c>
      <c r="B506" s="1" t="n">
        <v>46010.58943287037</v>
      </c>
      <c r="C506" s="1" t="n">
        <v>46184</v>
      </c>
      <c r="D506" t="inlineStr">
        <is>
          <t>GÄVLEBORGS LÄN</t>
        </is>
      </c>
      <c r="E506" t="inlineStr">
        <is>
          <t>BOLLNÄS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61612-2025</t>
        </is>
      </c>
      <c r="B507" s="1" t="n">
        <v>46002.38555555556</v>
      </c>
      <c r="C507" s="1" t="n">
        <v>46184</v>
      </c>
      <c r="D507" t="inlineStr">
        <is>
          <t>GÄVLEBORGS LÄN</t>
        </is>
      </c>
      <c r="E507" t="inlineStr">
        <is>
          <t>BOLLNÄS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57196-2025</t>
        </is>
      </c>
      <c r="B508" s="1" t="n">
        <v>45979</v>
      </c>
      <c r="C508" s="1" t="n">
        <v>46184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71678-2021</t>
        </is>
      </c>
      <c r="B509" s="1" t="n">
        <v>44543.40311342593</v>
      </c>
      <c r="C509" s="1" t="n">
        <v>46184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29773-2023</t>
        </is>
      </c>
      <c r="B510" s="1" t="n">
        <v>45107.48931712963</v>
      </c>
      <c r="C510" s="1" t="n">
        <v>46184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47701-2023</t>
        </is>
      </c>
      <c r="B511" s="1" t="n">
        <v>45203.64033564815</v>
      </c>
      <c r="C511" s="1" t="n">
        <v>46184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9474-2022</t>
        </is>
      </c>
      <c r="B512" s="1" t="n">
        <v>44616.92188657408</v>
      </c>
      <c r="C512" s="1" t="n">
        <v>46184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63984-2025</t>
        </is>
      </c>
      <c r="B513" s="1" t="n">
        <v>46021</v>
      </c>
      <c r="C513" s="1" t="n">
        <v>46184</v>
      </c>
      <c r="D513" t="inlineStr">
        <is>
          <t>GÄVLEBORGS LÄN</t>
        </is>
      </c>
      <c r="E513" t="inlineStr">
        <is>
          <t>BOLLNÄS</t>
        </is>
      </c>
      <c r="G513" t="n">
        <v>10.6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63876-2025</t>
        </is>
      </c>
      <c r="B514" s="1" t="n">
        <v>46020</v>
      </c>
      <c r="C514" s="1" t="n">
        <v>46184</v>
      </c>
      <c r="D514" t="inlineStr">
        <is>
          <t>GÄVLEBORGS LÄN</t>
        </is>
      </c>
      <c r="E514" t="inlineStr">
        <is>
          <t>BOLLNÄS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63976-2025</t>
        </is>
      </c>
      <c r="B515" s="1" t="n">
        <v>46021</v>
      </c>
      <c r="C515" s="1" t="n">
        <v>46184</v>
      </c>
      <c r="D515" t="inlineStr">
        <is>
          <t>GÄVLEBORGS LÄN</t>
        </is>
      </c>
      <c r="E515" t="inlineStr">
        <is>
          <t>BOLLNÄS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7015-2025</t>
        </is>
      </c>
      <c r="B516" s="1" t="n">
        <v>45701.61202546296</v>
      </c>
      <c r="C516" s="1" t="n">
        <v>46184</v>
      </c>
      <c r="D516" t="inlineStr">
        <is>
          <t>GÄVLEBORGS LÄN</t>
        </is>
      </c>
      <c r="E516" t="inlineStr">
        <is>
          <t>BOLLNÄS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63870-2025</t>
        </is>
      </c>
      <c r="B517" s="1" t="n">
        <v>46020</v>
      </c>
      <c r="C517" s="1" t="n">
        <v>46184</v>
      </c>
      <c r="D517" t="inlineStr">
        <is>
          <t>GÄVLEBORGS LÄN</t>
        </is>
      </c>
      <c r="E517" t="inlineStr">
        <is>
          <t>BOLLNÄS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42233-2023</t>
        </is>
      </c>
      <c r="B518" s="1" t="n">
        <v>45180</v>
      </c>
      <c r="C518" s="1" t="n">
        <v>46184</v>
      </c>
      <c r="D518" t="inlineStr">
        <is>
          <t>GÄVLEBORGS LÄN</t>
        </is>
      </c>
      <c r="E518" t="inlineStr">
        <is>
          <t>BOLLNÄS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3630-2025</t>
        </is>
      </c>
      <c r="B519" s="1" t="n">
        <v>45681.37418981481</v>
      </c>
      <c r="C519" s="1" t="n">
        <v>46184</v>
      </c>
      <c r="D519" t="inlineStr">
        <is>
          <t>GÄVLEBORGS LÄN</t>
        </is>
      </c>
      <c r="E519" t="inlineStr">
        <is>
          <t>BOLLNÄS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253-2026</t>
        </is>
      </c>
      <c r="B520" s="1" t="n">
        <v>46027</v>
      </c>
      <c r="C520" s="1" t="n">
        <v>46184</v>
      </c>
      <c r="D520" t="inlineStr">
        <is>
          <t>GÄVLEBORGS LÄN</t>
        </is>
      </c>
      <c r="E520" t="inlineStr">
        <is>
          <t>BOLLNÄS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61622-2025</t>
        </is>
      </c>
      <c r="B521" s="1" t="n">
        <v>46002.39645833334</v>
      </c>
      <c r="C521" s="1" t="n">
        <v>46184</v>
      </c>
      <c r="D521" t="inlineStr">
        <is>
          <t>GÄVLEBORGS LÄN</t>
        </is>
      </c>
      <c r="E521" t="inlineStr">
        <is>
          <t>BOLLNÄS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60491-2023</t>
        </is>
      </c>
      <c r="B522" s="1" t="n">
        <v>45258</v>
      </c>
      <c r="C522" s="1" t="n">
        <v>46184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27-2026</t>
        </is>
      </c>
      <c r="B523" s="1" t="n">
        <v>46024.31964120371</v>
      </c>
      <c r="C523" s="1" t="n">
        <v>46184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50-2026</t>
        </is>
      </c>
      <c r="B524" s="1" t="n">
        <v>46024.41872685185</v>
      </c>
      <c r="C524" s="1" t="n">
        <v>46184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61619-2025</t>
        </is>
      </c>
      <c r="B525" s="1" t="n">
        <v>46002.39142361111</v>
      </c>
      <c r="C525" s="1" t="n">
        <v>46184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62825-2025</t>
        </is>
      </c>
      <c r="B526" s="1" t="n">
        <v>46008.65835648148</v>
      </c>
      <c r="C526" s="1" t="n">
        <v>46184</v>
      </c>
      <c r="D526" t="inlineStr">
        <is>
          <t>GÄVLEBORGS LÄN</t>
        </is>
      </c>
      <c r="E526" t="inlineStr">
        <is>
          <t>BOLLNÄS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25-2026</t>
        </is>
      </c>
      <c r="B527" s="1" t="n">
        <v>46024.04291666667</v>
      </c>
      <c r="C527" s="1" t="n">
        <v>46184</v>
      </c>
      <c r="D527" t="inlineStr">
        <is>
          <t>GÄVLEBORGS LÄN</t>
        </is>
      </c>
      <c r="E527" t="inlineStr">
        <is>
          <t>BOLLNÄS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533-2026</t>
        </is>
      </c>
      <c r="B528" s="1" t="n">
        <v>46029</v>
      </c>
      <c r="C528" s="1" t="n">
        <v>46184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551-2026</t>
        </is>
      </c>
      <c r="B529" s="1" t="n">
        <v>46029.46196759259</v>
      </c>
      <c r="C529" s="1" t="n">
        <v>46184</v>
      </c>
      <c r="D529" t="inlineStr">
        <is>
          <t>GÄVLEBORGS LÄN</t>
        </is>
      </c>
      <c r="E529" t="inlineStr">
        <is>
          <t>BOLLNÄS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82-2026</t>
        </is>
      </c>
      <c r="B530" s="1" t="n">
        <v>46024.47092592593</v>
      </c>
      <c r="C530" s="1" t="n">
        <v>46184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439-2026</t>
        </is>
      </c>
      <c r="B531" s="1" t="n">
        <v>46029.34439814815</v>
      </c>
      <c r="C531" s="1" t="n">
        <v>46184</v>
      </c>
      <c r="D531" t="inlineStr">
        <is>
          <t>GÄVLEBORGS LÄN</t>
        </is>
      </c>
      <c r="E531" t="inlineStr">
        <is>
          <t>BOLLNÄS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507-2026</t>
        </is>
      </c>
      <c r="B532" s="1" t="n">
        <v>46029</v>
      </c>
      <c r="C532" s="1" t="n">
        <v>46184</v>
      </c>
      <c r="D532" t="inlineStr">
        <is>
          <t>GÄVLEBORGS LÄN</t>
        </is>
      </c>
      <c r="E532" t="inlineStr">
        <is>
          <t>BOLLNÄS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35067-2023</t>
        </is>
      </c>
      <c r="B533" s="1" t="n">
        <v>45145.41471064815</v>
      </c>
      <c r="C533" s="1" t="n">
        <v>46184</v>
      </c>
      <c r="D533" t="inlineStr">
        <is>
          <t>GÄVLEBORGS LÄN</t>
        </is>
      </c>
      <c r="E533" t="inlineStr">
        <is>
          <t>BOLLNÄS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652-2026</t>
        </is>
      </c>
      <c r="B534" s="1" t="n">
        <v>46029.57582175926</v>
      </c>
      <c r="C534" s="1" t="n">
        <v>46184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438-2026</t>
        </is>
      </c>
      <c r="B535" s="1" t="n">
        <v>46029.344375</v>
      </c>
      <c r="C535" s="1" t="n">
        <v>46184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762-2026</t>
        </is>
      </c>
      <c r="B536" s="1" t="n">
        <v>46029</v>
      </c>
      <c r="C536" s="1" t="n">
        <v>46184</v>
      </c>
      <c r="D536" t="inlineStr">
        <is>
          <t>GÄVLEBORGS LÄN</t>
        </is>
      </c>
      <c r="E536" t="inlineStr">
        <is>
          <t>BOLLNÄS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1213-2026</t>
        </is>
      </c>
      <c r="B537" s="1" t="n">
        <v>46031</v>
      </c>
      <c r="C537" s="1" t="n">
        <v>46184</v>
      </c>
      <c r="D537" t="inlineStr">
        <is>
          <t>GÄVLEBORGS LÄN</t>
        </is>
      </c>
      <c r="E537" t="inlineStr">
        <is>
          <t>BOLLNÄS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1376-2026</t>
        </is>
      </c>
      <c r="B538" s="1" t="n">
        <v>46031.61568287037</v>
      </c>
      <c r="C538" s="1" t="n">
        <v>46184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60426-2024</t>
        </is>
      </c>
      <c r="B539" s="1" t="n">
        <v>45643</v>
      </c>
      <c r="C539" s="1" t="n">
        <v>46184</v>
      </c>
      <c r="D539" t="inlineStr">
        <is>
          <t>GÄVLEBORGS LÄN</t>
        </is>
      </c>
      <c r="E539" t="inlineStr">
        <is>
          <t>BOLLNÄS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811-2026</t>
        </is>
      </c>
      <c r="B540" s="1" t="n">
        <v>46030.32644675926</v>
      </c>
      <c r="C540" s="1" t="n">
        <v>46184</v>
      </c>
      <c r="D540" t="inlineStr">
        <is>
          <t>GÄVLEBORGS LÄN</t>
        </is>
      </c>
      <c r="E540" t="inlineStr">
        <is>
          <t>BOLLNÄS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31574-2024</t>
        </is>
      </c>
      <c r="B541" s="1" t="n">
        <v>45506</v>
      </c>
      <c r="C541" s="1" t="n">
        <v>46184</v>
      </c>
      <c r="D541" t="inlineStr">
        <is>
          <t>GÄVLEBORGS LÄN</t>
        </is>
      </c>
      <c r="E541" t="inlineStr">
        <is>
          <t>BOLLNÄS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1027-2026</t>
        </is>
      </c>
      <c r="B542" s="1" t="n">
        <v>46030.61443287037</v>
      </c>
      <c r="C542" s="1" t="n">
        <v>46184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950-2026</t>
        </is>
      </c>
      <c r="B543" s="1" t="n">
        <v>46030</v>
      </c>
      <c r="C543" s="1" t="n">
        <v>46184</v>
      </c>
      <c r="D543" t="inlineStr">
        <is>
          <t>GÄVLEBORGS LÄN</t>
        </is>
      </c>
      <c r="E543" t="inlineStr">
        <is>
          <t>BOLLNÄS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1093-2026</t>
        </is>
      </c>
      <c r="B544" s="1" t="n">
        <v>46030.66121527777</v>
      </c>
      <c r="C544" s="1" t="n">
        <v>46184</v>
      </c>
      <c r="D544" t="inlineStr">
        <is>
          <t>GÄVLEBORGS LÄN</t>
        </is>
      </c>
      <c r="E544" t="inlineStr">
        <is>
          <t>BOLLNÄS</t>
        </is>
      </c>
      <c r="G544" t="n">
        <v>16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1805-2026</t>
        </is>
      </c>
      <c r="B545" s="1" t="n">
        <v>46035.32978009259</v>
      </c>
      <c r="C545" s="1" t="n">
        <v>46184</v>
      </c>
      <c r="D545" t="inlineStr">
        <is>
          <t>GÄVLEBORGS LÄN</t>
        </is>
      </c>
      <c r="E545" t="inlineStr">
        <is>
          <t>BOLLNÄS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1542-2026</t>
        </is>
      </c>
      <c r="B546" s="1" t="n">
        <v>46034.38618055556</v>
      </c>
      <c r="C546" s="1" t="n">
        <v>46184</v>
      </c>
      <c r="D546" t="inlineStr">
        <is>
          <t>GÄVLEBORGS LÄN</t>
        </is>
      </c>
      <c r="E546" t="inlineStr">
        <is>
          <t>BOLLNÄS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26922-2024</t>
        </is>
      </c>
      <c r="B547" s="1" t="n">
        <v>45470.93087962963</v>
      </c>
      <c r="C547" s="1" t="n">
        <v>46184</v>
      </c>
      <c r="D547" t="inlineStr">
        <is>
          <t>GÄVLEBORGS LÄN</t>
        </is>
      </c>
      <c r="E547" t="inlineStr">
        <is>
          <t>BOLLNÄS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1948-2026</t>
        </is>
      </c>
      <c r="B548" s="1" t="n">
        <v>46035.60106481481</v>
      </c>
      <c r="C548" s="1" t="n">
        <v>46184</v>
      </c>
      <c r="D548" t="inlineStr">
        <is>
          <t>GÄVLEBORGS LÄN</t>
        </is>
      </c>
      <c r="E548" t="inlineStr">
        <is>
          <t>BOLLNÄS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55593-2024</t>
        </is>
      </c>
      <c r="B549" s="1" t="n">
        <v>45622.56936342592</v>
      </c>
      <c r="C549" s="1" t="n">
        <v>46184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1500-2026</t>
        </is>
      </c>
      <c r="B550" s="1" t="n">
        <v>46034.33462962963</v>
      </c>
      <c r="C550" s="1" t="n">
        <v>46184</v>
      </c>
      <c r="D550" t="inlineStr">
        <is>
          <t>GÄVLEBORGS LÄN</t>
        </is>
      </c>
      <c r="E550" t="inlineStr">
        <is>
          <t>BOLLNÄS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1555-2026</t>
        </is>
      </c>
      <c r="B551" s="1" t="n">
        <v>46034</v>
      </c>
      <c r="C551" s="1" t="n">
        <v>46184</v>
      </c>
      <c r="D551" t="inlineStr">
        <is>
          <t>GÄVLEBORGS LÄN</t>
        </is>
      </c>
      <c r="E551" t="inlineStr">
        <is>
          <t>BOLLNÄS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1587-2026</t>
        </is>
      </c>
      <c r="B552" s="1" t="n">
        <v>46034</v>
      </c>
      <c r="C552" s="1" t="n">
        <v>46184</v>
      </c>
      <c r="D552" t="inlineStr">
        <is>
          <t>GÄVLEBORGS LÄN</t>
        </is>
      </c>
      <c r="E552" t="inlineStr">
        <is>
          <t>BOLLNÄS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1492-2026</t>
        </is>
      </c>
      <c r="B553" s="1" t="n">
        <v>46034.30918981481</v>
      </c>
      <c r="C553" s="1" t="n">
        <v>46184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1502-2026</t>
        </is>
      </c>
      <c r="B554" s="1" t="n">
        <v>46034.33591435185</v>
      </c>
      <c r="C554" s="1" t="n">
        <v>46184</v>
      </c>
      <c r="D554" t="inlineStr">
        <is>
          <t>GÄVLEBORGS LÄN</t>
        </is>
      </c>
      <c r="E554" t="inlineStr">
        <is>
          <t>BOLLNÄS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1675-2026</t>
        </is>
      </c>
      <c r="B555" s="1" t="n">
        <v>46034.57072916667</v>
      </c>
      <c r="C555" s="1" t="n">
        <v>46184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1918-2026</t>
        </is>
      </c>
      <c r="B556" s="1" t="n">
        <v>46034</v>
      </c>
      <c r="C556" s="1" t="n">
        <v>46184</v>
      </c>
      <c r="D556" t="inlineStr">
        <is>
          <t>GÄVLEBORGS LÄN</t>
        </is>
      </c>
      <c r="E556" t="inlineStr">
        <is>
          <t>BOLLNÄS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1797-2026</t>
        </is>
      </c>
      <c r="B557" s="1" t="n">
        <v>46035.26206018519</v>
      </c>
      <c r="C557" s="1" t="n">
        <v>46184</v>
      </c>
      <c r="D557" t="inlineStr">
        <is>
          <t>GÄVLEBORGS LÄN</t>
        </is>
      </c>
      <c r="E557" t="inlineStr">
        <is>
          <t>BOLLNÄS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1669-2026</t>
        </is>
      </c>
      <c r="B558" s="1" t="n">
        <v>46034</v>
      </c>
      <c r="C558" s="1" t="n">
        <v>46184</v>
      </c>
      <c r="D558" t="inlineStr">
        <is>
          <t>GÄVLEBORGS LÄN</t>
        </is>
      </c>
      <c r="E558" t="inlineStr">
        <is>
          <t>BOLLNÄS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63268-2025</t>
        </is>
      </c>
      <c r="B559" s="1" t="n">
        <v>46010</v>
      </c>
      <c r="C559" s="1" t="n">
        <v>46184</v>
      </c>
      <c r="D559" t="inlineStr">
        <is>
          <t>GÄVLEBORGS LÄN</t>
        </is>
      </c>
      <c r="E559" t="inlineStr">
        <is>
          <t>BOLLNÄS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1546-2026</t>
        </is>
      </c>
      <c r="B560" s="1" t="n">
        <v>46034.38685185185</v>
      </c>
      <c r="C560" s="1" t="n">
        <v>46184</v>
      </c>
      <c r="D560" t="inlineStr">
        <is>
          <t>GÄVLEBORGS LÄN</t>
        </is>
      </c>
      <c r="E560" t="inlineStr">
        <is>
          <t>BOLLNÄS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2058-2026</t>
        </is>
      </c>
      <c r="B561" s="1" t="n">
        <v>46035.87325231481</v>
      </c>
      <c r="C561" s="1" t="n">
        <v>46184</v>
      </c>
      <c r="D561" t="inlineStr">
        <is>
          <t>GÄVLEBORGS LÄN</t>
        </is>
      </c>
      <c r="E561" t="inlineStr">
        <is>
          <t>BOLLNÄS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5296-2022</t>
        </is>
      </c>
      <c r="B562" s="1" t="n">
        <v>44594</v>
      </c>
      <c r="C562" s="1" t="n">
        <v>46184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2587-2026</t>
        </is>
      </c>
      <c r="B563" s="1" t="n">
        <v>46037.5436574074</v>
      </c>
      <c r="C563" s="1" t="n">
        <v>46184</v>
      </c>
      <c r="D563" t="inlineStr">
        <is>
          <t>GÄVLEBORGS LÄN</t>
        </is>
      </c>
      <c r="E563" t="inlineStr">
        <is>
          <t>BOLLNÄS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63958-2025</t>
        </is>
      </c>
      <c r="B564" s="1" t="n">
        <v>46020</v>
      </c>
      <c r="C564" s="1" t="n">
        <v>46184</v>
      </c>
      <c r="D564" t="inlineStr">
        <is>
          <t>GÄVLEBORGS LÄN</t>
        </is>
      </c>
      <c r="E564" t="inlineStr">
        <is>
          <t>BOLLNÄS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2384-2026</t>
        </is>
      </c>
      <c r="B565" s="1" t="n">
        <v>46036.66680555556</v>
      </c>
      <c r="C565" s="1" t="n">
        <v>46184</v>
      </c>
      <c r="D565" t="inlineStr">
        <is>
          <t>GÄVLEBORGS LÄN</t>
        </is>
      </c>
      <c r="E565" t="inlineStr">
        <is>
          <t>BOLLNÄS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2403-2026</t>
        </is>
      </c>
      <c r="B566" s="1" t="n">
        <v>46036</v>
      </c>
      <c r="C566" s="1" t="n">
        <v>46184</v>
      </c>
      <c r="D566" t="inlineStr">
        <is>
          <t>GÄVLEBORGS LÄN</t>
        </is>
      </c>
      <c r="E566" t="inlineStr">
        <is>
          <t>BOLLNÄS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2291-2026</t>
        </is>
      </c>
      <c r="B567" s="1" t="n">
        <v>46036.58548611111</v>
      </c>
      <c r="C567" s="1" t="n">
        <v>46184</v>
      </c>
      <c r="D567" t="inlineStr">
        <is>
          <t>GÄVLEBORGS LÄN</t>
        </is>
      </c>
      <c r="E567" t="inlineStr">
        <is>
          <t>BOLLNÄS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2405-2026</t>
        </is>
      </c>
      <c r="B568" s="1" t="n">
        <v>46036.71341435185</v>
      </c>
      <c r="C568" s="1" t="n">
        <v>46184</v>
      </c>
      <c r="D568" t="inlineStr">
        <is>
          <t>GÄVLEBORGS LÄN</t>
        </is>
      </c>
      <c r="E568" t="inlineStr">
        <is>
          <t>BOLLNÄS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2059-2026</t>
        </is>
      </c>
      <c r="B569" s="1" t="n">
        <v>46035.87555555555</v>
      </c>
      <c r="C569" s="1" t="n">
        <v>46184</v>
      </c>
      <c r="D569" t="inlineStr">
        <is>
          <t>GÄVLEBORGS LÄN</t>
        </is>
      </c>
      <c r="E569" t="inlineStr">
        <is>
          <t>BOLLNÄS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2143-2026</t>
        </is>
      </c>
      <c r="B570" s="1" t="n">
        <v>46036.40519675926</v>
      </c>
      <c r="C570" s="1" t="n">
        <v>46184</v>
      </c>
      <c r="D570" t="inlineStr">
        <is>
          <t>GÄVLEBORGS LÄN</t>
        </is>
      </c>
      <c r="E570" t="inlineStr">
        <is>
          <t>BOLLNÄS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549-2026</t>
        </is>
      </c>
      <c r="B571" s="1" t="n">
        <v>46029</v>
      </c>
      <c r="C571" s="1" t="n">
        <v>46184</v>
      </c>
      <c r="D571" t="inlineStr">
        <is>
          <t>GÄVLEBORGS LÄN</t>
        </is>
      </c>
      <c r="E571" t="inlineStr">
        <is>
          <t>BOLLNÄS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2653-2026</t>
        </is>
      </c>
      <c r="B572" s="1" t="n">
        <v>46037.62857638889</v>
      </c>
      <c r="C572" s="1" t="n">
        <v>46184</v>
      </c>
      <c r="D572" t="inlineStr">
        <is>
          <t>GÄVLEBORGS LÄN</t>
        </is>
      </c>
      <c r="E572" t="inlineStr">
        <is>
          <t>BOLLNÄS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2109-2026</t>
        </is>
      </c>
      <c r="B573" s="1" t="n">
        <v>46036.37736111111</v>
      </c>
      <c r="C573" s="1" t="n">
        <v>46184</v>
      </c>
      <c r="D573" t="inlineStr">
        <is>
          <t>GÄVLEBORGS LÄN</t>
        </is>
      </c>
      <c r="E573" t="inlineStr">
        <is>
          <t>BOLLNÄS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2307-2026</t>
        </is>
      </c>
      <c r="B574" s="1" t="n">
        <v>46036.59155092593</v>
      </c>
      <c r="C574" s="1" t="n">
        <v>46184</v>
      </c>
      <c r="D574" t="inlineStr">
        <is>
          <t>GÄVLEBORGS LÄN</t>
        </is>
      </c>
      <c r="E574" t="inlineStr">
        <is>
          <t>BOLLNÄS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2935-2023</t>
        </is>
      </c>
      <c r="B575" s="1" t="n">
        <v>44944</v>
      </c>
      <c r="C575" s="1" t="n">
        <v>46184</v>
      </c>
      <c r="D575" t="inlineStr">
        <is>
          <t>GÄVLEBORGS LÄN</t>
        </is>
      </c>
      <c r="E575" t="inlineStr">
        <is>
          <t>BOLLNÄS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2526-2026</t>
        </is>
      </c>
      <c r="B576" s="1" t="n">
        <v>46037.43283564815</v>
      </c>
      <c r="C576" s="1" t="n">
        <v>46184</v>
      </c>
      <c r="D576" t="inlineStr">
        <is>
          <t>GÄVLEBORGS LÄN</t>
        </is>
      </c>
      <c r="E576" t="inlineStr">
        <is>
          <t>BOLLNÄS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2532-2026</t>
        </is>
      </c>
      <c r="B577" s="1" t="n">
        <v>46037.44467592592</v>
      </c>
      <c r="C577" s="1" t="n">
        <v>46184</v>
      </c>
      <c r="D577" t="inlineStr">
        <is>
          <t>GÄVLEBORGS LÄN</t>
        </is>
      </c>
      <c r="E577" t="inlineStr">
        <is>
          <t>BOLLNÄS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2348-2026</t>
        </is>
      </c>
      <c r="B578" s="1" t="n">
        <v>46036.63224537037</v>
      </c>
      <c r="C578" s="1" t="n">
        <v>46184</v>
      </c>
      <c r="D578" t="inlineStr">
        <is>
          <t>GÄVLEBORGS LÄN</t>
        </is>
      </c>
      <c r="E578" t="inlineStr">
        <is>
          <t>BOLLNÄS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562-2026</t>
        </is>
      </c>
      <c r="B579" s="1" t="n">
        <v>46029</v>
      </c>
      <c r="C579" s="1" t="n">
        <v>46184</v>
      </c>
      <c r="D579" t="inlineStr">
        <is>
          <t>GÄVLEBORGS LÄN</t>
        </is>
      </c>
      <c r="E579" t="inlineStr">
        <is>
          <t>BOLLNÄS</t>
        </is>
      </c>
      <c r="G579" t="n">
        <v>24.3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3073-2026</t>
        </is>
      </c>
      <c r="B580" s="1" t="n">
        <v>46040.75053240741</v>
      </c>
      <c r="C580" s="1" t="n">
        <v>46184</v>
      </c>
      <c r="D580" t="inlineStr">
        <is>
          <t>GÄVLEBORGS LÄN</t>
        </is>
      </c>
      <c r="E580" t="inlineStr">
        <is>
          <t>BOLLNÄS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2737-2026</t>
        </is>
      </c>
      <c r="B581" s="1" t="n">
        <v>46038.27096064815</v>
      </c>
      <c r="C581" s="1" t="n">
        <v>46184</v>
      </c>
      <c r="D581" t="inlineStr">
        <is>
          <t>GÄVLEBORGS LÄN</t>
        </is>
      </c>
      <c r="E581" t="inlineStr">
        <is>
          <t>BOLLNÄS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2741-2026</t>
        </is>
      </c>
      <c r="B582" s="1" t="n">
        <v>46038.30365740741</v>
      </c>
      <c r="C582" s="1" t="n">
        <v>46184</v>
      </c>
      <c r="D582" t="inlineStr">
        <is>
          <t>GÄVLEBORGS LÄN</t>
        </is>
      </c>
      <c r="E582" t="inlineStr">
        <is>
          <t>BOLLNÄS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2743-2026</t>
        </is>
      </c>
      <c r="B583" s="1" t="n">
        <v>46038.30608796296</v>
      </c>
      <c r="C583" s="1" t="n">
        <v>46184</v>
      </c>
      <c r="D583" t="inlineStr">
        <is>
          <t>GÄVLEBORGS LÄN</t>
        </is>
      </c>
      <c r="E583" t="inlineStr">
        <is>
          <t>BOLLNÄS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3121-2026</t>
        </is>
      </c>
      <c r="B584" s="1" t="n">
        <v>46041</v>
      </c>
      <c r="C584" s="1" t="n">
        <v>46184</v>
      </c>
      <c r="D584" t="inlineStr">
        <is>
          <t>GÄVLEBORGS LÄN</t>
        </is>
      </c>
      <c r="E584" t="inlineStr">
        <is>
          <t>BOLLNÄS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49401-2023</t>
        </is>
      </c>
      <c r="B585" s="1" t="n">
        <v>45211.42238425926</v>
      </c>
      <c r="C585" s="1" t="n">
        <v>46184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3089-2026</t>
        </is>
      </c>
      <c r="B586" s="1" t="n">
        <v>46040.83525462963</v>
      </c>
      <c r="C586" s="1" t="n">
        <v>46184</v>
      </c>
      <c r="D586" t="inlineStr">
        <is>
          <t>GÄVLEBORGS LÄN</t>
        </is>
      </c>
      <c r="E586" t="inlineStr">
        <is>
          <t>BOLLNÄS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3023-2026</t>
        </is>
      </c>
      <c r="B587" s="1" t="n">
        <v>46038.67336805556</v>
      </c>
      <c r="C587" s="1" t="n">
        <v>46184</v>
      </c>
      <c r="D587" t="inlineStr">
        <is>
          <t>GÄVLEBORGS LÄN</t>
        </is>
      </c>
      <c r="E587" t="inlineStr">
        <is>
          <t>BOLLNÄS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3072-2026</t>
        </is>
      </c>
      <c r="B588" s="1" t="n">
        <v>46040.74630787037</v>
      </c>
      <c r="C588" s="1" t="n">
        <v>46184</v>
      </c>
      <c r="D588" t="inlineStr">
        <is>
          <t>GÄVLEBORGS LÄN</t>
        </is>
      </c>
      <c r="E588" t="inlineStr">
        <is>
          <t>BOLLNÄS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3076-2026</t>
        </is>
      </c>
      <c r="B589" s="1" t="n">
        <v>46040.75815972222</v>
      </c>
      <c r="C589" s="1" t="n">
        <v>46184</v>
      </c>
      <c r="D589" t="inlineStr">
        <is>
          <t>GÄVLEBORGS LÄN</t>
        </is>
      </c>
      <c r="E589" t="inlineStr">
        <is>
          <t>BOLLNÄS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3077-2026</t>
        </is>
      </c>
      <c r="B590" s="1" t="n">
        <v>46040.76259259259</v>
      </c>
      <c r="C590" s="1" t="n">
        <v>46184</v>
      </c>
      <c r="D590" t="inlineStr">
        <is>
          <t>GÄVLEBORGS LÄN</t>
        </is>
      </c>
      <c r="E590" t="inlineStr">
        <is>
          <t>BOLLNÄS</t>
        </is>
      </c>
      <c r="G590" t="n">
        <v>31.3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3094-2026</t>
        </is>
      </c>
      <c r="B591" s="1" t="n">
        <v>46040.85752314814</v>
      </c>
      <c r="C591" s="1" t="n">
        <v>46184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3099-2026</t>
        </is>
      </c>
      <c r="B592" s="1" t="n">
        <v>46041</v>
      </c>
      <c r="C592" s="1" t="n">
        <v>46184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3017-2026</t>
        </is>
      </c>
      <c r="B593" s="1" t="n">
        <v>46038.66922453704</v>
      </c>
      <c r="C593" s="1" t="n">
        <v>46184</v>
      </c>
      <c r="D593" t="inlineStr">
        <is>
          <t>GÄVLEBORGS LÄN</t>
        </is>
      </c>
      <c r="E593" t="inlineStr">
        <is>
          <t>BOLLNÄS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3070-2026</t>
        </is>
      </c>
      <c r="B594" s="1" t="n">
        <v>46040.74378472222</v>
      </c>
      <c r="C594" s="1" t="n">
        <v>46184</v>
      </c>
      <c r="D594" t="inlineStr">
        <is>
          <t>GÄVLEBORGS LÄN</t>
        </is>
      </c>
      <c r="E594" t="inlineStr">
        <is>
          <t>BOLLNÄS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3080-2026</t>
        </is>
      </c>
      <c r="B595" s="1" t="n">
        <v>46040</v>
      </c>
      <c r="C595" s="1" t="n">
        <v>46184</v>
      </c>
      <c r="D595" t="inlineStr">
        <is>
          <t>GÄVLEBORGS LÄN</t>
        </is>
      </c>
      <c r="E595" t="inlineStr">
        <is>
          <t>BOLLNÄS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2739-2026</t>
        </is>
      </c>
      <c r="B596" s="1" t="n">
        <v>46038.27465277778</v>
      </c>
      <c r="C596" s="1" t="n">
        <v>46184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2795-2026</t>
        </is>
      </c>
      <c r="B597" s="1" t="n">
        <v>46038</v>
      </c>
      <c r="C597" s="1" t="n">
        <v>46184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3281-2026</t>
        </is>
      </c>
      <c r="B598" s="1" t="n">
        <v>46041.62289351852</v>
      </c>
      <c r="C598" s="1" t="n">
        <v>46184</v>
      </c>
      <c r="D598" t="inlineStr">
        <is>
          <t>GÄVLEBORGS LÄN</t>
        </is>
      </c>
      <c r="E598" t="inlineStr">
        <is>
          <t>BOLLNÄS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3097-2026</t>
        </is>
      </c>
      <c r="B599" s="1" t="n">
        <v>46041.25748842592</v>
      </c>
      <c r="C599" s="1" t="n">
        <v>46184</v>
      </c>
      <c r="D599" t="inlineStr">
        <is>
          <t>GÄVLEBORGS LÄN</t>
        </is>
      </c>
      <c r="E599" t="inlineStr">
        <is>
          <t>BOLLNÄS</t>
        </is>
      </c>
      <c r="G599" t="n">
        <v>18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2965-2026</t>
        </is>
      </c>
      <c r="B600" s="1" t="n">
        <v>46038</v>
      </c>
      <c r="C600" s="1" t="n">
        <v>46184</v>
      </c>
      <c r="D600" t="inlineStr">
        <is>
          <t>GÄVLEBORGS LÄN</t>
        </is>
      </c>
      <c r="E600" t="inlineStr">
        <is>
          <t>BOLLNÄS</t>
        </is>
      </c>
      <c r="G600" t="n">
        <v>26.9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3087-2026</t>
        </is>
      </c>
      <c r="B601" s="1" t="n">
        <v>46040.82724537037</v>
      </c>
      <c r="C601" s="1" t="n">
        <v>46184</v>
      </c>
      <c r="D601" t="inlineStr">
        <is>
          <t>GÄVLEBORGS LÄN</t>
        </is>
      </c>
      <c r="E601" t="inlineStr">
        <is>
          <t>BOLLNÄS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3091-2026</t>
        </is>
      </c>
      <c r="B602" s="1" t="n">
        <v>46040.84174768518</v>
      </c>
      <c r="C602" s="1" t="n">
        <v>46184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3093-2026</t>
        </is>
      </c>
      <c r="B603" s="1" t="n">
        <v>46040.84903935185</v>
      </c>
      <c r="C603" s="1" t="n">
        <v>46184</v>
      </c>
      <c r="D603" t="inlineStr">
        <is>
          <t>GÄVLEBORGS LÄN</t>
        </is>
      </c>
      <c r="E603" t="inlineStr">
        <is>
          <t>BOLLNÄS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3098-2026</t>
        </is>
      </c>
      <c r="B604" s="1" t="n">
        <v>46041.2705324074</v>
      </c>
      <c r="C604" s="1" t="n">
        <v>46184</v>
      </c>
      <c r="D604" t="inlineStr">
        <is>
          <t>GÄVLEBORGS LÄN</t>
        </is>
      </c>
      <c r="E604" t="inlineStr">
        <is>
          <t>BOLLNÄS</t>
        </is>
      </c>
      <c r="G604" t="n">
        <v>34.3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3140-2026</t>
        </is>
      </c>
      <c r="B605" s="1" t="n">
        <v>46041</v>
      </c>
      <c r="C605" s="1" t="n">
        <v>46184</v>
      </c>
      <c r="D605" t="inlineStr">
        <is>
          <t>GÄVLEBORGS LÄN</t>
        </is>
      </c>
      <c r="E605" t="inlineStr">
        <is>
          <t>BOLLNÄS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2807-2026</t>
        </is>
      </c>
      <c r="B606" s="1" t="n">
        <v>46038.41640046296</v>
      </c>
      <c r="C606" s="1" t="n">
        <v>46184</v>
      </c>
      <c r="D606" t="inlineStr">
        <is>
          <t>GÄVLEBORGS LÄN</t>
        </is>
      </c>
      <c r="E606" t="inlineStr">
        <is>
          <t>BOLLNÄS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2815-2026</t>
        </is>
      </c>
      <c r="B607" s="1" t="n">
        <v>46038.42555555556</v>
      </c>
      <c r="C607" s="1" t="n">
        <v>46184</v>
      </c>
      <c r="D607" t="inlineStr">
        <is>
          <t>GÄVLEBORGS LÄN</t>
        </is>
      </c>
      <c r="E607" t="inlineStr">
        <is>
          <t>BOLLNÄS</t>
        </is>
      </c>
      <c r="G607" t="n">
        <v>8.800000000000001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57781-2024</t>
        </is>
      </c>
      <c r="B608" s="1" t="n">
        <v>45631</v>
      </c>
      <c r="C608" s="1" t="n">
        <v>46184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3036-2026</t>
        </is>
      </c>
      <c r="B609" s="1" t="n">
        <v>46038.72555555555</v>
      </c>
      <c r="C609" s="1" t="n">
        <v>46184</v>
      </c>
      <c r="D609" t="inlineStr">
        <is>
          <t>GÄVLEBORGS LÄN</t>
        </is>
      </c>
      <c r="E609" t="inlineStr">
        <is>
          <t>BOLLNÄS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559-2026</t>
        </is>
      </c>
      <c r="B610" s="1" t="n">
        <v>46029</v>
      </c>
      <c r="C610" s="1" t="n">
        <v>46184</v>
      </c>
      <c r="D610" t="inlineStr">
        <is>
          <t>GÄVLEBORGS LÄN</t>
        </is>
      </c>
      <c r="E610" t="inlineStr">
        <is>
          <t>BOLLNÄS</t>
        </is>
      </c>
      <c r="G610" t="n">
        <v>17.7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54772-2022</t>
        </is>
      </c>
      <c r="B611" s="1" t="n">
        <v>44883</v>
      </c>
      <c r="C611" s="1" t="n">
        <v>46184</v>
      </c>
      <c r="D611" t="inlineStr">
        <is>
          <t>GÄVLEBORGS LÄN</t>
        </is>
      </c>
      <c r="E611" t="inlineStr">
        <is>
          <t>BOLLNÄS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3074-2026</t>
        </is>
      </c>
      <c r="B612" s="1" t="n">
        <v>46040.7550462963</v>
      </c>
      <c r="C612" s="1" t="n">
        <v>46184</v>
      </c>
      <c r="D612" t="inlineStr">
        <is>
          <t>GÄVLEBORGS LÄN</t>
        </is>
      </c>
      <c r="E612" t="inlineStr">
        <is>
          <t>BOLLNÄS</t>
        </is>
      </c>
      <c r="G612" t="n">
        <v>12.9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3069-2026</t>
        </is>
      </c>
      <c r="B613" s="1" t="n">
        <v>46040.71421296296</v>
      </c>
      <c r="C613" s="1" t="n">
        <v>46184</v>
      </c>
      <c r="D613" t="inlineStr">
        <is>
          <t>GÄVLEBORGS LÄN</t>
        </is>
      </c>
      <c r="E613" t="inlineStr">
        <is>
          <t>BOLLNÄS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2813-2026</t>
        </is>
      </c>
      <c r="B614" s="1" t="n">
        <v>46038.42204861111</v>
      </c>
      <c r="C614" s="1" t="n">
        <v>46184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2985-2026</t>
        </is>
      </c>
      <c r="B615" s="1" t="n">
        <v>46038</v>
      </c>
      <c r="C615" s="1" t="n">
        <v>46184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3221-2026</t>
        </is>
      </c>
      <c r="B616" s="1" t="n">
        <v>46041.52872685185</v>
      </c>
      <c r="C616" s="1" t="n">
        <v>46184</v>
      </c>
      <c r="D616" t="inlineStr">
        <is>
          <t>GÄVLEBORGS LÄN</t>
        </is>
      </c>
      <c r="E616" t="inlineStr">
        <is>
          <t>BOLLNÄS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3327-2026</t>
        </is>
      </c>
      <c r="B617" s="1" t="n">
        <v>46041.72084490741</v>
      </c>
      <c r="C617" s="1" t="n">
        <v>46184</v>
      </c>
      <c r="D617" t="inlineStr">
        <is>
          <t>GÄVLEBORGS LÄN</t>
        </is>
      </c>
      <c r="E617" t="inlineStr">
        <is>
          <t>BOLLNÄS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32062-2023</t>
        </is>
      </c>
      <c r="B618" s="1" t="n">
        <v>45119.56549768519</v>
      </c>
      <c r="C618" s="1" t="n">
        <v>46184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3356-2026</t>
        </is>
      </c>
      <c r="B619" s="1" t="n">
        <v>46042.24870370371</v>
      </c>
      <c r="C619" s="1" t="n">
        <v>46184</v>
      </c>
      <c r="D619" t="inlineStr">
        <is>
          <t>GÄVLEBORGS LÄN</t>
        </is>
      </c>
      <c r="E619" t="inlineStr">
        <is>
          <t>BOLLNÄS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3355-2026</t>
        </is>
      </c>
      <c r="B620" s="1" t="n">
        <v>46042.24715277777</v>
      </c>
      <c r="C620" s="1" t="n">
        <v>46184</v>
      </c>
      <c r="D620" t="inlineStr">
        <is>
          <t>GÄVLEBORGS LÄN</t>
        </is>
      </c>
      <c r="E620" t="inlineStr">
        <is>
          <t>BOLLNÄS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3487-2026</t>
        </is>
      </c>
      <c r="B621" s="1" t="n">
        <v>46042</v>
      </c>
      <c r="C621" s="1" t="n">
        <v>46184</v>
      </c>
      <c r="D621" t="inlineStr">
        <is>
          <t>GÄVLEBORGS LÄN</t>
        </is>
      </c>
      <c r="E621" t="inlineStr">
        <is>
          <t>BOLLNÄS</t>
        </is>
      </c>
      <c r="G621" t="n">
        <v>18.3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3354-2026</t>
        </is>
      </c>
      <c r="B622" s="1" t="n">
        <v>46042.2458449074</v>
      </c>
      <c r="C622" s="1" t="n">
        <v>46184</v>
      </c>
      <c r="D622" t="inlineStr">
        <is>
          <t>GÄVLEBORGS LÄN</t>
        </is>
      </c>
      <c r="E622" t="inlineStr">
        <is>
          <t>BOLLNÄS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3502-2026</t>
        </is>
      </c>
      <c r="B623" s="1" t="n">
        <v>46042</v>
      </c>
      <c r="C623" s="1" t="n">
        <v>46184</v>
      </c>
      <c r="D623" t="inlineStr">
        <is>
          <t>GÄVLEBORGS LÄN</t>
        </is>
      </c>
      <c r="E623" t="inlineStr">
        <is>
          <t>BOLLNÄS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8035-2025</t>
        </is>
      </c>
      <c r="B624" s="1" t="n">
        <v>45707.59410879629</v>
      </c>
      <c r="C624" s="1" t="n">
        <v>46184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67547-2021</t>
        </is>
      </c>
      <c r="B625" s="1" t="n">
        <v>44524.56090277778</v>
      </c>
      <c r="C625" s="1" t="n">
        <v>46184</v>
      </c>
      <c r="D625" t="inlineStr">
        <is>
          <t>GÄVLEBORGS LÄN</t>
        </is>
      </c>
      <c r="E625" t="inlineStr">
        <is>
          <t>BOLLNÄS</t>
        </is>
      </c>
      <c r="F625" t="inlineStr">
        <is>
          <t>Övriga statliga verk och myndigheter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3916-2026</t>
        </is>
      </c>
      <c r="B626" s="1" t="n">
        <v>46043.73804398148</v>
      </c>
      <c r="C626" s="1" t="n">
        <v>46184</v>
      </c>
      <c r="D626" t="inlineStr">
        <is>
          <t>GÄVLEBORGS LÄN</t>
        </is>
      </c>
      <c r="E626" t="inlineStr">
        <is>
          <t>BOLLNÄS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3595-2026</t>
        </is>
      </c>
      <c r="B627" s="1" t="n">
        <v>46042.77957175926</v>
      </c>
      <c r="C627" s="1" t="n">
        <v>46184</v>
      </c>
      <c r="D627" t="inlineStr">
        <is>
          <t>GÄVLEBORGS LÄN</t>
        </is>
      </c>
      <c r="E627" t="inlineStr">
        <is>
          <t>BOLLNÄS</t>
        </is>
      </c>
      <c r="G627" t="n">
        <v>36.1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3888-2026</t>
        </is>
      </c>
      <c r="B628" s="1" t="n">
        <v>46043</v>
      </c>
      <c r="C628" s="1" t="n">
        <v>46184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3919-2026</t>
        </is>
      </c>
      <c r="B629" s="1" t="n">
        <v>46043</v>
      </c>
      <c r="C629" s="1" t="n">
        <v>46184</v>
      </c>
      <c r="D629" t="inlineStr">
        <is>
          <t>GÄVLEBORGS LÄN</t>
        </is>
      </c>
      <c r="E629" t="inlineStr">
        <is>
          <t>BOLLNÄS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3639-2026</t>
        </is>
      </c>
      <c r="B630" s="1" t="n">
        <v>46043</v>
      </c>
      <c r="C630" s="1" t="n">
        <v>46184</v>
      </c>
      <c r="D630" t="inlineStr">
        <is>
          <t>GÄVLEBORGS LÄN</t>
        </is>
      </c>
      <c r="E630" t="inlineStr">
        <is>
          <t>BOLLNÄS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3468-2026</t>
        </is>
      </c>
      <c r="B631" s="1" t="n">
        <v>46042</v>
      </c>
      <c r="C631" s="1" t="n">
        <v>46184</v>
      </c>
      <c r="D631" t="inlineStr">
        <is>
          <t>GÄVLEBORGS LÄN</t>
        </is>
      </c>
      <c r="E631" t="inlineStr">
        <is>
          <t>BOLLNÄS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3825-2026</t>
        </is>
      </c>
      <c r="B632" s="1" t="n">
        <v>46043</v>
      </c>
      <c r="C632" s="1" t="n">
        <v>46184</v>
      </c>
      <c r="D632" t="inlineStr">
        <is>
          <t>GÄVLEBORGS LÄN</t>
        </is>
      </c>
      <c r="E632" t="inlineStr">
        <is>
          <t>BOLLNÄS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4288-2026</t>
        </is>
      </c>
      <c r="B633" s="1" t="n">
        <v>46045</v>
      </c>
      <c r="C633" s="1" t="n">
        <v>46184</v>
      </c>
      <c r="D633" t="inlineStr">
        <is>
          <t>GÄVLEBORGS LÄN</t>
        </is>
      </c>
      <c r="E633" t="inlineStr">
        <is>
          <t>BOLLNÄS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4452-2026</t>
        </is>
      </c>
      <c r="B634" s="1" t="n">
        <v>46045.64053240741</v>
      </c>
      <c r="C634" s="1" t="n">
        <v>46184</v>
      </c>
      <c r="D634" t="inlineStr">
        <is>
          <t>GÄVLEBORGS LÄN</t>
        </is>
      </c>
      <c r="E634" t="inlineStr">
        <is>
          <t>BOLLNÄS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4127-2026</t>
        </is>
      </c>
      <c r="B635" s="1" t="n">
        <v>46044</v>
      </c>
      <c r="C635" s="1" t="n">
        <v>46184</v>
      </c>
      <c r="D635" t="inlineStr">
        <is>
          <t>GÄVLEBORGS LÄN</t>
        </is>
      </c>
      <c r="E635" t="inlineStr">
        <is>
          <t>BOLLNÄS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4239-2026</t>
        </is>
      </c>
      <c r="B636" s="1" t="n">
        <v>46045.25251157407</v>
      </c>
      <c r="C636" s="1" t="n">
        <v>46184</v>
      </c>
      <c r="D636" t="inlineStr">
        <is>
          <t>GÄVLEBORGS LÄN</t>
        </is>
      </c>
      <c r="E636" t="inlineStr">
        <is>
          <t>BOLLNÄS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732-2026</t>
        </is>
      </c>
      <c r="B637" s="1" t="n">
        <v>46029</v>
      </c>
      <c r="C637" s="1" t="n">
        <v>46184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775-2026</t>
        </is>
      </c>
      <c r="B638" s="1" t="n">
        <v>46029</v>
      </c>
      <c r="C638" s="1" t="n">
        <v>46184</v>
      </c>
      <c r="D638" t="inlineStr">
        <is>
          <t>GÄVLEBORGS LÄN</t>
        </is>
      </c>
      <c r="E638" t="inlineStr">
        <is>
          <t>BOLLNÄS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4447-2026</t>
        </is>
      </c>
      <c r="B639" s="1" t="n">
        <v>46045.63887731481</v>
      </c>
      <c r="C639" s="1" t="n">
        <v>46184</v>
      </c>
      <c r="D639" t="inlineStr">
        <is>
          <t>GÄVLEBORGS LÄN</t>
        </is>
      </c>
      <c r="E639" t="inlineStr">
        <is>
          <t>BOLLNÄS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4103-2026</t>
        </is>
      </c>
      <c r="B640" s="1" t="n">
        <v>46044.58394675926</v>
      </c>
      <c r="C640" s="1" t="n">
        <v>46184</v>
      </c>
      <c r="D640" t="inlineStr">
        <is>
          <t>GÄVLEBORGS LÄN</t>
        </is>
      </c>
      <c r="E640" t="inlineStr">
        <is>
          <t>BOLLNÄS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4137-2026</t>
        </is>
      </c>
      <c r="B641" s="1" t="n">
        <v>46044.63023148148</v>
      </c>
      <c r="C641" s="1" t="n">
        <v>46184</v>
      </c>
      <c r="D641" t="inlineStr">
        <is>
          <t>GÄVLEBORGS LÄN</t>
        </is>
      </c>
      <c r="E641" t="inlineStr">
        <is>
          <t>BOLLNÄS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12181-2025</t>
        </is>
      </c>
      <c r="B642" s="1" t="n">
        <v>45729.45688657407</v>
      </c>
      <c r="C642" s="1" t="n">
        <v>46184</v>
      </c>
      <c r="D642" t="inlineStr">
        <is>
          <t>GÄVLEBORGS LÄN</t>
        </is>
      </c>
      <c r="E642" t="inlineStr">
        <is>
          <t>BOLLNÄS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4062-2026</t>
        </is>
      </c>
      <c r="B643" s="1" t="n">
        <v>46044</v>
      </c>
      <c r="C643" s="1" t="n">
        <v>46184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4336-2026</t>
        </is>
      </c>
      <c r="B644" s="1" t="n">
        <v>46045.4940625</v>
      </c>
      <c r="C644" s="1" t="n">
        <v>46184</v>
      </c>
      <c r="D644" t="inlineStr">
        <is>
          <t>GÄVLEBORGS LÄN</t>
        </is>
      </c>
      <c r="E644" t="inlineStr">
        <is>
          <t>BOLLNÄS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68516-2021</t>
        </is>
      </c>
      <c r="B645" s="1" t="n">
        <v>44526</v>
      </c>
      <c r="C645" s="1" t="n">
        <v>46184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4241-2026</t>
        </is>
      </c>
      <c r="B646" s="1" t="n">
        <v>46045.27372685185</v>
      </c>
      <c r="C646" s="1" t="n">
        <v>46184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3948-2026</t>
        </is>
      </c>
      <c r="B647" s="1" t="n">
        <v>46044.29119212963</v>
      </c>
      <c r="C647" s="1" t="n">
        <v>46184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4445-2026</t>
        </is>
      </c>
      <c r="B648" s="1" t="n">
        <v>46045.63763888889</v>
      </c>
      <c r="C648" s="1" t="n">
        <v>46184</v>
      </c>
      <c r="D648" t="inlineStr">
        <is>
          <t>GÄVLEBORGS LÄN</t>
        </is>
      </c>
      <c r="E648" t="inlineStr">
        <is>
          <t>BOLLNÄS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4449-2026</t>
        </is>
      </c>
      <c r="B649" s="1" t="n">
        <v>46045.63962962963</v>
      </c>
      <c r="C649" s="1" t="n">
        <v>46184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4176-2026</t>
        </is>
      </c>
      <c r="B650" s="1" t="n">
        <v>46044</v>
      </c>
      <c r="C650" s="1" t="n">
        <v>46184</v>
      </c>
      <c r="D650" t="inlineStr">
        <is>
          <t>GÄVLEBORGS LÄN</t>
        </is>
      </c>
      <c r="E650" t="inlineStr">
        <is>
          <t>BOLLNÄS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44858.00943287037</v>
      </c>
      <c r="C651" s="1" t="n">
        <v>46184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5149-2026</t>
        </is>
      </c>
      <c r="B652" s="1" t="n">
        <v>46049.61362268519</v>
      </c>
      <c r="C652" s="1" t="n">
        <v>46184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4952-2026</t>
        </is>
      </c>
      <c r="B653" s="1" t="n">
        <v>46049.28234953704</v>
      </c>
      <c r="C653" s="1" t="n">
        <v>46184</v>
      </c>
      <c r="D653" t="inlineStr">
        <is>
          <t>GÄVLEBORGS LÄN</t>
        </is>
      </c>
      <c r="E653" t="inlineStr">
        <is>
          <t>BOLLNÄS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5047-2026</t>
        </is>
      </c>
      <c r="B654" s="1" t="n">
        <v>46049.46917824074</v>
      </c>
      <c r="C654" s="1" t="n">
        <v>46184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54908-2025</t>
        </is>
      </c>
      <c r="B655" s="1" t="n">
        <v>45967</v>
      </c>
      <c r="C655" s="1" t="n">
        <v>46184</v>
      </c>
      <c r="D655" t="inlineStr">
        <is>
          <t>GÄVLEBORGS LÄN</t>
        </is>
      </c>
      <c r="E655" t="inlineStr">
        <is>
          <t>BOLLNÄS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4916-2026</t>
        </is>
      </c>
      <c r="B656" s="1" t="n">
        <v>46048.78913194445</v>
      </c>
      <c r="C656" s="1" t="n">
        <v>46184</v>
      </c>
      <c r="D656" t="inlineStr">
        <is>
          <t>GÄVLEBORGS LÄN</t>
        </is>
      </c>
      <c r="E656" t="inlineStr">
        <is>
          <t>BOLLNÄS</t>
        </is>
      </c>
      <c r="F656" t="inlineStr">
        <is>
          <t>Kyrkan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4763-2026</t>
        </is>
      </c>
      <c r="B657" s="1" t="n">
        <v>46048.53866898148</v>
      </c>
      <c r="C657" s="1" t="n">
        <v>46184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4674-2026</t>
        </is>
      </c>
      <c r="B658" s="1" t="n">
        <v>46048.42675925926</v>
      </c>
      <c r="C658" s="1" t="n">
        <v>46184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4693-2026</t>
        </is>
      </c>
      <c r="B659" s="1" t="n">
        <v>46048.44677083333</v>
      </c>
      <c r="C659" s="1" t="n">
        <v>46184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5056-2026</t>
        </is>
      </c>
      <c r="B660" s="1" t="n">
        <v>46049.47729166667</v>
      </c>
      <c r="C660" s="1" t="n">
        <v>46184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5161-2026</t>
        </is>
      </c>
      <c r="B661" s="1" t="n">
        <v>46049.62087962963</v>
      </c>
      <c r="C661" s="1" t="n">
        <v>46184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4851-2026</t>
        </is>
      </c>
      <c r="B662" s="1" t="n">
        <v>46048.63020833334</v>
      </c>
      <c r="C662" s="1" t="n">
        <v>46184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4954-2026</t>
        </is>
      </c>
      <c r="B663" s="1" t="n">
        <v>46049.28568287037</v>
      </c>
      <c r="C663" s="1" t="n">
        <v>46184</v>
      </c>
      <c r="D663" t="inlineStr">
        <is>
          <t>GÄVLEBORGS LÄN</t>
        </is>
      </c>
      <c r="E663" t="inlineStr">
        <is>
          <t>BOLLNÄS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5154-2026</t>
        </is>
      </c>
      <c r="B664" s="1" t="n">
        <v>46049.61527777778</v>
      </c>
      <c r="C664" s="1" t="n">
        <v>46184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4931-2026</t>
        </is>
      </c>
      <c r="B665" s="1" t="n">
        <v>46048</v>
      </c>
      <c r="C665" s="1" t="n">
        <v>46184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4944-2026</t>
        </is>
      </c>
      <c r="B666" s="1" t="n">
        <v>46049.24228009259</v>
      </c>
      <c r="C666" s="1" t="n">
        <v>46184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833-2026</t>
        </is>
      </c>
      <c r="B667" s="1" t="n">
        <v>46030</v>
      </c>
      <c r="C667" s="1" t="n">
        <v>46184</v>
      </c>
      <c r="D667" t="inlineStr">
        <is>
          <t>GÄVLEBORGS LÄN</t>
        </is>
      </c>
      <c r="E667" t="inlineStr">
        <is>
          <t>BOLLNÄS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4705-2026</t>
        </is>
      </c>
      <c r="B668" s="1" t="n">
        <v>46048.45295138889</v>
      </c>
      <c r="C668" s="1" t="n">
        <v>46184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4948-2026</t>
        </is>
      </c>
      <c r="B669" s="1" t="n">
        <v>46049.26310185185</v>
      </c>
      <c r="C669" s="1" t="n">
        <v>46184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5660-2026</t>
        </is>
      </c>
      <c r="B670" s="1" t="n">
        <v>46051</v>
      </c>
      <c r="C670" s="1" t="n">
        <v>46184</v>
      </c>
      <c r="D670" t="inlineStr">
        <is>
          <t>GÄVLEBORGS LÄN</t>
        </is>
      </c>
      <c r="E670" t="inlineStr">
        <is>
          <t>BOLLNÄS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5373-2026</t>
        </is>
      </c>
      <c r="B671" s="1" t="n">
        <v>46050</v>
      </c>
      <c r="C671" s="1" t="n">
        <v>46184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5777-2026</t>
        </is>
      </c>
      <c r="B672" s="1" t="n">
        <v>46051.65467592593</v>
      </c>
      <c r="C672" s="1" t="n">
        <v>46184</v>
      </c>
      <c r="D672" t="inlineStr">
        <is>
          <t>GÄVLEBORGS LÄN</t>
        </is>
      </c>
      <c r="E672" t="inlineStr">
        <is>
          <t>BOLLNÄS</t>
        </is>
      </c>
      <c r="G672" t="n">
        <v>12.3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5796-2026</t>
        </is>
      </c>
      <c r="B673" s="1" t="n">
        <v>46051.71178240741</v>
      </c>
      <c r="C673" s="1" t="n">
        <v>46184</v>
      </c>
      <c r="D673" t="inlineStr">
        <is>
          <t>GÄVLEBORGS LÄN</t>
        </is>
      </c>
      <c r="E673" t="inlineStr">
        <is>
          <t>BOLLNÄS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50053-2022</t>
        </is>
      </c>
      <c r="B674" s="1" t="n">
        <v>44865.47443287037</v>
      </c>
      <c r="C674" s="1" t="n">
        <v>46184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5571-2026</t>
        </is>
      </c>
      <c r="B675" s="1" t="n">
        <v>46050</v>
      </c>
      <c r="C675" s="1" t="n">
        <v>46184</v>
      </c>
      <c r="D675" t="inlineStr">
        <is>
          <t>GÄVLEBORGS LÄN</t>
        </is>
      </c>
      <c r="E675" t="inlineStr">
        <is>
          <t>BOLLNÄS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5678-2026</t>
        </is>
      </c>
      <c r="B676" s="1" t="n">
        <v>46051.47546296296</v>
      </c>
      <c r="C676" s="1" t="n">
        <v>46184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5255-2026</t>
        </is>
      </c>
      <c r="B677" s="1" t="n">
        <v>46050.2746875</v>
      </c>
      <c r="C677" s="1" t="n">
        <v>46184</v>
      </c>
      <c r="D677" t="inlineStr">
        <is>
          <t>GÄVLEBORGS LÄN</t>
        </is>
      </c>
      <c r="E677" t="inlineStr">
        <is>
          <t>BOLLNÄS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5449-2026</t>
        </is>
      </c>
      <c r="B678" s="1" t="n">
        <v>46050</v>
      </c>
      <c r="C678" s="1" t="n">
        <v>46184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5356-2026</t>
        </is>
      </c>
      <c r="B679" s="1" t="n">
        <v>46050</v>
      </c>
      <c r="C679" s="1" t="n">
        <v>46184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8119-2024</t>
        </is>
      </c>
      <c r="B680" s="1" t="n">
        <v>45351</v>
      </c>
      <c r="C680" s="1" t="n">
        <v>46184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5651-2026</t>
        </is>
      </c>
      <c r="B681" s="1" t="n">
        <v>46051.43083333333</v>
      </c>
      <c r="C681" s="1" t="n">
        <v>46184</v>
      </c>
      <c r="D681" t="inlineStr">
        <is>
          <t>GÄVLEBORGS LÄN</t>
        </is>
      </c>
      <c r="E681" t="inlineStr">
        <is>
          <t>BOLLNÄS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5581-2026</t>
        </is>
      </c>
      <c r="B682" s="1" t="n">
        <v>46051.3055787037</v>
      </c>
      <c r="C682" s="1" t="n">
        <v>46184</v>
      </c>
      <c r="D682" t="inlineStr">
        <is>
          <t>GÄVLEBORGS LÄN</t>
        </is>
      </c>
      <c r="E682" t="inlineStr">
        <is>
          <t>BOLLNÄS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5346-2026</t>
        </is>
      </c>
      <c r="B683" s="1" t="n">
        <v>46050</v>
      </c>
      <c r="C683" s="1" t="n">
        <v>46184</v>
      </c>
      <c r="D683" t="inlineStr">
        <is>
          <t>GÄVLEBORGS LÄN</t>
        </is>
      </c>
      <c r="E683" t="inlineStr">
        <is>
          <t>BOLLNÄS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5776-2026</t>
        </is>
      </c>
      <c r="B684" s="1" t="n">
        <v>46051.65353009259</v>
      </c>
      <c r="C684" s="1" t="n">
        <v>46184</v>
      </c>
      <c r="D684" t="inlineStr">
        <is>
          <t>GÄVLEBORGS LÄN</t>
        </is>
      </c>
      <c r="E684" t="inlineStr">
        <is>
          <t>BOLLNÄS</t>
        </is>
      </c>
      <c r="G684" t="n">
        <v>15.9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1515-2026</t>
        </is>
      </c>
      <c r="B685" s="1" t="n">
        <v>46034</v>
      </c>
      <c r="C685" s="1" t="n">
        <v>46184</v>
      </c>
      <c r="D685" t="inlineStr">
        <is>
          <t>GÄVLEBORGS LÄN</t>
        </is>
      </c>
      <c r="E685" t="inlineStr">
        <is>
          <t>BOLLNÄS</t>
        </is>
      </c>
      <c r="G685" t="n">
        <v>16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5262-2026</t>
        </is>
      </c>
      <c r="B686" s="1" t="n">
        <v>46050.30271990741</v>
      </c>
      <c r="C686" s="1" t="n">
        <v>46184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4955-2026</t>
        </is>
      </c>
      <c r="B687" s="1" t="n">
        <v>46049.2902662037</v>
      </c>
      <c r="C687" s="1" t="n">
        <v>46184</v>
      </c>
      <c r="D687" t="inlineStr">
        <is>
          <t>GÄVLEBORGS LÄN</t>
        </is>
      </c>
      <c r="E687" t="inlineStr">
        <is>
          <t>BOLLNÄS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60759-2024</t>
        </is>
      </c>
      <c r="B688" s="1" t="n">
        <v>45644.57359953703</v>
      </c>
      <c r="C688" s="1" t="n">
        <v>46184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5396-2026</t>
        </is>
      </c>
      <c r="B689" s="1" t="n">
        <v>46050</v>
      </c>
      <c r="C689" s="1" t="n">
        <v>46184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5674-2026</t>
        </is>
      </c>
      <c r="B690" s="1" t="n">
        <v>46051.47123842593</v>
      </c>
      <c r="C690" s="1" t="n">
        <v>46184</v>
      </c>
      <c r="D690" t="inlineStr">
        <is>
          <t>GÄVLEBORGS LÄN</t>
        </is>
      </c>
      <c r="E690" t="inlineStr">
        <is>
          <t>BOLLNÄS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5676-2026</t>
        </is>
      </c>
      <c r="B691" s="1" t="n">
        <v>46051.47204861111</v>
      </c>
      <c r="C691" s="1" t="n">
        <v>46184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6376-2026</t>
        </is>
      </c>
      <c r="B692" s="1" t="n">
        <v>46055</v>
      </c>
      <c r="C692" s="1" t="n">
        <v>46184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3163-2026</t>
        </is>
      </c>
      <c r="B693" s="1" t="n">
        <v>46041</v>
      </c>
      <c r="C693" s="1" t="n">
        <v>46184</v>
      </c>
      <c r="D693" t="inlineStr">
        <is>
          <t>GÄVLEBORGS LÄN</t>
        </is>
      </c>
      <c r="E693" t="inlineStr">
        <is>
          <t>BOLLNÄS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6421-2026</t>
        </is>
      </c>
      <c r="B694" s="1" t="n">
        <v>46055</v>
      </c>
      <c r="C694" s="1" t="n">
        <v>46184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2022-2025</t>
        </is>
      </c>
      <c r="B695" s="1" t="n">
        <v>45672.47560185185</v>
      </c>
      <c r="C695" s="1" t="n">
        <v>46184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28981-2022</t>
        </is>
      </c>
      <c r="B696" s="1" t="n">
        <v>44749.65293981481</v>
      </c>
      <c r="C696" s="1" t="n">
        <v>46184</v>
      </c>
      <c r="D696" t="inlineStr">
        <is>
          <t>GÄVLEBORGS LÄN</t>
        </is>
      </c>
      <c r="E696" t="inlineStr">
        <is>
          <t>BOLLNÄS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6419-2026</t>
        </is>
      </c>
      <c r="B697" s="1" t="n">
        <v>46055</v>
      </c>
      <c r="C697" s="1" t="n">
        <v>46184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6067-2026</t>
        </is>
      </c>
      <c r="B698" s="1" t="n">
        <v>46052.65503472222</v>
      </c>
      <c r="C698" s="1" t="n">
        <v>46184</v>
      </c>
      <c r="D698" t="inlineStr">
        <is>
          <t>GÄVLEBORGS LÄN</t>
        </is>
      </c>
      <c r="E698" t="inlineStr">
        <is>
          <t>BOLLNÄS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6153-2026</t>
        </is>
      </c>
      <c r="B699" s="1" t="n">
        <v>46055.2467824074</v>
      </c>
      <c r="C699" s="1" t="n">
        <v>46184</v>
      </c>
      <c r="D699" t="inlineStr">
        <is>
          <t>GÄVLEBORGS LÄN</t>
        </is>
      </c>
      <c r="E699" t="inlineStr">
        <is>
          <t>BOLLNÄS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5824-2026</t>
        </is>
      </c>
      <c r="B700" s="1" t="n">
        <v>46052.28528935185</v>
      </c>
      <c r="C700" s="1" t="n">
        <v>46184</v>
      </c>
      <c r="D700" t="inlineStr">
        <is>
          <t>GÄVLEBORGS LÄN</t>
        </is>
      </c>
      <c r="E700" t="inlineStr">
        <is>
          <t>BOLLNÄS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6172-2026</t>
        </is>
      </c>
      <c r="B701" s="1" t="n">
        <v>46055.34146990741</v>
      </c>
      <c r="C701" s="1" t="n">
        <v>46184</v>
      </c>
      <c r="D701" t="inlineStr">
        <is>
          <t>GÄVLEBORGS LÄN</t>
        </is>
      </c>
      <c r="E701" t="inlineStr">
        <is>
          <t>BOLLNÄS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6026-2026</t>
        </is>
      </c>
      <c r="B702" s="1" t="n">
        <v>46052.60679398148</v>
      </c>
      <c r="C702" s="1" t="n">
        <v>46184</v>
      </c>
      <c r="D702" t="inlineStr">
        <is>
          <t>GÄVLEBORGS LÄN</t>
        </is>
      </c>
      <c r="E702" t="inlineStr">
        <is>
          <t>BOLLNÄS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5968-2026</t>
        </is>
      </c>
      <c r="B703" s="1" t="n">
        <v>46052.54215277778</v>
      </c>
      <c r="C703" s="1" t="n">
        <v>46184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6325-2026</t>
        </is>
      </c>
      <c r="B704" s="1" t="n">
        <v>46055.58699074074</v>
      </c>
      <c r="C704" s="1" t="n">
        <v>46184</v>
      </c>
      <c r="D704" t="inlineStr">
        <is>
          <t>GÄVLEBORGS LÄN</t>
        </is>
      </c>
      <c r="E704" t="inlineStr">
        <is>
          <t>BOLLNÄS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5864-2026</t>
        </is>
      </c>
      <c r="B705" s="1" t="n">
        <v>46052.36734953704</v>
      </c>
      <c r="C705" s="1" t="n">
        <v>46184</v>
      </c>
      <c r="D705" t="inlineStr">
        <is>
          <t>GÄVLEBORGS LÄN</t>
        </is>
      </c>
      <c r="E705" t="inlineStr">
        <is>
          <t>BOLLNÄS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5817-2026</t>
        </is>
      </c>
      <c r="B706" s="1" t="n">
        <v>46052.25924768519</v>
      </c>
      <c r="C706" s="1" t="n">
        <v>46184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6050-2026</t>
        </is>
      </c>
      <c r="B707" s="1" t="n">
        <v>46052.63167824074</v>
      </c>
      <c r="C707" s="1" t="n">
        <v>46184</v>
      </c>
      <c r="D707" t="inlineStr">
        <is>
          <t>GÄVLEBORGS LÄN</t>
        </is>
      </c>
      <c r="E707" t="inlineStr">
        <is>
          <t>BOLLNÄS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6087-2026</t>
        </is>
      </c>
      <c r="B708" s="1" t="n">
        <v>46052.70216435185</v>
      </c>
      <c r="C708" s="1" t="n">
        <v>46184</v>
      </c>
      <c r="D708" t="inlineStr">
        <is>
          <t>GÄVLEBORGS LÄN</t>
        </is>
      </c>
      <c r="E708" t="inlineStr">
        <is>
          <t>BOLLNÄS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6006-2026</t>
        </is>
      </c>
      <c r="B709" s="1" t="n">
        <v>46052.58733796296</v>
      </c>
      <c r="C709" s="1" t="n">
        <v>46184</v>
      </c>
      <c r="D709" t="inlineStr">
        <is>
          <t>GÄVLEBORGS LÄN</t>
        </is>
      </c>
      <c r="E709" t="inlineStr">
        <is>
          <t>BOLLNÄS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6008-2026</t>
        </is>
      </c>
      <c r="B710" s="1" t="n">
        <v>46052</v>
      </c>
      <c r="C710" s="1" t="n">
        <v>46184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6017-2026</t>
        </is>
      </c>
      <c r="B711" s="1" t="n">
        <v>46052.60104166667</v>
      </c>
      <c r="C711" s="1" t="n">
        <v>46184</v>
      </c>
      <c r="D711" t="inlineStr">
        <is>
          <t>GÄVLEBORGS LÄN</t>
        </is>
      </c>
      <c r="E711" t="inlineStr">
        <is>
          <t>BOLLNÄS</t>
        </is>
      </c>
      <c r="G711" t="n">
        <v>28.2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6005-2026</t>
        </is>
      </c>
      <c r="B712" s="1" t="n">
        <v>46052.58637731482</v>
      </c>
      <c r="C712" s="1" t="n">
        <v>46184</v>
      </c>
      <c r="D712" t="inlineStr">
        <is>
          <t>GÄVLEBORGS LÄN</t>
        </is>
      </c>
      <c r="E712" t="inlineStr">
        <is>
          <t>BOLLNÄS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6059-2026</t>
        </is>
      </c>
      <c r="B713" s="1" t="n">
        <v>46052.64163194445</v>
      </c>
      <c r="C713" s="1" t="n">
        <v>46184</v>
      </c>
      <c r="D713" t="inlineStr">
        <is>
          <t>GÄVLEBORGS LÄN</t>
        </is>
      </c>
      <c r="E713" t="inlineStr">
        <is>
          <t>BOLLNÄS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6292-2026</t>
        </is>
      </c>
      <c r="B714" s="1" t="n">
        <v>46055.55726851852</v>
      </c>
      <c r="C714" s="1" t="n">
        <v>46184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6317-2026</t>
        </is>
      </c>
      <c r="B715" s="1" t="n">
        <v>46055</v>
      </c>
      <c r="C715" s="1" t="n">
        <v>46184</v>
      </c>
      <c r="D715" t="inlineStr">
        <is>
          <t>GÄVLEBORGS LÄN</t>
        </is>
      </c>
      <c r="E715" t="inlineStr">
        <is>
          <t>BOLLNÄS</t>
        </is>
      </c>
      <c r="G715" t="n">
        <v>16.2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6320-2026</t>
        </is>
      </c>
      <c r="B716" s="1" t="n">
        <v>46055</v>
      </c>
      <c r="C716" s="1" t="n">
        <v>46184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6323-2026</t>
        </is>
      </c>
      <c r="B717" s="1" t="n">
        <v>46055.58607638889</v>
      </c>
      <c r="C717" s="1" t="n">
        <v>46184</v>
      </c>
      <c r="D717" t="inlineStr">
        <is>
          <t>GÄVLEBORGS LÄN</t>
        </is>
      </c>
      <c r="E717" t="inlineStr">
        <is>
          <t>BOLLNÄS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5926-2026</t>
        </is>
      </c>
      <c r="B718" s="1" t="n">
        <v>46052.46386574074</v>
      </c>
      <c r="C718" s="1" t="n">
        <v>46184</v>
      </c>
      <c r="D718" t="inlineStr">
        <is>
          <t>GÄVLEBORGS LÄN</t>
        </is>
      </c>
      <c r="E718" t="inlineStr">
        <is>
          <t>BOLLNÄS</t>
        </is>
      </c>
      <c r="G718" t="n">
        <v>16.9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6296-2026</t>
        </is>
      </c>
      <c r="B719" s="1" t="n">
        <v>46055.56340277778</v>
      </c>
      <c r="C719" s="1" t="n">
        <v>46184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6326-2026</t>
        </is>
      </c>
      <c r="B720" s="1" t="n">
        <v>46055.58804398148</v>
      </c>
      <c r="C720" s="1" t="n">
        <v>46184</v>
      </c>
      <c r="D720" t="inlineStr">
        <is>
          <t>GÄVLEBORGS LÄN</t>
        </is>
      </c>
      <c r="E720" t="inlineStr">
        <is>
          <t>BOLLNÄS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60956-2022</t>
        </is>
      </c>
      <c r="B721" s="1" t="n">
        <v>44914</v>
      </c>
      <c r="C721" s="1" t="n">
        <v>46184</v>
      </c>
      <c r="D721" t="inlineStr">
        <is>
          <t>GÄVLEBORGS LÄN</t>
        </is>
      </c>
      <c r="E721" t="inlineStr">
        <is>
          <t>BOLLNÄS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6001-2026</t>
        </is>
      </c>
      <c r="B722" s="1" t="n">
        <v>46052</v>
      </c>
      <c r="C722" s="1" t="n">
        <v>46184</v>
      </c>
      <c r="D722" t="inlineStr">
        <is>
          <t>GÄVLEBORGS LÄN</t>
        </is>
      </c>
      <c r="E722" t="inlineStr">
        <is>
          <t>BOLLNÄS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6012-2026</t>
        </is>
      </c>
      <c r="B723" s="1" t="n">
        <v>46052.5969675926</v>
      </c>
      <c r="C723" s="1" t="n">
        <v>46184</v>
      </c>
      <c r="D723" t="inlineStr">
        <is>
          <t>GÄVLEBORGS LÄN</t>
        </is>
      </c>
      <c r="E723" t="inlineStr">
        <is>
          <t>BOLLNÄS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6020-2026</t>
        </is>
      </c>
      <c r="B724" s="1" t="n">
        <v>46052.60188657408</v>
      </c>
      <c r="C724" s="1" t="n">
        <v>46184</v>
      </c>
      <c r="D724" t="inlineStr">
        <is>
          <t>GÄVLEBORGS LÄN</t>
        </is>
      </c>
      <c r="E724" t="inlineStr">
        <is>
          <t>BOLLNÄS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6260-2026</t>
        </is>
      </c>
      <c r="B725" s="1" t="n">
        <v>46055.48059027778</v>
      </c>
      <c r="C725" s="1" t="n">
        <v>46184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5821-2026</t>
        </is>
      </c>
      <c r="B726" s="1" t="n">
        <v>46052.27571759259</v>
      </c>
      <c r="C726" s="1" t="n">
        <v>46184</v>
      </c>
      <c r="D726" t="inlineStr">
        <is>
          <t>GÄVLEBORGS LÄN</t>
        </is>
      </c>
      <c r="E726" t="inlineStr">
        <is>
          <t>BOLLNÄS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6387-2026</t>
        </is>
      </c>
      <c r="B727" s="1" t="n">
        <v>46055.643125</v>
      </c>
      <c r="C727" s="1" t="n">
        <v>46184</v>
      </c>
      <c r="D727" t="inlineStr">
        <is>
          <t>GÄVLEBORGS LÄN</t>
        </is>
      </c>
      <c r="E727" t="inlineStr">
        <is>
          <t>BOLLNÄS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6371-2026</t>
        </is>
      </c>
      <c r="B728" s="1" t="n">
        <v>46055</v>
      </c>
      <c r="C728" s="1" t="n">
        <v>46184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6063-2026</t>
        </is>
      </c>
      <c r="B729" s="1" t="n">
        <v>46052.64888888889</v>
      </c>
      <c r="C729" s="1" t="n">
        <v>46184</v>
      </c>
      <c r="D729" t="inlineStr">
        <is>
          <t>GÄVLEBORGS LÄN</t>
        </is>
      </c>
      <c r="E729" t="inlineStr">
        <is>
          <t>BOLLNÄS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43152-2023</t>
        </is>
      </c>
      <c r="B730" s="1" t="n">
        <v>45183.32864583333</v>
      </c>
      <c r="C730" s="1" t="n">
        <v>46184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63956-2025</t>
        </is>
      </c>
      <c r="B731" s="1" t="n">
        <v>46020</v>
      </c>
      <c r="C731" s="1" t="n">
        <v>46184</v>
      </c>
      <c r="D731" t="inlineStr">
        <is>
          <t>GÄVLEBORGS LÄN</t>
        </is>
      </c>
      <c r="E731" t="inlineStr">
        <is>
          <t>BOLLNÄS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6258-2026</t>
        </is>
      </c>
      <c r="B732" s="1" t="n">
        <v>46055.47865740741</v>
      </c>
      <c r="C732" s="1" t="n">
        <v>46184</v>
      </c>
      <c r="D732" t="inlineStr">
        <is>
          <t>GÄVLEBORGS LÄN</t>
        </is>
      </c>
      <c r="E732" t="inlineStr">
        <is>
          <t>BOLLNÄS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5879-2026</t>
        </is>
      </c>
      <c r="B733" s="1" t="n">
        <v>46052</v>
      </c>
      <c r="C733" s="1" t="n">
        <v>46184</v>
      </c>
      <c r="D733" t="inlineStr">
        <is>
          <t>GÄVLEBORGS LÄN</t>
        </is>
      </c>
      <c r="E733" t="inlineStr">
        <is>
          <t>BOLLNÄS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6666-2026</t>
        </is>
      </c>
      <c r="B734" s="1" t="n">
        <v>46056.58694444445</v>
      </c>
      <c r="C734" s="1" t="n">
        <v>46184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6769-2026</t>
        </is>
      </c>
      <c r="B735" s="1" t="n">
        <v>46057.27315972222</v>
      </c>
      <c r="C735" s="1" t="n">
        <v>46184</v>
      </c>
      <c r="D735" t="inlineStr">
        <is>
          <t>GÄVLEBORGS LÄN</t>
        </is>
      </c>
      <c r="E735" t="inlineStr">
        <is>
          <t>BOLLNÄS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6501-2026</t>
        </is>
      </c>
      <c r="B736" s="1" t="n">
        <v>46056.36847222222</v>
      </c>
      <c r="C736" s="1" t="n">
        <v>46184</v>
      </c>
      <c r="D736" t="inlineStr">
        <is>
          <t>GÄVLEBORGS LÄN</t>
        </is>
      </c>
      <c r="E736" t="inlineStr">
        <is>
          <t>BOLLNÄS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6537-2026</t>
        </is>
      </c>
      <c r="B737" s="1" t="n">
        <v>46056.4221412037</v>
      </c>
      <c r="C737" s="1" t="n">
        <v>46184</v>
      </c>
      <c r="D737" t="inlineStr">
        <is>
          <t>GÄVLEBORGS LÄN</t>
        </is>
      </c>
      <c r="E737" t="inlineStr">
        <is>
          <t>BOLLNÄS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6554-2026</t>
        </is>
      </c>
      <c r="B738" s="1" t="n">
        <v>46056.43068287037</v>
      </c>
      <c r="C738" s="1" t="n">
        <v>46184</v>
      </c>
      <c r="D738" t="inlineStr">
        <is>
          <t>GÄVLEBORGS LÄN</t>
        </is>
      </c>
      <c r="E738" t="inlineStr">
        <is>
          <t>BOLLNÄS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6773-2026</t>
        </is>
      </c>
      <c r="B739" s="1" t="n">
        <v>46057.29446759259</v>
      </c>
      <c r="C739" s="1" t="n">
        <v>46184</v>
      </c>
      <c r="D739" t="inlineStr">
        <is>
          <t>GÄVLEBORGS LÄN</t>
        </is>
      </c>
      <c r="E739" t="inlineStr">
        <is>
          <t>BOLLNÄS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6777-2026</t>
        </is>
      </c>
      <c r="B740" s="1" t="n">
        <v>46057.29960648148</v>
      </c>
      <c r="C740" s="1" t="n">
        <v>46184</v>
      </c>
      <c r="D740" t="inlineStr">
        <is>
          <t>GÄVLEBORGS LÄN</t>
        </is>
      </c>
      <c r="E740" t="inlineStr">
        <is>
          <t>BOLLNÄS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6784-2026</t>
        </is>
      </c>
      <c r="B741" s="1" t="n">
        <v>46057.31211805555</v>
      </c>
      <c r="C741" s="1" t="n">
        <v>46184</v>
      </c>
      <c r="D741" t="inlineStr">
        <is>
          <t>GÄVLEBORGS LÄN</t>
        </is>
      </c>
      <c r="E741" t="inlineStr">
        <is>
          <t>BOLLNÄS</t>
        </is>
      </c>
      <c r="G741" t="n">
        <v>21.8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6546-2026</t>
        </is>
      </c>
      <c r="B742" s="1" t="n">
        <v>46056.42814814814</v>
      </c>
      <c r="C742" s="1" t="n">
        <v>46184</v>
      </c>
      <c r="D742" t="inlineStr">
        <is>
          <t>GÄVLEBORGS LÄN</t>
        </is>
      </c>
      <c r="E742" t="inlineStr">
        <is>
          <t>BOLLNÄS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6643-2026</t>
        </is>
      </c>
      <c r="B743" s="1" t="n">
        <v>46056.53697916667</v>
      </c>
      <c r="C743" s="1" t="n">
        <v>46184</v>
      </c>
      <c r="D743" t="inlineStr">
        <is>
          <t>GÄVLEBORGS LÄN</t>
        </is>
      </c>
      <c r="E743" t="inlineStr">
        <is>
          <t>BOLLNÄS</t>
        </is>
      </c>
      <c r="G743" t="n">
        <v>18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6920-2026</t>
        </is>
      </c>
      <c r="B744" s="1" t="n">
        <v>46057.5354050926</v>
      </c>
      <c r="C744" s="1" t="n">
        <v>46184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6718-2026</t>
        </is>
      </c>
      <c r="B745" s="1" t="n">
        <v>46056</v>
      </c>
      <c r="C745" s="1" t="n">
        <v>46184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6436-2026</t>
        </is>
      </c>
      <c r="B746" s="1" t="n">
        <v>46055.77675925926</v>
      </c>
      <c r="C746" s="1" t="n">
        <v>46184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6438-2026</t>
        </is>
      </c>
      <c r="B747" s="1" t="n">
        <v>46055.80380787037</v>
      </c>
      <c r="C747" s="1" t="n">
        <v>46184</v>
      </c>
      <c r="D747" t="inlineStr">
        <is>
          <t>GÄVLEBORGS LÄN</t>
        </is>
      </c>
      <c r="E747" t="inlineStr">
        <is>
          <t>BOLLNÄS</t>
        </is>
      </c>
      <c r="F747" t="inlineStr">
        <is>
          <t>Kyrkan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6805-2026</t>
        </is>
      </c>
      <c r="B748" s="1" t="n">
        <v>46057.36021990741</v>
      </c>
      <c r="C748" s="1" t="n">
        <v>46184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6917-2026</t>
        </is>
      </c>
      <c r="B749" s="1" t="n">
        <v>46057</v>
      </c>
      <c r="C749" s="1" t="n">
        <v>46184</v>
      </c>
      <c r="D749" t="inlineStr">
        <is>
          <t>GÄVLEBORGS LÄN</t>
        </is>
      </c>
      <c r="E749" t="inlineStr">
        <is>
          <t>BOLLNÄS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6571-2026</t>
        </is>
      </c>
      <c r="B750" s="1" t="n">
        <v>46056.44422453704</v>
      </c>
      <c r="C750" s="1" t="n">
        <v>46184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6432-2026</t>
        </is>
      </c>
      <c r="B751" s="1" t="n">
        <v>46055.75491898148</v>
      </c>
      <c r="C751" s="1" t="n">
        <v>46184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6441-2026</t>
        </is>
      </c>
      <c r="B752" s="1" t="n">
        <v>46055.80913194444</v>
      </c>
      <c r="C752" s="1" t="n">
        <v>46184</v>
      </c>
      <c r="D752" t="inlineStr">
        <is>
          <t>GÄVLEBORGS LÄN</t>
        </is>
      </c>
      <c r="E752" t="inlineStr">
        <is>
          <t>BOLLNÄS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6442-2026</t>
        </is>
      </c>
      <c r="B753" s="1" t="n">
        <v>46055.8122337963</v>
      </c>
      <c r="C753" s="1" t="n">
        <v>46184</v>
      </c>
      <c r="D753" t="inlineStr">
        <is>
          <t>GÄVLEBORGS LÄN</t>
        </is>
      </c>
      <c r="E753" t="inlineStr">
        <is>
          <t>BOLLNÄS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6461-2026</t>
        </is>
      </c>
      <c r="B754" s="1" t="n">
        <v>46056.30370370371</v>
      </c>
      <c r="C754" s="1" t="n">
        <v>46184</v>
      </c>
      <c r="D754" t="inlineStr">
        <is>
          <t>GÄVLEBORGS LÄN</t>
        </is>
      </c>
      <c r="E754" t="inlineStr">
        <is>
          <t>BOLLNÄS</t>
        </is>
      </c>
      <c r="F754" t="inlineStr">
        <is>
          <t>Kyrkan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6473-2026</t>
        </is>
      </c>
      <c r="B755" s="1" t="n">
        <v>46056</v>
      </c>
      <c r="C755" s="1" t="n">
        <v>46184</v>
      </c>
      <c r="D755" t="inlineStr">
        <is>
          <t>GÄVLEBORGS LÄN</t>
        </is>
      </c>
      <c r="E755" t="inlineStr">
        <is>
          <t>BOLLNÄS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6528-2026</t>
        </is>
      </c>
      <c r="B756" s="1" t="n">
        <v>46056.40777777778</v>
      </c>
      <c r="C756" s="1" t="n">
        <v>46184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6853-2026</t>
        </is>
      </c>
      <c r="B757" s="1" t="n">
        <v>46057</v>
      </c>
      <c r="C757" s="1" t="n">
        <v>46184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6492-2026</t>
        </is>
      </c>
      <c r="B758" s="1" t="n">
        <v>46056</v>
      </c>
      <c r="C758" s="1" t="n">
        <v>46184</v>
      </c>
      <c r="D758" t="inlineStr">
        <is>
          <t>GÄVLEBORGS LÄN</t>
        </is>
      </c>
      <c r="E758" t="inlineStr">
        <is>
          <t>BOLLNÄS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6760-2026</t>
        </is>
      </c>
      <c r="B759" s="1" t="n">
        <v>46056.83444444444</v>
      </c>
      <c r="C759" s="1" t="n">
        <v>46184</v>
      </c>
      <c r="D759" t="inlineStr">
        <is>
          <t>GÄVLEBORGS LÄN</t>
        </is>
      </c>
      <c r="E759" t="inlineStr">
        <is>
          <t>BOLLNÄS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6433-2026</t>
        </is>
      </c>
      <c r="B760" s="1" t="n">
        <v>46055.76931712963</v>
      </c>
      <c r="C760" s="1" t="n">
        <v>46184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6482-2026</t>
        </is>
      </c>
      <c r="B761" s="1" t="n">
        <v>46056.33789351852</v>
      </c>
      <c r="C761" s="1" t="n">
        <v>46184</v>
      </c>
      <c r="D761" t="inlineStr">
        <is>
          <t>GÄVLEBORGS LÄN</t>
        </is>
      </c>
      <c r="E761" t="inlineStr">
        <is>
          <t>BOLLNÄS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6866-2026</t>
        </is>
      </c>
      <c r="B762" s="1" t="n">
        <v>46057</v>
      </c>
      <c r="C762" s="1" t="n">
        <v>46184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5781-2026</t>
        </is>
      </c>
      <c r="B763" s="1" t="n">
        <v>46051.65741898148</v>
      </c>
      <c r="C763" s="1" t="n">
        <v>46184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6785-2026</t>
        </is>
      </c>
      <c r="B764" s="1" t="n">
        <v>46057.31912037037</v>
      </c>
      <c r="C764" s="1" t="n">
        <v>46184</v>
      </c>
      <c r="D764" t="inlineStr">
        <is>
          <t>GÄVLEBORGS LÄN</t>
        </is>
      </c>
      <c r="E764" t="inlineStr">
        <is>
          <t>BOLLNÄS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6759-2026</t>
        </is>
      </c>
      <c r="B765" s="1" t="n">
        <v>46056.83179398148</v>
      </c>
      <c r="C765" s="1" t="n">
        <v>46184</v>
      </c>
      <c r="D765" t="inlineStr">
        <is>
          <t>GÄVLEBORGS LÄN</t>
        </is>
      </c>
      <c r="E765" t="inlineStr">
        <is>
          <t>BOLLNÄS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6770-2026</t>
        </is>
      </c>
      <c r="B766" s="1" t="n">
        <v>46057.27619212963</v>
      </c>
      <c r="C766" s="1" t="n">
        <v>46184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6557-2026</t>
        </is>
      </c>
      <c r="B767" s="1" t="n">
        <v>46056.43421296297</v>
      </c>
      <c r="C767" s="1" t="n">
        <v>46184</v>
      </c>
      <c r="D767" t="inlineStr">
        <is>
          <t>GÄVLEBORGS LÄN</t>
        </is>
      </c>
      <c r="E767" t="inlineStr">
        <is>
          <t>BOLLNÄS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7095-2026</t>
        </is>
      </c>
      <c r="B768" s="1" t="n">
        <v>46058.34798611111</v>
      </c>
      <c r="C768" s="1" t="n">
        <v>46184</v>
      </c>
      <c r="D768" t="inlineStr">
        <is>
          <t>GÄVLEBORGS LÄN</t>
        </is>
      </c>
      <c r="E768" t="inlineStr">
        <is>
          <t>BOLLNÄS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7149-2026</t>
        </is>
      </c>
      <c r="B769" s="1" t="n">
        <v>46058</v>
      </c>
      <c r="C769" s="1" t="n">
        <v>46184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7217-2026</t>
        </is>
      </c>
      <c r="B770" s="1" t="n">
        <v>46058</v>
      </c>
      <c r="C770" s="1" t="n">
        <v>46184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7146-2026</t>
        </is>
      </c>
      <c r="B771" s="1" t="n">
        <v>46058</v>
      </c>
      <c r="C771" s="1" t="n">
        <v>46184</v>
      </c>
      <c r="D771" t="inlineStr">
        <is>
          <t>GÄVLEBORGS LÄN</t>
        </is>
      </c>
      <c r="E771" t="inlineStr">
        <is>
          <t>BOLLNÄS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7415-2026</t>
        </is>
      </c>
      <c r="B772" s="1" t="n">
        <v>46059</v>
      </c>
      <c r="C772" s="1" t="n">
        <v>46184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7091-2026</t>
        </is>
      </c>
      <c r="B773" s="1" t="n">
        <v>46058.34454861111</v>
      </c>
      <c r="C773" s="1" t="n">
        <v>46184</v>
      </c>
      <c r="D773" t="inlineStr">
        <is>
          <t>GÄVLEBORGS LÄN</t>
        </is>
      </c>
      <c r="E773" t="inlineStr">
        <is>
          <t>BOLLNÄS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7336-2026</t>
        </is>
      </c>
      <c r="B774" s="1" t="n">
        <v>46058.87827546296</v>
      </c>
      <c r="C774" s="1" t="n">
        <v>46184</v>
      </c>
      <c r="D774" t="inlineStr">
        <is>
          <t>GÄVLEBORGS LÄN</t>
        </is>
      </c>
      <c r="E774" t="inlineStr">
        <is>
          <t>BOLLNÄS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7411-2026</t>
        </is>
      </c>
      <c r="B775" s="1" t="n">
        <v>46059</v>
      </c>
      <c r="C775" s="1" t="n">
        <v>46184</v>
      </c>
      <c r="D775" t="inlineStr">
        <is>
          <t>GÄVLEBORGS LÄN</t>
        </is>
      </c>
      <c r="E775" t="inlineStr">
        <is>
          <t>BOLLNÄS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7420-2026</t>
        </is>
      </c>
      <c r="B776" s="1" t="n">
        <v>46059</v>
      </c>
      <c r="C776" s="1" t="n">
        <v>46184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7399-2026</t>
        </is>
      </c>
      <c r="B777" s="1" t="n">
        <v>46059</v>
      </c>
      <c r="C777" s="1" t="n">
        <v>46184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7203-2026</t>
        </is>
      </c>
      <c r="B778" s="1" t="n">
        <v>46058.52929398148</v>
      </c>
      <c r="C778" s="1" t="n">
        <v>46184</v>
      </c>
      <c r="D778" t="inlineStr">
        <is>
          <t>GÄVLEBORGS LÄN</t>
        </is>
      </c>
      <c r="E778" t="inlineStr">
        <is>
          <t>BOLLNÄS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7261-2026</t>
        </is>
      </c>
      <c r="B779" s="1" t="n">
        <v>46058</v>
      </c>
      <c r="C779" s="1" t="n">
        <v>46184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63953-2025</t>
        </is>
      </c>
      <c r="B780" s="1" t="n">
        <v>46020</v>
      </c>
      <c r="C780" s="1" t="n">
        <v>46184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7093-2026</t>
        </is>
      </c>
      <c r="B781" s="1" t="n">
        <v>46058.34549768519</v>
      </c>
      <c r="C781" s="1" t="n">
        <v>46184</v>
      </c>
      <c r="D781" t="inlineStr">
        <is>
          <t>GÄVLEBORGS LÄN</t>
        </is>
      </c>
      <c r="E781" t="inlineStr">
        <is>
          <t>BOLLNÄS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7413-2026</t>
        </is>
      </c>
      <c r="B782" s="1" t="n">
        <v>46059</v>
      </c>
      <c r="C782" s="1" t="n">
        <v>46184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7340-2026</t>
        </is>
      </c>
      <c r="B783" s="1" t="n">
        <v>46058.88918981481</v>
      </c>
      <c r="C783" s="1" t="n">
        <v>46184</v>
      </c>
      <c r="D783" t="inlineStr">
        <is>
          <t>GÄVLEBORGS LÄN</t>
        </is>
      </c>
      <c r="E783" t="inlineStr">
        <is>
          <t>BOLLNÄS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7067-2026</t>
        </is>
      </c>
      <c r="B784" s="1" t="n">
        <v>46058.284375</v>
      </c>
      <c r="C784" s="1" t="n">
        <v>46184</v>
      </c>
      <c r="D784" t="inlineStr">
        <is>
          <t>GÄVLEBORGS LÄN</t>
        </is>
      </c>
      <c r="E784" t="inlineStr">
        <is>
          <t>BOLLNÄS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7100-2026</t>
        </is>
      </c>
      <c r="B785" s="1" t="n">
        <v>46058</v>
      </c>
      <c r="C785" s="1" t="n">
        <v>46184</v>
      </c>
      <c r="D785" t="inlineStr">
        <is>
          <t>GÄVLEBORGS LÄN</t>
        </is>
      </c>
      <c r="E785" t="inlineStr">
        <is>
          <t>BOLLNÄS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59331-2022</t>
        </is>
      </c>
      <c r="B786" s="1" t="n">
        <v>44904.6508912037</v>
      </c>
      <c r="C786" s="1" t="n">
        <v>46184</v>
      </c>
      <c r="D786" t="inlineStr">
        <is>
          <t>GÄVLEBORGS LÄN</t>
        </is>
      </c>
      <c r="E786" t="inlineStr">
        <is>
          <t>BOLLNÄS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7139-2026</t>
        </is>
      </c>
      <c r="B787" s="1" t="n">
        <v>46058.40991898148</v>
      </c>
      <c r="C787" s="1" t="n">
        <v>46184</v>
      </c>
      <c r="D787" t="inlineStr">
        <is>
          <t>GÄVLEBORGS LÄN</t>
        </is>
      </c>
      <c r="E787" t="inlineStr">
        <is>
          <t>BOLLNÄS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7094-2026</t>
        </is>
      </c>
      <c r="B788" s="1" t="n">
        <v>46058.34699074074</v>
      </c>
      <c r="C788" s="1" t="n">
        <v>46184</v>
      </c>
      <c r="D788" t="inlineStr">
        <is>
          <t>GÄVLEBORGS LÄN</t>
        </is>
      </c>
      <c r="E788" t="inlineStr">
        <is>
          <t>BOLLNÄS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5808-2026</t>
        </is>
      </c>
      <c r="B789" s="1" t="n">
        <v>46051.82923611111</v>
      </c>
      <c r="C789" s="1" t="n">
        <v>46184</v>
      </c>
      <c r="D789" t="inlineStr">
        <is>
          <t>GÄVLEBORGS LÄN</t>
        </is>
      </c>
      <c r="E789" t="inlineStr">
        <is>
          <t>BOLLNÄS</t>
        </is>
      </c>
      <c r="F789" t="inlineStr">
        <is>
          <t>Kommuner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8010-2026</t>
        </is>
      </c>
      <c r="B790" s="1" t="n">
        <v>46063</v>
      </c>
      <c r="C790" s="1" t="n">
        <v>46184</v>
      </c>
      <c r="D790" t="inlineStr">
        <is>
          <t>GÄVLEBORGS LÄN</t>
        </is>
      </c>
      <c r="E790" t="inlineStr">
        <is>
          <t>BOLLNÄS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7884-2026</t>
        </is>
      </c>
      <c r="B791" s="1" t="n">
        <v>46063.30266203704</v>
      </c>
      <c r="C791" s="1" t="n">
        <v>46184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7560-2026</t>
        </is>
      </c>
      <c r="B792" s="1" t="n">
        <v>46060</v>
      </c>
      <c r="C792" s="1" t="n">
        <v>46184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7660-2026</t>
        </is>
      </c>
      <c r="B793" s="1" t="n">
        <v>46062.39435185185</v>
      </c>
      <c r="C793" s="1" t="n">
        <v>46184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7642-2026</t>
        </is>
      </c>
      <c r="B794" s="1" t="n">
        <v>46062.37685185186</v>
      </c>
      <c r="C794" s="1" t="n">
        <v>46184</v>
      </c>
      <c r="D794" t="inlineStr">
        <is>
          <t>GÄVLEBORGS LÄN</t>
        </is>
      </c>
      <c r="E794" t="inlineStr">
        <is>
          <t>BOLLNÄS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7953-2026</t>
        </is>
      </c>
      <c r="B795" s="1" t="n">
        <v>46063</v>
      </c>
      <c r="C795" s="1" t="n">
        <v>46184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584-2026</t>
        </is>
      </c>
      <c r="B796" s="1" t="n">
        <v>46029</v>
      </c>
      <c r="C796" s="1" t="n">
        <v>46184</v>
      </c>
      <c r="D796" t="inlineStr">
        <is>
          <t>GÄVLEBORGS LÄN</t>
        </is>
      </c>
      <c r="E796" t="inlineStr">
        <is>
          <t>BOLLNÄS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8012-2026</t>
        </is>
      </c>
      <c r="B797" s="1" t="n">
        <v>46063.53550925926</v>
      </c>
      <c r="C797" s="1" t="n">
        <v>46184</v>
      </c>
      <c r="D797" t="inlineStr">
        <is>
          <t>GÄVLEBORGS LÄN</t>
        </is>
      </c>
      <c r="E797" t="inlineStr">
        <is>
          <t>BOLLNÄS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7609-2026</t>
        </is>
      </c>
      <c r="B798" s="1" t="n">
        <v>46062</v>
      </c>
      <c r="C798" s="1" t="n">
        <v>46184</v>
      </c>
      <c r="D798" t="inlineStr">
        <is>
          <t>GÄVLEBORGS LÄN</t>
        </is>
      </c>
      <c r="E798" t="inlineStr">
        <is>
          <t>BOLLNÄS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8052-2026</t>
        </is>
      </c>
      <c r="B799" s="1" t="n">
        <v>46063</v>
      </c>
      <c r="C799" s="1" t="n">
        <v>46184</v>
      </c>
      <c r="D799" t="inlineStr">
        <is>
          <t>GÄVLEBORGS LÄN</t>
        </is>
      </c>
      <c r="E799" t="inlineStr">
        <is>
          <t>BOLLNÄS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7956-2026</t>
        </is>
      </c>
      <c r="B800" s="1" t="n">
        <v>46063</v>
      </c>
      <c r="C800" s="1" t="n">
        <v>46184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7618-2026</t>
        </is>
      </c>
      <c r="B801" s="1" t="n">
        <v>46062.34146990741</v>
      </c>
      <c r="C801" s="1" t="n">
        <v>46184</v>
      </c>
      <c r="D801" t="inlineStr">
        <is>
          <t>GÄVLEBORGS LÄN</t>
        </is>
      </c>
      <c r="E801" t="inlineStr">
        <is>
          <t>BOLLNÄS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7621-2026</t>
        </is>
      </c>
      <c r="B802" s="1" t="n">
        <v>46062.34568287037</v>
      </c>
      <c r="C802" s="1" t="n">
        <v>46184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7798-2026</t>
        </is>
      </c>
      <c r="B803" s="1" t="n">
        <v>46062.60090277778</v>
      </c>
      <c r="C803" s="1" t="n">
        <v>46184</v>
      </c>
      <c r="D803" t="inlineStr">
        <is>
          <t>GÄVLEBORGS LÄN</t>
        </is>
      </c>
      <c r="E803" t="inlineStr">
        <is>
          <t>BOLLNÄS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7880-2026</t>
        </is>
      </c>
      <c r="B804" s="1" t="n">
        <v>46063.27535879629</v>
      </c>
      <c r="C804" s="1" t="n">
        <v>46184</v>
      </c>
      <c r="D804" t="inlineStr">
        <is>
          <t>GÄVLEBORGS LÄN</t>
        </is>
      </c>
      <c r="E804" t="inlineStr">
        <is>
          <t>BOLLNÄS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8031-2026</t>
        </is>
      </c>
      <c r="B805" s="1" t="n">
        <v>46063</v>
      </c>
      <c r="C805" s="1" t="n">
        <v>46184</v>
      </c>
      <c r="D805" t="inlineStr">
        <is>
          <t>GÄVLEBORGS LÄN</t>
        </is>
      </c>
      <c r="E805" t="inlineStr">
        <is>
          <t>BOLLNÄS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8070-2026</t>
        </is>
      </c>
      <c r="B806" s="1" t="n">
        <v>46063.64724537037</v>
      </c>
      <c r="C806" s="1" t="n">
        <v>46184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8098-2026</t>
        </is>
      </c>
      <c r="B807" s="1" t="n">
        <v>46063</v>
      </c>
      <c r="C807" s="1" t="n">
        <v>46184</v>
      </c>
      <c r="D807" t="inlineStr">
        <is>
          <t>GÄVLEBORGS LÄN</t>
        </is>
      </c>
      <c r="E807" t="inlineStr">
        <is>
          <t>BOLLNÄS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7707-2026</t>
        </is>
      </c>
      <c r="B808" s="1" t="n">
        <v>46062</v>
      </c>
      <c r="C808" s="1" t="n">
        <v>46184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9.9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7569-2026</t>
        </is>
      </c>
      <c r="B809" s="1" t="n">
        <v>46060.62847222222</v>
      </c>
      <c r="C809" s="1" t="n">
        <v>46184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8036-2026</t>
        </is>
      </c>
      <c r="B810" s="1" t="n">
        <v>46063</v>
      </c>
      <c r="C810" s="1" t="n">
        <v>46184</v>
      </c>
      <c r="D810" t="inlineStr">
        <is>
          <t>GÄVLEBORGS LÄN</t>
        </is>
      </c>
      <c r="E810" t="inlineStr">
        <is>
          <t>BOLLNÄS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7740-2026</t>
        </is>
      </c>
      <c r="B811" s="1" t="n">
        <v>46062.53707175926</v>
      </c>
      <c r="C811" s="1" t="n">
        <v>46184</v>
      </c>
      <c r="D811" t="inlineStr">
        <is>
          <t>GÄVLEBORGS LÄN</t>
        </is>
      </c>
      <c r="E811" t="inlineStr">
        <is>
          <t>BOLLNÄS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7938-2026</t>
        </is>
      </c>
      <c r="B812" s="1" t="n">
        <v>46063</v>
      </c>
      <c r="C812" s="1" t="n">
        <v>46184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8087-2026</t>
        </is>
      </c>
      <c r="B813" s="1" t="n">
        <v>46063</v>
      </c>
      <c r="C813" s="1" t="n">
        <v>46184</v>
      </c>
      <c r="D813" t="inlineStr">
        <is>
          <t>GÄVLEBORGS LÄN</t>
        </is>
      </c>
      <c r="E813" t="inlineStr">
        <is>
          <t>BOLLNÄS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7919-2026</t>
        </is>
      </c>
      <c r="B814" s="1" t="n">
        <v>46063.38306712963</v>
      </c>
      <c r="C814" s="1" t="n">
        <v>46184</v>
      </c>
      <c r="D814" t="inlineStr">
        <is>
          <t>GÄVLEBORGS LÄN</t>
        </is>
      </c>
      <c r="E814" t="inlineStr">
        <is>
          <t>BOLLNÄS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18486-2022</t>
        </is>
      </c>
      <c r="B815" s="1" t="n">
        <v>44686.5978125</v>
      </c>
      <c r="C815" s="1" t="n">
        <v>46184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7568-2026</t>
        </is>
      </c>
      <c r="B816" s="1" t="n">
        <v>46060.62287037037</v>
      </c>
      <c r="C816" s="1" t="n">
        <v>46184</v>
      </c>
      <c r="D816" t="inlineStr">
        <is>
          <t>GÄVLEBORGS LÄN</t>
        </is>
      </c>
      <c r="E816" t="inlineStr">
        <is>
          <t>BOLLNÄS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7614-2026</t>
        </is>
      </c>
      <c r="B817" s="1" t="n">
        <v>46062.32998842592</v>
      </c>
      <c r="C817" s="1" t="n">
        <v>46184</v>
      </c>
      <c r="D817" t="inlineStr">
        <is>
          <t>GÄVLEBORGS LÄN</t>
        </is>
      </c>
      <c r="E817" t="inlineStr">
        <is>
          <t>BOLLNÄS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7616-2026</t>
        </is>
      </c>
      <c r="B818" s="1" t="n">
        <v>46062.33501157408</v>
      </c>
      <c r="C818" s="1" t="n">
        <v>46184</v>
      </c>
      <c r="D818" t="inlineStr">
        <is>
          <t>GÄVLEBORGS LÄN</t>
        </is>
      </c>
      <c r="E818" t="inlineStr">
        <is>
          <t>BOLLNÄS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8395-2026</t>
        </is>
      </c>
      <c r="B819" s="1" t="n">
        <v>46065.29427083334</v>
      </c>
      <c r="C819" s="1" t="n">
        <v>46184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8459-2026</t>
        </is>
      </c>
      <c r="B820" s="1" t="n">
        <v>46065</v>
      </c>
      <c r="C820" s="1" t="n">
        <v>46184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8166-2026</t>
        </is>
      </c>
      <c r="B821" s="1" t="n">
        <v>46064.38925925926</v>
      </c>
      <c r="C821" s="1" t="n">
        <v>46184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8497-2026</t>
        </is>
      </c>
      <c r="B822" s="1" t="n">
        <v>46065</v>
      </c>
      <c r="C822" s="1" t="n">
        <v>46184</v>
      </c>
      <c r="D822" t="inlineStr">
        <is>
          <t>GÄVLEBORGS LÄN</t>
        </is>
      </c>
      <c r="E822" t="inlineStr">
        <is>
          <t>BOLLNÄS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8156-2026</t>
        </is>
      </c>
      <c r="B823" s="1" t="n">
        <v>46064.36232638889</v>
      </c>
      <c r="C823" s="1" t="n">
        <v>46184</v>
      </c>
      <c r="D823" t="inlineStr">
        <is>
          <t>GÄVLEBORGS LÄN</t>
        </is>
      </c>
      <c r="E823" t="inlineStr">
        <is>
          <t>BOLLNÄS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8129-2026</t>
        </is>
      </c>
      <c r="B824" s="1" t="n">
        <v>46064</v>
      </c>
      <c r="C824" s="1" t="n">
        <v>46184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7136-2025</t>
        </is>
      </c>
      <c r="B825" s="1" t="n">
        <v>45702.36628472222</v>
      </c>
      <c r="C825" s="1" t="n">
        <v>46184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8203-2026</t>
        </is>
      </c>
      <c r="B826" s="1" t="n">
        <v>46064.4453587963</v>
      </c>
      <c r="C826" s="1" t="n">
        <v>46184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8397-2026</t>
        </is>
      </c>
      <c r="B827" s="1" t="n">
        <v>46065.30181712963</v>
      </c>
      <c r="C827" s="1" t="n">
        <v>46184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8130-2026</t>
        </is>
      </c>
      <c r="B828" s="1" t="n">
        <v>46064.29201388889</v>
      </c>
      <c r="C828" s="1" t="n">
        <v>46184</v>
      </c>
      <c r="D828" t="inlineStr">
        <is>
          <t>GÄVLEBORGS LÄN</t>
        </is>
      </c>
      <c r="E828" t="inlineStr">
        <is>
          <t>BOLLNÄS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8235-2026</t>
        </is>
      </c>
      <c r="B829" s="1" t="n">
        <v>46064</v>
      </c>
      <c r="C829" s="1" t="n">
        <v>46184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8218-2026</t>
        </is>
      </c>
      <c r="B830" s="1" t="n">
        <v>46064</v>
      </c>
      <c r="C830" s="1" t="n">
        <v>46184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8200-2026</t>
        </is>
      </c>
      <c r="B831" s="1" t="n">
        <v>46064.4416550926</v>
      </c>
      <c r="C831" s="1" t="n">
        <v>46184</v>
      </c>
      <c r="D831" t="inlineStr">
        <is>
          <t>GÄVLEBORGS LÄN</t>
        </is>
      </c>
      <c r="E831" t="inlineStr">
        <is>
          <t>BOLLNÄS</t>
        </is>
      </c>
      <c r="G831" t="n">
        <v>28.4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8406-2026</t>
        </is>
      </c>
      <c r="B832" s="1" t="n">
        <v>46065.32912037037</v>
      </c>
      <c r="C832" s="1" t="n">
        <v>46184</v>
      </c>
      <c r="D832" t="inlineStr">
        <is>
          <t>GÄVLEBORGS LÄN</t>
        </is>
      </c>
      <c r="E832" t="inlineStr">
        <is>
          <t>BOLLNÄS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8536-2026</t>
        </is>
      </c>
      <c r="B833" s="1" t="n">
        <v>46065.60672453704</v>
      </c>
      <c r="C833" s="1" t="n">
        <v>46184</v>
      </c>
      <c r="D833" t="inlineStr">
        <is>
          <t>GÄVLEBORGS LÄN</t>
        </is>
      </c>
      <c r="E833" t="inlineStr">
        <is>
          <t>BOLLNÄS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4907-2026</t>
        </is>
      </c>
      <c r="B834" s="1" t="n">
        <v>46048.70342592592</v>
      </c>
      <c r="C834" s="1" t="n">
        <v>46184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8174-2026</t>
        </is>
      </c>
      <c r="B835" s="1" t="n">
        <v>46064.3990625</v>
      </c>
      <c r="C835" s="1" t="n">
        <v>46184</v>
      </c>
      <c r="D835" t="inlineStr">
        <is>
          <t>GÄVLEBORGS LÄN</t>
        </is>
      </c>
      <c r="E835" t="inlineStr">
        <is>
          <t>BOLLNÄS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8181-2026</t>
        </is>
      </c>
      <c r="B836" s="1" t="n">
        <v>46064.41965277777</v>
      </c>
      <c r="C836" s="1" t="n">
        <v>46184</v>
      </c>
      <c r="D836" t="inlineStr">
        <is>
          <t>GÄVLEBORGS LÄN</t>
        </is>
      </c>
      <c r="E836" t="inlineStr">
        <is>
          <t>BOLLNÄS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8184-2026</t>
        </is>
      </c>
      <c r="B837" s="1" t="n">
        <v>46064.42060185185</v>
      </c>
      <c r="C837" s="1" t="n">
        <v>46184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8669-2026</t>
        </is>
      </c>
      <c r="B838" s="1" t="n">
        <v>46066</v>
      </c>
      <c r="C838" s="1" t="n">
        <v>46184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8670-2026</t>
        </is>
      </c>
      <c r="B839" s="1" t="n">
        <v>46066.39653935185</v>
      </c>
      <c r="C839" s="1" t="n">
        <v>46184</v>
      </c>
      <c r="D839" t="inlineStr">
        <is>
          <t>GÄVLEBORGS LÄN</t>
        </is>
      </c>
      <c r="E839" t="inlineStr">
        <is>
          <t>BOLLNÄS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8700-2026</t>
        </is>
      </c>
      <c r="B840" s="1" t="n">
        <v>46066</v>
      </c>
      <c r="C840" s="1" t="n">
        <v>46184</v>
      </c>
      <c r="D840" t="inlineStr">
        <is>
          <t>GÄVLEBORGS LÄN</t>
        </is>
      </c>
      <c r="E840" t="inlineStr">
        <is>
          <t>BOLLNÄS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8702-2026</t>
        </is>
      </c>
      <c r="B841" s="1" t="n">
        <v>46066</v>
      </c>
      <c r="C841" s="1" t="n">
        <v>46184</v>
      </c>
      <c r="D841" t="inlineStr">
        <is>
          <t>GÄVLEBORGS LÄN</t>
        </is>
      </c>
      <c r="E841" t="inlineStr">
        <is>
          <t>BOLLNÄS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9004-2026</t>
        </is>
      </c>
      <c r="B842" s="1" t="n">
        <v>46069</v>
      </c>
      <c r="C842" s="1" t="n">
        <v>46184</v>
      </c>
      <c r="D842" t="inlineStr">
        <is>
          <t>GÄVLEBORGS LÄN</t>
        </is>
      </c>
      <c r="E842" t="inlineStr">
        <is>
          <t>BOLLNÄS</t>
        </is>
      </c>
      <c r="F842" t="inlineStr">
        <is>
          <t>Bergvik skog väst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9063-2026</t>
        </is>
      </c>
      <c r="B843" s="1" t="n">
        <v>46069</v>
      </c>
      <c r="C843" s="1" t="n">
        <v>46184</v>
      </c>
      <c r="D843" t="inlineStr">
        <is>
          <t>GÄVLEBORGS LÄN</t>
        </is>
      </c>
      <c r="E843" t="inlineStr">
        <is>
          <t>BOLLNÄS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9085-2026</t>
        </is>
      </c>
      <c r="B844" s="1" t="n">
        <v>46069.610625</v>
      </c>
      <c r="C844" s="1" t="n">
        <v>46184</v>
      </c>
      <c r="D844" t="inlineStr">
        <is>
          <t>GÄVLEBORGS LÄN</t>
        </is>
      </c>
      <c r="E844" t="inlineStr">
        <is>
          <t>BOLLNÄS</t>
        </is>
      </c>
      <c r="F844" t="inlineStr">
        <is>
          <t>Kommuner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8761-2026</t>
        </is>
      </c>
      <c r="B845" s="1" t="n">
        <v>46066</v>
      </c>
      <c r="C845" s="1" t="n">
        <v>46184</v>
      </c>
      <c r="D845" t="inlineStr">
        <is>
          <t>GÄVLEBORGS LÄN</t>
        </is>
      </c>
      <c r="E845" t="inlineStr">
        <is>
          <t>BOLLNÄS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8660-2026</t>
        </is>
      </c>
      <c r="B846" s="1" t="n">
        <v>46066.3758912037</v>
      </c>
      <c r="C846" s="1" t="n">
        <v>46184</v>
      </c>
      <c r="D846" t="inlineStr">
        <is>
          <t>GÄVLEBORGS LÄN</t>
        </is>
      </c>
      <c r="E846" t="inlineStr">
        <is>
          <t>BOLLNÄS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9022-2026</t>
        </is>
      </c>
      <c r="B847" s="1" t="n">
        <v>46069</v>
      </c>
      <c r="C847" s="1" t="n">
        <v>46184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8793-2026</t>
        </is>
      </c>
      <c r="B848" s="1" t="n">
        <v>46066</v>
      </c>
      <c r="C848" s="1" t="n">
        <v>46184</v>
      </c>
      <c r="D848" t="inlineStr">
        <is>
          <t>GÄVLEBORGS LÄN</t>
        </is>
      </c>
      <c r="E848" t="inlineStr">
        <is>
          <t>BOLLNÄS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8898-2026</t>
        </is>
      </c>
      <c r="B849" s="1" t="n">
        <v>46068.50238425926</v>
      </c>
      <c r="C849" s="1" t="n">
        <v>46184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8799-2026</t>
        </is>
      </c>
      <c r="B850" s="1" t="n">
        <v>46066.59578703704</v>
      </c>
      <c r="C850" s="1" t="n">
        <v>46184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8813-2026</t>
        </is>
      </c>
      <c r="B851" s="1" t="n">
        <v>46066</v>
      </c>
      <c r="C851" s="1" t="n">
        <v>46184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21616-2022</t>
        </is>
      </c>
      <c r="B852" s="1" t="n">
        <v>44706</v>
      </c>
      <c r="C852" s="1" t="n">
        <v>46184</v>
      </c>
      <c r="D852" t="inlineStr">
        <is>
          <t>GÄVLEBORGS LÄN</t>
        </is>
      </c>
      <c r="E852" t="inlineStr">
        <is>
          <t>BOLLNÄS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8710-2026</t>
        </is>
      </c>
      <c r="B853" s="1" t="n">
        <v>46066</v>
      </c>
      <c r="C853" s="1" t="n">
        <v>46184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8840-2026</t>
        </is>
      </c>
      <c r="B854" s="1" t="n">
        <v>46066</v>
      </c>
      <c r="C854" s="1" t="n">
        <v>46184</v>
      </c>
      <c r="D854" t="inlineStr">
        <is>
          <t>GÄVLEBORGS LÄN</t>
        </is>
      </c>
      <c r="E854" t="inlineStr">
        <is>
          <t>BOLLNÄS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8876-2026</t>
        </is>
      </c>
      <c r="B855" s="1" t="n">
        <v>46067</v>
      </c>
      <c r="C855" s="1" t="n">
        <v>46184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9043-2026</t>
        </is>
      </c>
      <c r="B856" s="1" t="n">
        <v>46069</v>
      </c>
      <c r="C856" s="1" t="n">
        <v>46184</v>
      </c>
      <c r="D856" t="inlineStr">
        <is>
          <t>GÄVLEBORGS LÄN</t>
        </is>
      </c>
      <c r="E856" t="inlineStr">
        <is>
          <t>BOLLNÄS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9059-2026</t>
        </is>
      </c>
      <c r="B857" s="1" t="n">
        <v>46069.56408564815</v>
      </c>
      <c r="C857" s="1" t="n">
        <v>46184</v>
      </c>
      <c r="D857" t="inlineStr">
        <is>
          <t>GÄVLEBORGS LÄN</t>
        </is>
      </c>
      <c r="E857" t="inlineStr">
        <is>
          <t>BOLLNÄS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11645-2022</t>
        </is>
      </c>
      <c r="B858" s="1" t="n">
        <v>44631</v>
      </c>
      <c r="C858" s="1" t="n">
        <v>46184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9015-2026</t>
        </is>
      </c>
      <c r="B859" s="1" t="n">
        <v>46069</v>
      </c>
      <c r="C859" s="1" t="n">
        <v>46184</v>
      </c>
      <c r="D859" t="inlineStr">
        <is>
          <t>GÄVLEBORGS LÄN</t>
        </is>
      </c>
      <c r="E859" t="inlineStr">
        <is>
          <t>BOLLNÄS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8881-2026</t>
        </is>
      </c>
      <c r="B860" s="1" t="n">
        <v>46067.85546296297</v>
      </c>
      <c r="C860" s="1" t="n">
        <v>46184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9304-2026</t>
        </is>
      </c>
      <c r="B861" s="1" t="n">
        <v>46070</v>
      </c>
      <c r="C861" s="1" t="n">
        <v>46184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9184-2026</t>
        </is>
      </c>
      <c r="B862" s="1" t="n">
        <v>46070.37256944444</v>
      </c>
      <c r="C862" s="1" t="n">
        <v>46184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9188-2026</t>
        </is>
      </c>
      <c r="B863" s="1" t="n">
        <v>46070.38043981481</v>
      </c>
      <c r="C863" s="1" t="n">
        <v>46184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9239-2026</t>
        </is>
      </c>
      <c r="B864" s="1" t="n">
        <v>46070.47952546296</v>
      </c>
      <c r="C864" s="1" t="n">
        <v>46184</v>
      </c>
      <c r="D864" t="inlineStr">
        <is>
          <t>GÄVLEBORGS LÄN</t>
        </is>
      </c>
      <c r="E864" t="inlineStr">
        <is>
          <t>BOLLNÄS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9323-2026</t>
        </is>
      </c>
      <c r="B865" s="1" t="n">
        <v>46070.63743055556</v>
      </c>
      <c r="C865" s="1" t="n">
        <v>46184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9341-2026</t>
        </is>
      </c>
      <c r="B866" s="1" t="n">
        <v>46070.67636574074</v>
      </c>
      <c r="C866" s="1" t="n">
        <v>46184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9353-2026</t>
        </is>
      </c>
      <c r="B867" s="1" t="n">
        <v>46070.70153935185</v>
      </c>
      <c r="C867" s="1" t="n">
        <v>46184</v>
      </c>
      <c r="D867" t="inlineStr">
        <is>
          <t>GÄVLEBORGS LÄN</t>
        </is>
      </c>
      <c r="E867" t="inlineStr">
        <is>
          <t>BOLLNÄS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9523-2026</t>
        </is>
      </c>
      <c r="B868" s="1" t="n">
        <v>46071.60055555555</v>
      </c>
      <c r="C868" s="1" t="n">
        <v>46184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9307-2026</t>
        </is>
      </c>
      <c r="B869" s="1" t="n">
        <v>46070.60666666667</v>
      </c>
      <c r="C869" s="1" t="n">
        <v>46184</v>
      </c>
      <c r="D869" t="inlineStr">
        <is>
          <t>GÄVLEBORGS LÄN</t>
        </is>
      </c>
      <c r="E869" t="inlineStr">
        <is>
          <t>BOLLNÄS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9351-2026</t>
        </is>
      </c>
      <c r="B870" s="1" t="n">
        <v>46070.69398148148</v>
      </c>
      <c r="C870" s="1" t="n">
        <v>46184</v>
      </c>
      <c r="D870" t="inlineStr">
        <is>
          <t>GÄVLEBORGS LÄN</t>
        </is>
      </c>
      <c r="E870" t="inlineStr">
        <is>
          <t>BOLLNÄS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9355-2026</t>
        </is>
      </c>
      <c r="B871" s="1" t="n">
        <v>46070.70881944444</v>
      </c>
      <c r="C871" s="1" t="n">
        <v>46184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9308-2026</t>
        </is>
      </c>
      <c r="B872" s="1" t="n">
        <v>46070.60763888889</v>
      </c>
      <c r="C872" s="1" t="n">
        <v>46184</v>
      </c>
      <c r="D872" t="inlineStr">
        <is>
          <t>GÄVLEBORGS LÄN</t>
        </is>
      </c>
      <c r="E872" t="inlineStr">
        <is>
          <t>BOLLNÄS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25631-2022</t>
        </is>
      </c>
      <c r="B873" s="1" t="n">
        <v>44732</v>
      </c>
      <c r="C873" s="1" t="n">
        <v>46184</v>
      </c>
      <c r="D873" t="inlineStr">
        <is>
          <t>GÄVLEBORGS LÄN</t>
        </is>
      </c>
      <c r="E873" t="inlineStr">
        <is>
          <t>BOLLNÄS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9177-2026</t>
        </is>
      </c>
      <c r="B874" s="1" t="n">
        <v>46070.36740740741</v>
      </c>
      <c r="C874" s="1" t="n">
        <v>46184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9178-2026</t>
        </is>
      </c>
      <c r="B875" s="1" t="n">
        <v>46070.36805555555</v>
      </c>
      <c r="C875" s="1" t="n">
        <v>46184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9235-2026</t>
        </is>
      </c>
      <c r="B876" s="1" t="n">
        <v>46070</v>
      </c>
      <c r="C876" s="1" t="n">
        <v>46184</v>
      </c>
      <c r="D876" t="inlineStr">
        <is>
          <t>GÄVLEBORGS LÄN</t>
        </is>
      </c>
      <c r="E876" t="inlineStr">
        <is>
          <t>BOLLNÄS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9237-2026</t>
        </is>
      </c>
      <c r="B877" s="1" t="n">
        <v>46070.47622685185</v>
      </c>
      <c r="C877" s="1" t="n">
        <v>46184</v>
      </c>
      <c r="D877" t="inlineStr">
        <is>
          <t>GÄVLEBORGS LÄN</t>
        </is>
      </c>
      <c r="E877" t="inlineStr">
        <is>
          <t>BOLLNÄS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9298-2026</t>
        </is>
      </c>
      <c r="B878" s="1" t="n">
        <v>46070</v>
      </c>
      <c r="C878" s="1" t="n">
        <v>46184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9213-2026</t>
        </is>
      </c>
      <c r="B879" s="1" t="n">
        <v>46070</v>
      </c>
      <c r="C879" s="1" t="n">
        <v>46184</v>
      </c>
      <c r="D879" t="inlineStr">
        <is>
          <t>GÄVLEBORGS LÄN</t>
        </is>
      </c>
      <c r="E879" t="inlineStr">
        <is>
          <t>BOLLNÄS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9501-2026</t>
        </is>
      </c>
      <c r="B880" s="1" t="n">
        <v>46071</v>
      </c>
      <c r="C880" s="1" t="n">
        <v>46184</v>
      </c>
      <c r="D880" t="inlineStr">
        <is>
          <t>GÄVLEBORGS LÄN</t>
        </is>
      </c>
      <c r="E880" t="inlineStr">
        <is>
          <t>BOLLNÄS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9545-2026</t>
        </is>
      </c>
      <c r="B881" s="1" t="n">
        <v>46071.62637731482</v>
      </c>
      <c r="C881" s="1" t="n">
        <v>46184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9241-2026</t>
        </is>
      </c>
      <c r="B882" s="1" t="n">
        <v>46070.48048611111</v>
      </c>
      <c r="C882" s="1" t="n">
        <v>46184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9242-2026</t>
        </is>
      </c>
      <c r="B883" s="1" t="n">
        <v>46070.48130787037</v>
      </c>
      <c r="C883" s="1" t="n">
        <v>46184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9336-2026</t>
        </is>
      </c>
      <c r="B884" s="1" t="n">
        <v>46070.66629629629</v>
      </c>
      <c r="C884" s="1" t="n">
        <v>46184</v>
      </c>
      <c r="D884" t="inlineStr">
        <is>
          <t>GÄVLEBORGS LÄN</t>
        </is>
      </c>
      <c r="E884" t="inlineStr">
        <is>
          <t>BOLLNÄS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9385-2026</t>
        </is>
      </c>
      <c r="B885" s="1" t="n">
        <v>46071.33189814815</v>
      </c>
      <c r="C885" s="1" t="n">
        <v>46184</v>
      </c>
      <c r="D885" t="inlineStr">
        <is>
          <t>GÄVLEBORGS LÄN</t>
        </is>
      </c>
      <c r="E885" t="inlineStr">
        <is>
          <t>BOLLNÄS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9386-2026</t>
        </is>
      </c>
      <c r="B886" s="1" t="n">
        <v>46071.34921296296</v>
      </c>
      <c r="C886" s="1" t="n">
        <v>46184</v>
      </c>
      <c r="D886" t="inlineStr">
        <is>
          <t>GÄVLEBORGS LÄN</t>
        </is>
      </c>
      <c r="E886" t="inlineStr">
        <is>
          <t>BOLLNÄS</t>
        </is>
      </c>
      <c r="F886" t="inlineStr">
        <is>
          <t>Kyrkan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9230-2026</t>
        </is>
      </c>
      <c r="B887" s="1" t="n">
        <v>46070.46476851852</v>
      </c>
      <c r="C887" s="1" t="n">
        <v>46184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37071-2022</t>
        </is>
      </c>
      <c r="B888" s="1" t="n">
        <v>44806</v>
      </c>
      <c r="C888" s="1" t="n">
        <v>46184</v>
      </c>
      <c r="D888" t="inlineStr">
        <is>
          <t>GÄVLEBORGS LÄN</t>
        </is>
      </c>
      <c r="E888" t="inlineStr">
        <is>
          <t>BOLLNÄS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9420-2026</t>
        </is>
      </c>
      <c r="B889" s="1" t="n">
        <v>46071</v>
      </c>
      <c r="C889" s="1" t="n">
        <v>46184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9588-2026</t>
        </is>
      </c>
      <c r="B890" s="1" t="n">
        <v>46071</v>
      </c>
      <c r="C890" s="1" t="n">
        <v>46184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9526-2026</t>
        </is>
      </c>
      <c r="B891" s="1" t="n">
        <v>46071.60168981482</v>
      </c>
      <c r="C891" s="1" t="n">
        <v>46184</v>
      </c>
      <c r="D891" t="inlineStr">
        <is>
          <t>GÄVLEBORGS LÄN</t>
        </is>
      </c>
      <c r="E891" t="inlineStr">
        <is>
          <t>BOLLNÄS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9403-2026</t>
        </is>
      </c>
      <c r="B892" s="1" t="n">
        <v>46071</v>
      </c>
      <c r="C892" s="1" t="n">
        <v>46184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558-2026</t>
        </is>
      </c>
      <c r="B893" s="1" t="n">
        <v>46029</v>
      </c>
      <c r="C893" s="1" t="n">
        <v>46184</v>
      </c>
      <c r="D893" t="inlineStr">
        <is>
          <t>GÄVLEBORGS LÄN</t>
        </is>
      </c>
      <c r="E893" t="inlineStr">
        <is>
          <t>BOLLNÄS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9529-2026</t>
        </is>
      </c>
      <c r="B894" s="1" t="n">
        <v>46071.60730324074</v>
      </c>
      <c r="C894" s="1" t="n">
        <v>46184</v>
      </c>
      <c r="D894" t="inlineStr">
        <is>
          <t>GÄVLEBORGS LÄN</t>
        </is>
      </c>
      <c r="E894" t="inlineStr">
        <is>
          <t>BOLLNÄS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9533-2026</t>
        </is>
      </c>
      <c r="B895" s="1" t="n">
        <v>46071.61076388889</v>
      </c>
      <c r="C895" s="1" t="n">
        <v>46184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9520-2026</t>
        </is>
      </c>
      <c r="B896" s="1" t="n">
        <v>46071.59895833334</v>
      </c>
      <c r="C896" s="1" t="n">
        <v>46184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9608-2026</t>
        </is>
      </c>
      <c r="B897" s="1" t="n">
        <v>46071</v>
      </c>
      <c r="C897" s="1" t="n">
        <v>46184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9652-2026</t>
        </is>
      </c>
      <c r="B898" s="1" t="n">
        <v>46071</v>
      </c>
      <c r="C898" s="1" t="n">
        <v>46184</v>
      </c>
      <c r="D898" t="inlineStr">
        <is>
          <t>GÄVLEBORGS LÄN</t>
        </is>
      </c>
      <c r="E898" t="inlineStr">
        <is>
          <t>BOLLNÄS</t>
        </is>
      </c>
      <c r="F898" t="inlineStr">
        <is>
          <t>Kommuner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9827-2026</t>
        </is>
      </c>
      <c r="B899" s="1" t="n">
        <v>46072</v>
      </c>
      <c r="C899" s="1" t="n">
        <v>46184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10077-2026</t>
        </is>
      </c>
      <c r="B900" s="1" t="n">
        <v>46073</v>
      </c>
      <c r="C900" s="1" t="n">
        <v>46184</v>
      </c>
      <c r="D900" t="inlineStr">
        <is>
          <t>GÄVLEBORGS LÄN</t>
        </is>
      </c>
      <c r="E900" t="inlineStr">
        <is>
          <t>BOLLNÄS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9965-2026</t>
        </is>
      </c>
      <c r="B901" s="1" t="n">
        <v>46073</v>
      </c>
      <c r="C901" s="1" t="n">
        <v>46184</v>
      </c>
      <c r="D901" t="inlineStr">
        <is>
          <t>GÄVLEBORGS LÄN</t>
        </is>
      </c>
      <c r="E901" t="inlineStr">
        <is>
          <t>BOLLNÄS</t>
        </is>
      </c>
      <c r="G901" t="n">
        <v>17.2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6169-2026</t>
        </is>
      </c>
      <c r="B902" s="1" t="n">
        <v>46055.33828703704</v>
      </c>
      <c r="C902" s="1" t="n">
        <v>46184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9816-2026</t>
        </is>
      </c>
      <c r="B903" s="1" t="n">
        <v>46072</v>
      </c>
      <c r="C903" s="1" t="n">
        <v>46184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9865-2026</t>
        </is>
      </c>
      <c r="B904" s="1" t="n">
        <v>46073</v>
      </c>
      <c r="C904" s="1" t="n">
        <v>46184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1167-2026</t>
        </is>
      </c>
      <c r="B905" s="1" t="n">
        <v>46031</v>
      </c>
      <c r="C905" s="1" t="n">
        <v>46184</v>
      </c>
      <c r="D905" t="inlineStr">
        <is>
          <t>GÄVLEBORGS LÄN</t>
        </is>
      </c>
      <c r="E905" t="inlineStr">
        <is>
          <t>BOLLNÄS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9814-2026</t>
        </is>
      </c>
      <c r="B906" s="1" t="n">
        <v>46072.63304398148</v>
      </c>
      <c r="C906" s="1" t="n">
        <v>46184</v>
      </c>
      <c r="D906" t="inlineStr">
        <is>
          <t>GÄVLEBORGS LÄN</t>
        </is>
      </c>
      <c r="E906" t="inlineStr">
        <is>
          <t>BOLLNÄS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9612-2026</t>
        </is>
      </c>
      <c r="B907" s="1" t="n">
        <v>46072.29733796296</v>
      </c>
      <c r="C907" s="1" t="n">
        <v>46184</v>
      </c>
      <c r="D907" t="inlineStr">
        <is>
          <t>GÄVLEBORGS LÄN</t>
        </is>
      </c>
      <c r="E907" t="inlineStr">
        <is>
          <t>BOLLNÄS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9678-2026</t>
        </is>
      </c>
      <c r="B908" s="1" t="n">
        <v>46072.38375</v>
      </c>
      <c r="C908" s="1" t="n">
        <v>46184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9758-2026</t>
        </is>
      </c>
      <c r="B909" s="1" t="n">
        <v>46072</v>
      </c>
      <c r="C909" s="1" t="n">
        <v>46184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10016-2026</t>
        </is>
      </c>
      <c r="B910" s="1" t="n">
        <v>46073.5753587963</v>
      </c>
      <c r="C910" s="1" t="n">
        <v>46184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9812-2026</t>
        </is>
      </c>
      <c r="B911" s="1" t="n">
        <v>46072.63226851852</v>
      </c>
      <c r="C911" s="1" t="n">
        <v>46184</v>
      </c>
      <c r="D911" t="inlineStr">
        <is>
          <t>GÄVLEBORGS LÄN</t>
        </is>
      </c>
      <c r="E911" t="inlineStr">
        <is>
          <t>BOLLNÄS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10055-2026</t>
        </is>
      </c>
      <c r="B912" s="1" t="n">
        <v>46073.61792824074</v>
      </c>
      <c r="C912" s="1" t="n">
        <v>46184</v>
      </c>
      <c r="D912" t="inlineStr">
        <is>
          <t>GÄVLEBORGS LÄN</t>
        </is>
      </c>
      <c r="E912" t="inlineStr">
        <is>
          <t>BOLLNÄS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9616-2026</t>
        </is>
      </c>
      <c r="B913" s="1" t="n">
        <v>46072.32277777778</v>
      </c>
      <c r="C913" s="1" t="n">
        <v>46184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9767-2026</t>
        </is>
      </c>
      <c r="B914" s="1" t="n">
        <v>46072.56290509259</v>
      </c>
      <c r="C914" s="1" t="n">
        <v>46184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22646-2022</t>
        </is>
      </c>
      <c r="B915" s="1" t="n">
        <v>44714.4553125</v>
      </c>
      <c r="C915" s="1" t="n">
        <v>46184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9609-2026</t>
        </is>
      </c>
      <c r="B916" s="1" t="n">
        <v>46072.280625</v>
      </c>
      <c r="C916" s="1" t="n">
        <v>46184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10062-2026</t>
        </is>
      </c>
      <c r="B917" s="1" t="n">
        <v>46073</v>
      </c>
      <c r="C917" s="1" t="n">
        <v>46184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10811-2026</t>
        </is>
      </c>
      <c r="B918" s="1" t="n">
        <v>46078.60513888889</v>
      </c>
      <c r="C918" s="1" t="n">
        <v>46184</v>
      </c>
      <c r="D918" t="inlineStr">
        <is>
          <t>GÄVLEBORGS LÄN</t>
        </is>
      </c>
      <c r="E918" t="inlineStr">
        <is>
          <t>BOLLNÄS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10834-2026</t>
        </is>
      </c>
      <c r="B919" s="1" t="n">
        <v>46078.63019675926</v>
      </c>
      <c r="C919" s="1" t="n">
        <v>46184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10124-2026</t>
        </is>
      </c>
      <c r="B920" s="1" t="n">
        <v>46075.82935185185</v>
      </c>
      <c r="C920" s="1" t="n">
        <v>46184</v>
      </c>
      <c r="D920" t="inlineStr">
        <is>
          <t>GÄVLEBORGS LÄN</t>
        </is>
      </c>
      <c r="E920" t="inlineStr">
        <is>
          <t>BOLLNÄS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10365-2026</t>
        </is>
      </c>
      <c r="B921" s="1" t="n">
        <v>46076.75701388889</v>
      </c>
      <c r="C921" s="1" t="n">
        <v>46184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10367-2026</t>
        </is>
      </c>
      <c r="B922" s="1" t="n">
        <v>46076.76572916667</v>
      </c>
      <c r="C922" s="1" t="n">
        <v>46184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10125-2026</t>
        </is>
      </c>
      <c r="B923" s="1" t="n">
        <v>46075.83510416667</v>
      </c>
      <c r="C923" s="1" t="n">
        <v>46184</v>
      </c>
      <c r="D923" t="inlineStr">
        <is>
          <t>GÄVLEBORGS LÄN</t>
        </is>
      </c>
      <c r="E923" t="inlineStr">
        <is>
          <t>BOLLNÄS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10208-2026</t>
        </is>
      </c>
      <c r="B924" s="1" t="n">
        <v>46076.48478009259</v>
      </c>
      <c r="C924" s="1" t="n">
        <v>46184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53384-2023</t>
        </is>
      </c>
      <c r="B925" s="1" t="n">
        <v>45223</v>
      </c>
      <c r="C925" s="1" t="n">
        <v>46184</v>
      </c>
      <c r="D925" t="inlineStr">
        <is>
          <t>GÄVLEBORGS LÄN</t>
        </is>
      </c>
      <c r="E925" t="inlineStr">
        <is>
          <t>BOLLNÄS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10652-2026</t>
        </is>
      </c>
      <c r="B926" s="1" t="n">
        <v>46078.35211805555</v>
      </c>
      <c r="C926" s="1" t="n">
        <v>46184</v>
      </c>
      <c r="D926" t="inlineStr">
        <is>
          <t>GÄVLEBORGS LÄN</t>
        </is>
      </c>
      <c r="E926" t="inlineStr">
        <is>
          <t>BOLLNÄS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10683-2026</t>
        </is>
      </c>
      <c r="B927" s="1" t="n">
        <v>46078.41643518519</v>
      </c>
      <c r="C927" s="1" t="n">
        <v>46184</v>
      </c>
      <c r="D927" t="inlineStr">
        <is>
          <t>GÄVLEBORGS LÄN</t>
        </is>
      </c>
      <c r="E927" t="inlineStr">
        <is>
          <t>BOLLNÄS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10828-2026</t>
        </is>
      </c>
      <c r="B928" s="1" t="n">
        <v>46078</v>
      </c>
      <c r="C928" s="1" t="n">
        <v>46184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10620-2026</t>
        </is>
      </c>
      <c r="B929" s="1" t="n">
        <v>46077</v>
      </c>
      <c r="C929" s="1" t="n">
        <v>46184</v>
      </c>
      <c r="D929" t="inlineStr">
        <is>
          <t>GÄVLEBORGS LÄN</t>
        </is>
      </c>
      <c r="E929" t="inlineStr">
        <is>
          <t>BOLLNÄS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10795-2026</t>
        </is>
      </c>
      <c r="B930" s="1" t="n">
        <v>46078</v>
      </c>
      <c r="C930" s="1" t="n">
        <v>46184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10687-2026</t>
        </is>
      </c>
      <c r="B931" s="1" t="n">
        <v>46078.42753472222</v>
      </c>
      <c r="C931" s="1" t="n">
        <v>46184</v>
      </c>
      <c r="D931" t="inlineStr">
        <is>
          <t>GÄVLEBORGS LÄN</t>
        </is>
      </c>
      <c r="E931" t="inlineStr">
        <is>
          <t>BOLLNÄS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10259-2026</t>
        </is>
      </c>
      <c r="B932" s="1" t="n">
        <v>46076.56886574074</v>
      </c>
      <c r="C932" s="1" t="n">
        <v>46184</v>
      </c>
      <c r="D932" t="inlineStr">
        <is>
          <t>GÄVLEBORGS LÄN</t>
        </is>
      </c>
      <c r="E932" t="inlineStr">
        <is>
          <t>BOLLNÄS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10316-2026</t>
        </is>
      </c>
      <c r="B933" s="1" t="n">
        <v>46076.65447916667</v>
      </c>
      <c r="C933" s="1" t="n">
        <v>46184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10528-2026</t>
        </is>
      </c>
      <c r="B934" s="1" t="n">
        <v>46077</v>
      </c>
      <c r="C934" s="1" t="n">
        <v>46184</v>
      </c>
      <c r="D934" t="inlineStr">
        <is>
          <t>GÄVLEBORGS LÄN</t>
        </is>
      </c>
      <c r="E934" t="inlineStr">
        <is>
          <t>BOLLNÄS</t>
        </is>
      </c>
      <c r="F934" t="inlineStr">
        <is>
          <t>Bergvik skog väst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10461-2026</t>
        </is>
      </c>
      <c r="B935" s="1" t="n">
        <v>46077.4600462963</v>
      </c>
      <c r="C935" s="1" t="n">
        <v>46184</v>
      </c>
      <c r="D935" t="inlineStr">
        <is>
          <t>GÄVLEBORGS LÄN</t>
        </is>
      </c>
      <c r="E935" t="inlineStr">
        <is>
          <t>BOLLNÄS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10611-2026</t>
        </is>
      </c>
      <c r="B936" s="1" t="n">
        <v>46077.83061342593</v>
      </c>
      <c r="C936" s="1" t="n">
        <v>46184</v>
      </c>
      <c r="D936" t="inlineStr">
        <is>
          <t>GÄVLEBORGS LÄN</t>
        </is>
      </c>
      <c r="E936" t="inlineStr">
        <is>
          <t>BOLLNÄS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10455-2026</t>
        </is>
      </c>
      <c r="B937" s="1" t="n">
        <v>46077.4502199074</v>
      </c>
      <c r="C937" s="1" t="n">
        <v>46184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10458-2026</t>
        </is>
      </c>
      <c r="B938" s="1" t="n">
        <v>46077</v>
      </c>
      <c r="C938" s="1" t="n">
        <v>46184</v>
      </c>
      <c r="D938" t="inlineStr">
        <is>
          <t>GÄVLEBORGS LÄN</t>
        </is>
      </c>
      <c r="E938" t="inlineStr">
        <is>
          <t>BOLLNÄS</t>
        </is>
      </c>
      <c r="F938" t="inlineStr">
        <is>
          <t>Kyrkan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32859-2024</t>
        </is>
      </c>
      <c r="B939" s="1" t="n">
        <v>45516.64608796296</v>
      </c>
      <c r="C939" s="1" t="n">
        <v>46184</v>
      </c>
      <c r="D939" t="inlineStr">
        <is>
          <t>GÄVLEBORGS LÄN</t>
        </is>
      </c>
      <c r="E939" t="inlineStr">
        <is>
          <t>BOLLNÄS</t>
        </is>
      </c>
      <c r="F939" t="inlineStr">
        <is>
          <t>Sveaskog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10612-2026</t>
        </is>
      </c>
      <c r="B940" s="1" t="n">
        <v>46077.83755787037</v>
      </c>
      <c r="C940" s="1" t="n">
        <v>46184</v>
      </c>
      <c r="D940" t="inlineStr">
        <is>
          <t>GÄVLEBORGS LÄN</t>
        </is>
      </c>
      <c r="E940" t="inlineStr">
        <is>
          <t>BOLLNÄS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10470-2026</t>
        </is>
      </c>
      <c r="B941" s="1" t="n">
        <v>46077.47222222222</v>
      </c>
      <c r="C941" s="1" t="n">
        <v>46184</v>
      </c>
      <c r="D941" t="inlineStr">
        <is>
          <t>GÄVLEBORGS LÄN</t>
        </is>
      </c>
      <c r="E941" t="inlineStr">
        <is>
          <t>BOLLNÄS</t>
        </is>
      </c>
      <c r="F941" t="inlineStr">
        <is>
          <t>Kyrkan</t>
        </is>
      </c>
      <c r="G941" t="n">
        <v>10.3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10472-2026</t>
        </is>
      </c>
      <c r="B942" s="1" t="n">
        <v>46077</v>
      </c>
      <c r="C942" s="1" t="n">
        <v>46184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10724-2026</t>
        </is>
      </c>
      <c r="B943" s="1" t="n">
        <v>46078.47144675926</v>
      </c>
      <c r="C943" s="1" t="n">
        <v>46184</v>
      </c>
      <c r="D943" t="inlineStr">
        <is>
          <t>GÄVLEBORGS LÄN</t>
        </is>
      </c>
      <c r="E943" t="inlineStr">
        <is>
          <t>BOLLNÄS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10798-2026</t>
        </is>
      </c>
      <c r="B944" s="1" t="n">
        <v>46078.59535879629</v>
      </c>
      <c r="C944" s="1" t="n">
        <v>46184</v>
      </c>
      <c r="D944" t="inlineStr">
        <is>
          <t>GÄVLEBORGS LÄN</t>
        </is>
      </c>
      <c r="E944" t="inlineStr">
        <is>
          <t>BOLLNÄS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10810-2026</t>
        </is>
      </c>
      <c r="B945" s="1" t="n">
        <v>46078.60465277778</v>
      </c>
      <c r="C945" s="1" t="n">
        <v>46184</v>
      </c>
      <c r="D945" t="inlineStr">
        <is>
          <t>GÄVLEBORGS LÄN</t>
        </is>
      </c>
      <c r="E945" t="inlineStr">
        <is>
          <t>BOLLNÄS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10830-2026</t>
        </is>
      </c>
      <c r="B946" s="1" t="n">
        <v>46078.62643518519</v>
      </c>
      <c r="C946" s="1" t="n">
        <v>46184</v>
      </c>
      <c r="D946" t="inlineStr">
        <is>
          <t>GÄVLEBORGS LÄN</t>
        </is>
      </c>
      <c r="E946" t="inlineStr">
        <is>
          <t>BOLLNÄS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10128-2026</t>
        </is>
      </c>
      <c r="B947" s="1" t="n">
        <v>46075.84996527778</v>
      </c>
      <c r="C947" s="1" t="n">
        <v>46184</v>
      </c>
      <c r="D947" t="inlineStr">
        <is>
          <t>GÄVLEBORGS LÄN</t>
        </is>
      </c>
      <c r="E947" t="inlineStr">
        <is>
          <t>BOLLNÄS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10505-2026</t>
        </is>
      </c>
      <c r="B948" s="1" t="n">
        <v>46077</v>
      </c>
      <c r="C948" s="1" t="n">
        <v>46184</v>
      </c>
      <c r="D948" t="inlineStr">
        <is>
          <t>GÄVLEBORGS LÄN</t>
        </is>
      </c>
      <c r="E948" t="inlineStr">
        <is>
          <t>BOLLNÄS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HYPERLINK("https://klasma.github.io/Logging_2183/knärot/A 10505-2026 karta knärot.png", "A 10505-2026")</f>
        <v/>
      </c>
      <c r="V948">
        <f>HYPERLINK("https://klasma.github.io/Logging_2183/klagomål/A 10505-2026 FSC-klagomål.docx", "A 10505-2026")</f>
        <v/>
      </c>
      <c r="W948">
        <f>HYPERLINK("https://klasma.github.io/Logging_2183/klagomålsmail/A 10505-2026 FSC-klagomål mail.docx", "A 10505-2026")</f>
        <v/>
      </c>
      <c r="X948">
        <f>HYPERLINK("https://klasma.github.io/Logging_2183/tillsyn/A 10505-2026 tillsynsbegäran.docx", "A 10505-2026")</f>
        <v/>
      </c>
      <c r="Y948">
        <f>HYPERLINK("https://klasma.github.io/Logging_2183/tillsynsmail/A 10505-2026 tillsynsbegäran mail.docx", "A 10505-2026")</f>
        <v/>
      </c>
    </row>
    <row r="949" ht="15" customHeight="1">
      <c r="A949" t="inlineStr">
        <is>
          <t>A 10736-2026</t>
        </is>
      </c>
      <c r="B949" s="1" t="n">
        <v>46078</v>
      </c>
      <c r="C949" s="1" t="n">
        <v>46184</v>
      </c>
      <c r="D949" t="inlineStr">
        <is>
          <t>GÄVLEBORGS LÄN</t>
        </is>
      </c>
      <c r="E949" t="inlineStr">
        <is>
          <t>BOLLNÄS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10748-2026</t>
        </is>
      </c>
      <c r="B950" s="1" t="n">
        <v>46078.52678240741</v>
      </c>
      <c r="C950" s="1" t="n">
        <v>46184</v>
      </c>
      <c r="D950" t="inlineStr">
        <is>
          <t>GÄVLEBORGS LÄN</t>
        </is>
      </c>
      <c r="E950" t="inlineStr">
        <is>
          <t>BOLLNÄS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10875-2026</t>
        </is>
      </c>
      <c r="B951" s="1" t="n">
        <v>46078</v>
      </c>
      <c r="C951" s="1" t="n">
        <v>46184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10880-2026</t>
        </is>
      </c>
      <c r="B952" s="1" t="n">
        <v>46078.73033564815</v>
      </c>
      <c r="C952" s="1" t="n">
        <v>46184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54961-2025</t>
        </is>
      </c>
      <c r="B953" s="1" t="n">
        <v>45967</v>
      </c>
      <c r="C953" s="1" t="n">
        <v>46184</v>
      </c>
      <c r="D953" t="inlineStr">
        <is>
          <t>GÄVLEBORGS LÄN</t>
        </is>
      </c>
      <c r="E953" t="inlineStr">
        <is>
          <t>BOLLNÄS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10857-2026</t>
        </is>
      </c>
      <c r="B954" s="1" t="n">
        <v>46078.66210648148</v>
      </c>
      <c r="C954" s="1" t="n">
        <v>46184</v>
      </c>
      <c r="D954" t="inlineStr">
        <is>
          <t>GÄVLEBORGS LÄN</t>
        </is>
      </c>
      <c r="E954" t="inlineStr">
        <is>
          <t>BOLLNÄS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10120-2026</t>
        </is>
      </c>
      <c r="B955" s="1" t="n">
        <v>46075</v>
      </c>
      <c r="C955" s="1" t="n">
        <v>46184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10126-2026</t>
        </is>
      </c>
      <c r="B956" s="1" t="n">
        <v>46075.84290509259</v>
      </c>
      <c r="C956" s="1" t="n">
        <v>46184</v>
      </c>
      <c r="D956" t="inlineStr">
        <is>
          <t>GÄVLEBORGS LÄN</t>
        </is>
      </c>
      <c r="E956" t="inlineStr">
        <is>
          <t>BOLLNÄS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10743-2026</t>
        </is>
      </c>
      <c r="B957" s="1" t="n">
        <v>46078</v>
      </c>
      <c r="C957" s="1" t="n">
        <v>46184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10766-2026</t>
        </is>
      </c>
      <c r="B958" s="1" t="n">
        <v>46078.56611111111</v>
      </c>
      <c r="C958" s="1" t="n">
        <v>46184</v>
      </c>
      <c r="D958" t="inlineStr">
        <is>
          <t>GÄVLEBORGS LÄN</t>
        </is>
      </c>
      <c r="E958" t="inlineStr">
        <is>
          <t>BOLLNÄS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10890-2026</t>
        </is>
      </c>
      <c r="B959" s="1" t="n">
        <v>46078.78046296296</v>
      </c>
      <c r="C959" s="1" t="n">
        <v>46184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10956-2026</t>
        </is>
      </c>
      <c r="B960" s="1" t="n">
        <v>46079</v>
      </c>
      <c r="C960" s="1" t="n">
        <v>46184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10967-2026</t>
        </is>
      </c>
      <c r="B961" s="1" t="n">
        <v>46079</v>
      </c>
      <c r="C961" s="1" t="n">
        <v>46184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10997-2026</t>
        </is>
      </c>
      <c r="B962" s="1" t="n">
        <v>46079</v>
      </c>
      <c r="C962" s="1" t="n">
        <v>46184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11118-2026</t>
        </is>
      </c>
      <c r="B963" s="1" t="n">
        <v>46079.67105324074</v>
      </c>
      <c r="C963" s="1" t="n">
        <v>46184</v>
      </c>
      <c r="D963" t="inlineStr">
        <is>
          <t>GÄVLEBORGS LÄN</t>
        </is>
      </c>
      <c r="E963" t="inlineStr">
        <is>
          <t>BOLLNÄS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11241-2026</t>
        </is>
      </c>
      <c r="B964" s="1" t="n">
        <v>46080.52244212963</v>
      </c>
      <c r="C964" s="1" t="n">
        <v>46184</v>
      </c>
      <c r="D964" t="inlineStr">
        <is>
          <t>GÄVLEBORGS LÄN</t>
        </is>
      </c>
      <c r="E964" t="inlineStr">
        <is>
          <t>BOLLNÄS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11135-2026</t>
        </is>
      </c>
      <c r="B965" s="1" t="n">
        <v>46079.75282407407</v>
      </c>
      <c r="C965" s="1" t="n">
        <v>46184</v>
      </c>
      <c r="D965" t="inlineStr">
        <is>
          <t>GÄVLEBORGS LÄN</t>
        </is>
      </c>
      <c r="E965" t="inlineStr">
        <is>
          <t>BOLLNÄS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11309-2026</t>
        </is>
      </c>
      <c r="B966" s="1" t="n">
        <v>46080.65710648148</v>
      </c>
      <c r="C966" s="1" t="n">
        <v>46184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10964-2026</t>
        </is>
      </c>
      <c r="B967" s="1" t="n">
        <v>46079.43271990741</v>
      </c>
      <c r="C967" s="1" t="n">
        <v>46184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11019-2026</t>
        </is>
      </c>
      <c r="B968" s="1" t="n">
        <v>46079</v>
      </c>
      <c r="C968" s="1" t="n">
        <v>46184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10998-2026</t>
        </is>
      </c>
      <c r="B969" s="1" t="n">
        <v>46079</v>
      </c>
      <c r="C969" s="1" t="n">
        <v>46184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HYPERLINK("https://klasma.github.io/Logging_2183/knärot/A 10998-2026 karta knärot.png", "A 10998-2026")</f>
        <v/>
      </c>
      <c r="V969">
        <f>HYPERLINK("https://klasma.github.io/Logging_2183/klagomål/A 10998-2026 FSC-klagomål.docx", "A 10998-2026")</f>
        <v/>
      </c>
      <c r="W969">
        <f>HYPERLINK("https://klasma.github.io/Logging_2183/klagomålsmail/A 10998-2026 FSC-klagomål mail.docx", "A 10998-2026")</f>
        <v/>
      </c>
      <c r="X969">
        <f>HYPERLINK("https://klasma.github.io/Logging_2183/tillsyn/A 10998-2026 tillsynsbegäran.docx", "A 10998-2026")</f>
        <v/>
      </c>
      <c r="Y969">
        <f>HYPERLINK("https://klasma.github.io/Logging_2183/tillsynsmail/A 10998-2026 tillsynsbegäran mail.docx", "A 10998-2026")</f>
        <v/>
      </c>
    </row>
    <row r="970" ht="15" customHeight="1">
      <c r="A970" t="inlineStr">
        <is>
          <t>A 10923-2026</t>
        </is>
      </c>
      <c r="B970" s="1" t="n">
        <v>46079.34003472222</v>
      </c>
      <c r="C970" s="1" t="n">
        <v>46184</v>
      </c>
      <c r="D970" t="inlineStr">
        <is>
          <t>GÄVLEBORGS LÄN</t>
        </is>
      </c>
      <c r="E970" t="inlineStr">
        <is>
          <t>BOLLNÄS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10933-2026</t>
        </is>
      </c>
      <c r="B971" s="1" t="n">
        <v>46079</v>
      </c>
      <c r="C971" s="1" t="n">
        <v>46184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10953-2026</t>
        </is>
      </c>
      <c r="B972" s="1" t="n">
        <v>46079.39796296296</v>
      </c>
      <c r="C972" s="1" t="n">
        <v>46184</v>
      </c>
      <c r="D972" t="inlineStr">
        <is>
          <t>GÄVLEBORGS LÄN</t>
        </is>
      </c>
      <c r="E972" t="inlineStr">
        <is>
          <t>BOLLNÄS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11028-2026</t>
        </is>
      </c>
      <c r="B973" s="1" t="n">
        <v>46079.56643518519</v>
      </c>
      <c r="C973" s="1" t="n">
        <v>46184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11133-2026</t>
        </is>
      </c>
      <c r="B974" s="1" t="n">
        <v>46079.73822916667</v>
      </c>
      <c r="C974" s="1" t="n">
        <v>46184</v>
      </c>
      <c r="D974" t="inlineStr">
        <is>
          <t>GÄVLEBORGS LÄN</t>
        </is>
      </c>
      <c r="E974" t="inlineStr">
        <is>
          <t>BOLLNÄS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11090-2026</t>
        </is>
      </c>
      <c r="B975" s="1" t="n">
        <v>46079.63704861111</v>
      </c>
      <c r="C975" s="1" t="n">
        <v>46184</v>
      </c>
      <c r="D975" t="inlineStr">
        <is>
          <t>GÄVLEBORGS LÄN</t>
        </is>
      </c>
      <c r="E975" t="inlineStr">
        <is>
          <t>BOLLNÄS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10899-2026</t>
        </is>
      </c>
      <c r="B976" s="1" t="n">
        <v>46078.87804398148</v>
      </c>
      <c r="C976" s="1" t="n">
        <v>46184</v>
      </c>
      <c r="D976" t="inlineStr">
        <is>
          <t>GÄVLEBORGS LÄN</t>
        </is>
      </c>
      <c r="E976" t="inlineStr">
        <is>
          <t>BOLLNÄS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11101-2026</t>
        </is>
      </c>
      <c r="B977" s="1" t="n">
        <v>46079.65098379629</v>
      </c>
      <c r="C977" s="1" t="n">
        <v>46184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10936-2026</t>
        </is>
      </c>
      <c r="B978" s="1" t="n">
        <v>46079</v>
      </c>
      <c r="C978" s="1" t="n">
        <v>46184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10882-2026</t>
        </is>
      </c>
      <c r="B979" s="1" t="n">
        <v>46078.75336805556</v>
      </c>
      <c r="C979" s="1" t="n">
        <v>46184</v>
      </c>
      <c r="D979" t="inlineStr">
        <is>
          <t>GÄVLEBORGS LÄN</t>
        </is>
      </c>
      <c r="E979" t="inlineStr">
        <is>
          <t>BOLLNÄS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10896-2026</t>
        </is>
      </c>
      <c r="B980" s="1" t="n">
        <v>46078.83668981482</v>
      </c>
      <c r="C980" s="1" t="n">
        <v>46184</v>
      </c>
      <c r="D980" t="inlineStr">
        <is>
          <t>GÄVLEBORGS LÄN</t>
        </is>
      </c>
      <c r="E980" t="inlineStr">
        <is>
          <t>BOLLNÄS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10897-2026</t>
        </is>
      </c>
      <c r="B981" s="1" t="n">
        <v>46078.85790509259</v>
      </c>
      <c r="C981" s="1" t="n">
        <v>46184</v>
      </c>
      <c r="D981" t="inlineStr">
        <is>
          <t>GÄVLEBORGS LÄN</t>
        </is>
      </c>
      <c r="E981" t="inlineStr">
        <is>
          <t>BOLLNÄS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11128-2026</t>
        </is>
      </c>
      <c r="B982" s="1" t="n">
        <v>46079.69940972222</v>
      </c>
      <c r="C982" s="1" t="n">
        <v>46184</v>
      </c>
      <c r="D982" t="inlineStr">
        <is>
          <t>GÄVLEBORGS LÄN</t>
        </is>
      </c>
      <c r="E982" t="inlineStr">
        <is>
          <t>BOLLNÄS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11131-2026</t>
        </is>
      </c>
      <c r="B983" s="1" t="n">
        <v>46079.72134259259</v>
      </c>
      <c r="C983" s="1" t="n">
        <v>46184</v>
      </c>
      <c r="D983" t="inlineStr">
        <is>
          <t>GÄVLEBORGS LÄN</t>
        </is>
      </c>
      <c r="E983" t="inlineStr">
        <is>
          <t>BOLLNÄS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11021-2026</t>
        </is>
      </c>
      <c r="B984" s="1" t="n">
        <v>46079</v>
      </c>
      <c r="C984" s="1" t="n">
        <v>46184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11166-2026</t>
        </is>
      </c>
      <c r="B985" s="1" t="n">
        <v>46080.35614583334</v>
      </c>
      <c r="C985" s="1" t="n">
        <v>46184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11210-2026</t>
        </is>
      </c>
      <c r="B986" s="1" t="n">
        <v>46080.46190972222</v>
      </c>
      <c r="C986" s="1" t="n">
        <v>46184</v>
      </c>
      <c r="D986" t="inlineStr">
        <is>
          <t>GÄVLEBORGS LÄN</t>
        </is>
      </c>
      <c r="E986" t="inlineStr">
        <is>
          <t>BOLLNÄS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11076-2026</t>
        </is>
      </c>
      <c r="B987" s="1" t="n">
        <v>46079.61701388889</v>
      </c>
      <c r="C987" s="1" t="n">
        <v>46184</v>
      </c>
      <c r="D987" t="inlineStr">
        <is>
          <t>GÄVLEBORGS LÄN</t>
        </is>
      </c>
      <c r="E987" t="inlineStr">
        <is>
          <t>BOLLNÄS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11308-2026</t>
        </is>
      </c>
      <c r="B988" s="1" t="n">
        <v>46080.65394675926</v>
      </c>
      <c r="C988" s="1" t="n">
        <v>46184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11294-2026</t>
        </is>
      </c>
      <c r="B989" s="1" t="n">
        <v>46080.61887731482</v>
      </c>
      <c r="C989" s="1" t="n">
        <v>46184</v>
      </c>
      <c r="D989" t="inlineStr">
        <is>
          <t>GÄVLEBORGS LÄN</t>
        </is>
      </c>
      <c r="E989" t="inlineStr">
        <is>
          <t>BOLLNÄS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11371-2026</t>
        </is>
      </c>
      <c r="B990" s="1" t="n">
        <v>46083.38614583333</v>
      </c>
      <c r="C990" s="1" t="n">
        <v>46184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57887-2025</t>
        </is>
      </c>
      <c r="B991" s="1" t="n">
        <v>45981</v>
      </c>
      <c r="C991" s="1" t="n">
        <v>46184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11361-2026</t>
        </is>
      </c>
      <c r="B992" s="1" t="n">
        <v>46083.35269675926</v>
      </c>
      <c r="C992" s="1" t="n">
        <v>46184</v>
      </c>
      <c r="D992" t="inlineStr">
        <is>
          <t>GÄVLEBORGS LÄN</t>
        </is>
      </c>
      <c r="E992" t="inlineStr">
        <is>
          <t>BOLLNÄS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11363-2026</t>
        </is>
      </c>
      <c r="B993" s="1" t="n">
        <v>46083.35527777778</v>
      </c>
      <c r="C993" s="1" t="n">
        <v>46184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11367-2026</t>
        </is>
      </c>
      <c r="B994" s="1" t="n">
        <v>46083.37726851852</v>
      </c>
      <c r="C994" s="1" t="n">
        <v>46184</v>
      </c>
      <c r="D994" t="inlineStr">
        <is>
          <t>GÄVLEBORGS LÄN</t>
        </is>
      </c>
      <c r="E994" t="inlineStr">
        <is>
          <t>BOLLNÄS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11343-2026</t>
        </is>
      </c>
      <c r="B995" s="1" t="n">
        <v>46082</v>
      </c>
      <c r="C995" s="1" t="n">
        <v>46184</v>
      </c>
      <c r="D995" t="inlineStr">
        <is>
          <t>GÄVLEBORGS LÄN</t>
        </is>
      </c>
      <c r="E995" t="inlineStr">
        <is>
          <t>BOLLNÄS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11680-2026</t>
        </is>
      </c>
      <c r="B996" s="1" t="n">
        <v>46084.57291666666</v>
      </c>
      <c r="C996" s="1" t="n">
        <v>46184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26126-2023</t>
        </is>
      </c>
      <c r="B997" s="1" t="n">
        <v>45091</v>
      </c>
      <c r="C997" s="1" t="n">
        <v>46184</v>
      </c>
      <c r="D997" t="inlineStr">
        <is>
          <t>GÄVLEBORGS LÄN</t>
        </is>
      </c>
      <c r="E997" t="inlineStr">
        <is>
          <t>BOLLNÄS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11345-2026</t>
        </is>
      </c>
      <c r="B998" s="1" t="n">
        <v>46082</v>
      </c>
      <c r="C998" s="1" t="n">
        <v>46184</v>
      </c>
      <c r="D998" t="inlineStr">
        <is>
          <t>GÄVLEBORGS LÄN</t>
        </is>
      </c>
      <c r="E998" t="inlineStr">
        <is>
          <t>BOLLNÄS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11547-2026</t>
        </is>
      </c>
      <c r="B999" s="1" t="n">
        <v>46084.25488425926</v>
      </c>
      <c r="C999" s="1" t="n">
        <v>46184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11552-2026</t>
        </is>
      </c>
      <c r="B1000" s="1" t="n">
        <v>46084.31731481481</v>
      </c>
      <c r="C1000" s="1" t="n">
        <v>46184</v>
      </c>
      <c r="D1000" t="inlineStr">
        <is>
          <t>GÄVLEBORGS LÄN</t>
        </is>
      </c>
      <c r="E1000" t="inlineStr">
        <is>
          <t>BOLLNÄS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11561-2026</t>
        </is>
      </c>
      <c r="B1001" s="1" t="n">
        <v>46084.35042824074</v>
      </c>
      <c r="C1001" s="1" t="n">
        <v>46184</v>
      </c>
      <c r="D1001" t="inlineStr">
        <is>
          <t>GÄVLEBORGS LÄN</t>
        </is>
      </c>
      <c r="E1001" t="inlineStr">
        <is>
          <t>BOLLNÄS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11550-2026</t>
        </is>
      </c>
      <c r="B1002" s="1" t="n">
        <v>46084.31346064815</v>
      </c>
      <c r="C1002" s="1" t="n">
        <v>46184</v>
      </c>
      <c r="D1002" t="inlineStr">
        <is>
          <t>GÄVLEBORGS LÄN</t>
        </is>
      </c>
      <c r="E1002" t="inlineStr">
        <is>
          <t>BOLLNÄS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11366-2026</t>
        </is>
      </c>
      <c r="B1003" s="1" t="n">
        <v>46083.37273148148</v>
      </c>
      <c r="C1003" s="1" t="n">
        <v>46184</v>
      </c>
      <c r="D1003" t="inlineStr">
        <is>
          <t>GÄVLEBORGS LÄN</t>
        </is>
      </c>
      <c r="E1003" t="inlineStr">
        <is>
          <t>BOLLNÄS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11931-2026</t>
        </is>
      </c>
      <c r="B1004" s="1" t="n">
        <v>46085</v>
      </c>
      <c r="C1004" s="1" t="n">
        <v>46184</v>
      </c>
      <c r="D1004" t="inlineStr">
        <is>
          <t>GÄVLEBORGS LÄN</t>
        </is>
      </c>
      <c r="E1004" t="inlineStr">
        <is>
          <t>BOLLNÄS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12155-2026</t>
        </is>
      </c>
      <c r="B1005" s="1" t="n">
        <v>46086</v>
      </c>
      <c r="C1005" s="1" t="n">
        <v>46184</v>
      </c>
      <c r="D1005" t="inlineStr">
        <is>
          <t>GÄVLEBORGS LÄN</t>
        </is>
      </c>
      <c r="E1005" t="inlineStr">
        <is>
          <t>BOLLNÄS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11939-2026</t>
        </is>
      </c>
      <c r="B1006" s="1" t="n">
        <v>46085</v>
      </c>
      <c r="C1006" s="1" t="n">
        <v>46184</v>
      </c>
      <c r="D1006" t="inlineStr">
        <is>
          <t>GÄVLEBORGS LÄN</t>
        </is>
      </c>
      <c r="E1006" t="inlineStr">
        <is>
          <t>BOLLNÄS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11854-2026</t>
        </is>
      </c>
      <c r="B1007" s="1" t="n">
        <v>46085.46924768519</v>
      </c>
      <c r="C1007" s="1" t="n">
        <v>46184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11942-2026</t>
        </is>
      </c>
      <c r="B1008" s="1" t="n">
        <v>46085</v>
      </c>
      <c r="C1008" s="1" t="n">
        <v>46184</v>
      </c>
      <c r="D1008" t="inlineStr">
        <is>
          <t>GÄVLEBORGS LÄN</t>
        </is>
      </c>
      <c r="E1008" t="inlineStr">
        <is>
          <t>BOLLNÄS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11948-2026</t>
        </is>
      </c>
      <c r="B1009" s="1" t="n">
        <v>46085.6009375</v>
      </c>
      <c r="C1009" s="1" t="n">
        <v>46184</v>
      </c>
      <c r="D1009" t="inlineStr">
        <is>
          <t>GÄVLEBORGS LÄN</t>
        </is>
      </c>
      <c r="E1009" t="inlineStr">
        <is>
          <t>BOLLNÄS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12001-2026</t>
        </is>
      </c>
      <c r="B1010" s="1" t="n">
        <v>46085.66960648148</v>
      </c>
      <c r="C1010" s="1" t="n">
        <v>46184</v>
      </c>
      <c r="D1010" t="inlineStr">
        <is>
          <t>GÄVLEBORGS LÄN</t>
        </is>
      </c>
      <c r="E1010" t="inlineStr">
        <is>
          <t>BOLLNÄS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12007-2026</t>
        </is>
      </c>
      <c r="B1011" s="1" t="n">
        <v>46085.68770833333</v>
      </c>
      <c r="C1011" s="1" t="n">
        <v>46184</v>
      </c>
      <c r="D1011" t="inlineStr">
        <is>
          <t>GÄVLEBORGS LÄN</t>
        </is>
      </c>
      <c r="E1011" t="inlineStr">
        <is>
          <t>BOLLNÄS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11881-2026</t>
        </is>
      </c>
      <c r="B1012" s="1" t="n">
        <v>46085</v>
      </c>
      <c r="C1012" s="1" t="n">
        <v>46184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12006-2026</t>
        </is>
      </c>
      <c r="B1013" s="1" t="n">
        <v>46085.68457175926</v>
      </c>
      <c r="C1013" s="1" t="n">
        <v>46184</v>
      </c>
      <c r="D1013" t="inlineStr">
        <is>
          <t>GÄVLEBORGS LÄN</t>
        </is>
      </c>
      <c r="E1013" t="inlineStr">
        <is>
          <t>BOLLNÄS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12010-2026</t>
        </is>
      </c>
      <c r="B1014" s="1" t="n">
        <v>46085.69233796297</v>
      </c>
      <c r="C1014" s="1" t="n">
        <v>46184</v>
      </c>
      <c r="D1014" t="inlineStr">
        <is>
          <t>GÄVLEBORGS LÄN</t>
        </is>
      </c>
      <c r="E1014" t="inlineStr">
        <is>
          <t>BOLLNÄS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12487-2026</t>
        </is>
      </c>
      <c r="B1015" s="1" t="n">
        <v>46090</v>
      </c>
      <c r="C1015" s="1" t="n">
        <v>46184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12575-2026</t>
        </is>
      </c>
      <c r="B1016" s="1" t="n">
        <v>46090.66576388889</v>
      </c>
      <c r="C1016" s="1" t="n">
        <v>46184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Sveaskog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12207-2026</t>
        </is>
      </c>
      <c r="B1017" s="1" t="n">
        <v>46087.33609953704</v>
      </c>
      <c r="C1017" s="1" t="n">
        <v>46184</v>
      </c>
      <c r="D1017" t="inlineStr">
        <is>
          <t>GÄVLEBORGS LÄN</t>
        </is>
      </c>
      <c r="E1017" t="inlineStr">
        <is>
          <t>BOLLNÄS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12549-2026</t>
        </is>
      </c>
      <c r="B1018" s="1" t="n">
        <v>46090.63422453704</v>
      </c>
      <c r="C1018" s="1" t="n">
        <v>46184</v>
      </c>
      <c r="D1018" t="inlineStr">
        <is>
          <t>GÄVLEBORGS LÄN</t>
        </is>
      </c>
      <c r="E1018" t="inlineStr">
        <is>
          <t>BOLLNÄS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12360-2026</t>
        </is>
      </c>
      <c r="B1019" s="1" t="n">
        <v>46088.72305555556</v>
      </c>
      <c r="C1019" s="1" t="n">
        <v>46184</v>
      </c>
      <c r="D1019" t="inlineStr">
        <is>
          <t>GÄVLEBORGS LÄN</t>
        </is>
      </c>
      <c r="E1019" t="inlineStr">
        <is>
          <t>BOLLNÄS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12275-2026</t>
        </is>
      </c>
      <c r="B1020" s="1" t="n">
        <v>46087.52469907407</v>
      </c>
      <c r="C1020" s="1" t="n">
        <v>46184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Kyrkan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12359-2026</t>
        </is>
      </c>
      <c r="B1021" s="1" t="n">
        <v>46088.68186342593</v>
      </c>
      <c r="C1021" s="1" t="n">
        <v>46184</v>
      </c>
      <c r="D1021" t="inlineStr">
        <is>
          <t>GÄVLEBORGS LÄN</t>
        </is>
      </c>
      <c r="E1021" t="inlineStr">
        <is>
          <t>BOLLNÄS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12361-2026</t>
        </is>
      </c>
      <c r="B1022" s="1" t="n">
        <v>46088</v>
      </c>
      <c r="C1022" s="1" t="n">
        <v>46184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Bergvik skog väst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12325-2026</t>
        </is>
      </c>
      <c r="B1023" s="1" t="n">
        <v>46087.6118287037</v>
      </c>
      <c r="C1023" s="1" t="n">
        <v>46184</v>
      </c>
      <c r="D1023" t="inlineStr">
        <is>
          <t>GÄVLEBORGS LÄN</t>
        </is>
      </c>
      <c r="E1023" t="inlineStr">
        <is>
          <t>BOLLNÄS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12378-2026</t>
        </is>
      </c>
      <c r="B1024" s="1" t="n">
        <v>46090</v>
      </c>
      <c r="C1024" s="1" t="n">
        <v>46184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Bergvik skog väst AB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12451-2026</t>
        </is>
      </c>
      <c r="B1025" s="1" t="n">
        <v>46090.49979166667</v>
      </c>
      <c r="C1025" s="1" t="n">
        <v>46184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5262-2025</t>
        </is>
      </c>
      <c r="B1026" s="1" t="n">
        <v>45692.37174768518</v>
      </c>
      <c r="C1026" s="1" t="n">
        <v>46184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öst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12454-2026</t>
        </is>
      </c>
      <c r="B1027" s="1" t="n">
        <v>46090</v>
      </c>
      <c r="C1027" s="1" t="n">
        <v>46184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Bergvik skog väst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36877-2022</t>
        </is>
      </c>
      <c r="B1028" s="1" t="n">
        <v>44805</v>
      </c>
      <c r="C1028" s="1" t="n">
        <v>46184</v>
      </c>
      <c r="D1028" t="inlineStr">
        <is>
          <t>GÄVLEBORGS LÄN</t>
        </is>
      </c>
      <c r="E1028" t="inlineStr">
        <is>
          <t>BOLLNÄS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12449-2026</t>
        </is>
      </c>
      <c r="B1029" s="1" t="n">
        <v>46090.49640046297</v>
      </c>
      <c r="C1029" s="1" t="n">
        <v>46184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12220-2026</t>
        </is>
      </c>
      <c r="B1030" s="1" t="n">
        <v>46087.36475694444</v>
      </c>
      <c r="C1030" s="1" t="n">
        <v>46184</v>
      </c>
      <c r="D1030" t="inlineStr">
        <is>
          <t>GÄVLEBORGS LÄN</t>
        </is>
      </c>
      <c r="E1030" t="inlineStr">
        <is>
          <t>BOLLNÄS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12940-2026</t>
        </is>
      </c>
      <c r="B1031" s="1" t="n">
        <v>46092.62305555555</v>
      </c>
      <c r="C1031" s="1" t="n">
        <v>46184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Sveaskog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57387-2024</t>
        </is>
      </c>
      <c r="B1032" s="1" t="n">
        <v>45629.68421296297</v>
      </c>
      <c r="C1032" s="1" t="n">
        <v>46184</v>
      </c>
      <c r="D1032" t="inlineStr">
        <is>
          <t>GÄVLEBORGS LÄN</t>
        </is>
      </c>
      <c r="E1032" t="inlineStr">
        <is>
          <t>BOLLNÄS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12728-2026</t>
        </is>
      </c>
      <c r="B1033" s="1" t="n">
        <v>46091.62447916667</v>
      </c>
      <c r="C1033" s="1" t="n">
        <v>46184</v>
      </c>
      <c r="D1033" t="inlineStr">
        <is>
          <t>GÄVLEBORGS LÄN</t>
        </is>
      </c>
      <c r="E1033" t="inlineStr">
        <is>
          <t>BOLLNÄS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56453-2023</t>
        </is>
      </c>
      <c r="B1034" s="1" t="n">
        <v>45243</v>
      </c>
      <c r="C1034" s="1" t="n">
        <v>46184</v>
      </c>
      <c r="D1034" t="inlineStr">
        <is>
          <t>GÄVLEBORGS LÄN</t>
        </is>
      </c>
      <c r="E1034" t="inlineStr">
        <is>
          <t>BOLLNÄS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23378-2022</t>
        </is>
      </c>
      <c r="B1035" s="1" t="n">
        <v>44720</v>
      </c>
      <c r="C1035" s="1" t="n">
        <v>46184</v>
      </c>
      <c r="D1035" t="inlineStr">
        <is>
          <t>GÄVLEBORGS LÄN</t>
        </is>
      </c>
      <c r="E1035" t="inlineStr">
        <is>
          <t>BOLLNÄS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51306-2023</t>
        </is>
      </c>
      <c r="B1036" s="1" t="n">
        <v>45219</v>
      </c>
      <c r="C1036" s="1" t="n">
        <v>46184</v>
      </c>
      <c r="D1036" t="inlineStr">
        <is>
          <t>GÄVLEBORGS LÄN</t>
        </is>
      </c>
      <c r="E1036" t="inlineStr">
        <is>
          <t>BOLLNÄS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3324-2026</t>
        </is>
      </c>
      <c r="B1037" s="1" t="n">
        <v>46041</v>
      </c>
      <c r="C1037" s="1" t="n">
        <v>46184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12869-2026</t>
        </is>
      </c>
      <c r="B1038" s="1" t="n">
        <v>46092</v>
      </c>
      <c r="C1038" s="1" t="n">
        <v>46184</v>
      </c>
      <c r="D1038" t="inlineStr">
        <is>
          <t>GÄVLEBORGS LÄN</t>
        </is>
      </c>
      <c r="E1038" t="inlineStr">
        <is>
          <t>BOLLNÄS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12904-2026</t>
        </is>
      </c>
      <c r="B1039" s="1" t="n">
        <v>46092.57219907407</v>
      </c>
      <c r="C1039" s="1" t="n">
        <v>46184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12992-2026</t>
        </is>
      </c>
      <c r="B1040" s="1" t="n">
        <v>46092.67420138889</v>
      </c>
      <c r="C1040" s="1" t="n">
        <v>46184</v>
      </c>
      <c r="D1040" t="inlineStr">
        <is>
          <t>GÄVLEBORGS LÄN</t>
        </is>
      </c>
      <c r="E1040" t="inlineStr">
        <is>
          <t>BOLLNÄS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12962-2026</t>
        </is>
      </c>
      <c r="B1041" s="1" t="n">
        <v>46092.64484953704</v>
      </c>
      <c r="C1041" s="1" t="n">
        <v>46184</v>
      </c>
      <c r="D1041" t="inlineStr">
        <is>
          <t>GÄVLEBORGS LÄN</t>
        </is>
      </c>
      <c r="E1041" t="inlineStr">
        <is>
          <t>BOLLNÄS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12995-2026</t>
        </is>
      </c>
      <c r="B1042" s="1" t="n">
        <v>46092.68146990741</v>
      </c>
      <c r="C1042" s="1" t="n">
        <v>46184</v>
      </c>
      <c r="D1042" t="inlineStr">
        <is>
          <t>GÄVLEBORGS LÄN</t>
        </is>
      </c>
      <c r="E1042" t="inlineStr">
        <is>
          <t>BOLLNÄS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12649-2026</t>
        </is>
      </c>
      <c r="B1043" s="1" t="n">
        <v>46091.48019675926</v>
      </c>
      <c r="C1043" s="1" t="n">
        <v>46184</v>
      </c>
      <c r="D1043" t="inlineStr">
        <is>
          <t>GÄVLEBORGS LÄN</t>
        </is>
      </c>
      <c r="E1043" t="inlineStr">
        <is>
          <t>BOLLNÄS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12951-2026</t>
        </is>
      </c>
      <c r="B1044" s="1" t="n">
        <v>46092</v>
      </c>
      <c r="C1044" s="1" t="n">
        <v>46184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12959-2026</t>
        </is>
      </c>
      <c r="B1045" s="1" t="n">
        <v>46092</v>
      </c>
      <c r="C1045" s="1" t="n">
        <v>46184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Sveaskog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12763-2026</t>
        </is>
      </c>
      <c r="B1046" s="1" t="n">
        <v>46091.66438657408</v>
      </c>
      <c r="C1046" s="1" t="n">
        <v>46184</v>
      </c>
      <c r="D1046" t="inlineStr">
        <is>
          <t>GÄVLEBORGS LÄN</t>
        </is>
      </c>
      <c r="E1046" t="inlineStr">
        <is>
          <t>BOLLNÄS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12895-2026</t>
        </is>
      </c>
      <c r="B1047" s="1" t="n">
        <v>46092</v>
      </c>
      <c r="C1047" s="1" t="n">
        <v>46184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13549-2026</t>
        </is>
      </c>
      <c r="B1048" s="1" t="n">
        <v>46094.72072916666</v>
      </c>
      <c r="C1048" s="1" t="n">
        <v>46184</v>
      </c>
      <c r="D1048" t="inlineStr">
        <is>
          <t>GÄVLEBORGS LÄN</t>
        </is>
      </c>
      <c r="E1048" t="inlineStr">
        <is>
          <t>BOLLNÄS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13294-2026</t>
        </is>
      </c>
      <c r="B1049" s="1" t="n">
        <v>46094</v>
      </c>
      <c r="C1049" s="1" t="n">
        <v>46184</v>
      </c>
      <c r="D1049" t="inlineStr">
        <is>
          <t>GÄVLEBORGS LÄN</t>
        </is>
      </c>
      <c r="E1049" t="inlineStr">
        <is>
          <t>BOLLNÄS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13327-2026</t>
        </is>
      </c>
      <c r="B1050" s="1" t="n">
        <v>46094</v>
      </c>
      <c r="C1050" s="1" t="n">
        <v>46184</v>
      </c>
      <c r="D1050" t="inlineStr">
        <is>
          <t>GÄVLEBORGS LÄN</t>
        </is>
      </c>
      <c r="E1050" t="inlineStr">
        <is>
          <t>BOLLNÄS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13341-2026</t>
        </is>
      </c>
      <c r="B1051" s="1" t="n">
        <v>46094</v>
      </c>
      <c r="C1051" s="1" t="n">
        <v>46184</v>
      </c>
      <c r="D1051" t="inlineStr">
        <is>
          <t>GÄVLEBORGS LÄN</t>
        </is>
      </c>
      <c r="E1051" t="inlineStr">
        <is>
          <t>BOLLNÄS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13346-2026</t>
        </is>
      </c>
      <c r="B1052" s="1" t="n">
        <v>46094.38118055555</v>
      </c>
      <c r="C1052" s="1" t="n">
        <v>46184</v>
      </c>
      <c r="D1052" t="inlineStr">
        <is>
          <t>GÄVLEBORGS LÄN</t>
        </is>
      </c>
      <c r="E1052" t="inlineStr">
        <is>
          <t>BOLLNÄS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13305-2026</t>
        </is>
      </c>
      <c r="B1053" s="1" t="n">
        <v>46094</v>
      </c>
      <c r="C1053" s="1" t="n">
        <v>46184</v>
      </c>
      <c r="D1053" t="inlineStr">
        <is>
          <t>GÄVLEBORGS LÄN</t>
        </is>
      </c>
      <c r="E1053" t="inlineStr">
        <is>
          <t>BOLLNÄS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13311-2026</t>
        </is>
      </c>
      <c r="B1054" s="1" t="n">
        <v>46094</v>
      </c>
      <c r="C1054" s="1" t="n">
        <v>46184</v>
      </c>
      <c r="D1054" t="inlineStr">
        <is>
          <t>GÄVLEBORGS LÄN</t>
        </is>
      </c>
      <c r="E1054" t="inlineStr">
        <is>
          <t>BOLLNÄS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61769-2024</t>
        </is>
      </c>
      <c r="B1055" s="1" t="n">
        <v>45649.45278935185</v>
      </c>
      <c r="C1055" s="1" t="n">
        <v>46184</v>
      </c>
      <c r="D1055" t="inlineStr">
        <is>
          <t>GÄVLEBORGS LÄN</t>
        </is>
      </c>
      <c r="E1055" t="inlineStr">
        <is>
          <t>BOLLNÄS</t>
        </is>
      </c>
      <c r="G1055" t="n">
        <v>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13407-2026</t>
        </is>
      </c>
      <c r="B1056" s="1" t="n">
        <v>46094.4528587963</v>
      </c>
      <c r="C1056" s="1" t="n">
        <v>46184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20036-2026</t>
        </is>
      </c>
      <c r="B1057" s="1" t="n">
        <v>46136.55370370371</v>
      </c>
      <c r="C1057" s="1" t="n">
        <v>46184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öst AB</t>
        </is>
      </c>
      <c r="G1057" t="n">
        <v>23.8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13028-2026</t>
        </is>
      </c>
      <c r="B1058" s="1" t="n">
        <v>46092.88756944444</v>
      </c>
      <c r="C1058" s="1" t="n">
        <v>46184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13357-2026</t>
        </is>
      </c>
      <c r="B1059" s="1" t="n">
        <v>46094.39489583333</v>
      </c>
      <c r="C1059" s="1" t="n">
        <v>46184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13358-2026</t>
        </is>
      </c>
      <c r="B1060" s="1" t="n">
        <v>46094</v>
      </c>
      <c r="C1060" s="1" t="n">
        <v>46184</v>
      </c>
      <c r="D1060" t="inlineStr">
        <is>
          <t>GÄVLEBORGS LÄN</t>
        </is>
      </c>
      <c r="E1060" t="inlineStr">
        <is>
          <t>BOLLNÄS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13378-2026</t>
        </is>
      </c>
      <c r="B1061" s="1" t="n">
        <v>46094</v>
      </c>
      <c r="C1061" s="1" t="n">
        <v>46184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13088-2026</t>
        </is>
      </c>
      <c r="B1062" s="1" t="n">
        <v>46093</v>
      </c>
      <c r="C1062" s="1" t="n">
        <v>46184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32.8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13363-2026</t>
        </is>
      </c>
      <c r="B1063" s="1" t="n">
        <v>46094</v>
      </c>
      <c r="C1063" s="1" t="n">
        <v>46184</v>
      </c>
      <c r="D1063" t="inlineStr">
        <is>
          <t>GÄVLEBORGS LÄN</t>
        </is>
      </c>
      <c r="E1063" t="inlineStr">
        <is>
          <t>BOLLNÄS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13207-2026</t>
        </is>
      </c>
      <c r="B1064" s="1" t="n">
        <v>46093.61097222222</v>
      </c>
      <c r="C1064" s="1" t="n">
        <v>46184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13132-2026</t>
        </is>
      </c>
      <c r="B1065" s="1" t="n">
        <v>46093.47802083333</v>
      </c>
      <c r="C1065" s="1" t="n">
        <v>46184</v>
      </c>
      <c r="D1065" t="inlineStr">
        <is>
          <t>GÄVLEBORGS LÄN</t>
        </is>
      </c>
      <c r="E1065" t="inlineStr">
        <is>
          <t>BOLLNÄS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13173-2026</t>
        </is>
      </c>
      <c r="B1066" s="1" t="n">
        <v>46093</v>
      </c>
      <c r="C1066" s="1" t="n">
        <v>46184</v>
      </c>
      <c r="D1066" t="inlineStr">
        <is>
          <t>GÄVLEBORGS LÄN</t>
        </is>
      </c>
      <c r="E1066" t="inlineStr">
        <is>
          <t>BOLLNÄS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13201-2026</t>
        </is>
      </c>
      <c r="B1067" s="1" t="n">
        <v>46093</v>
      </c>
      <c r="C1067" s="1" t="n">
        <v>46184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17.4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20032-2026</t>
        </is>
      </c>
      <c r="B1068" s="1" t="n">
        <v>46136.55145833334</v>
      </c>
      <c r="C1068" s="1" t="n">
        <v>46184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öst AB</t>
        </is>
      </c>
      <c r="G1068" t="n">
        <v>20.5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13460-2026</t>
        </is>
      </c>
      <c r="B1069" s="1" t="n">
        <v>46093</v>
      </c>
      <c r="C1069" s="1" t="n">
        <v>46184</v>
      </c>
      <c r="D1069" t="inlineStr">
        <is>
          <t>GÄVLEBORGS LÄN</t>
        </is>
      </c>
      <c r="E1069" t="inlineStr">
        <is>
          <t>BOLLNÄS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13308-2026</t>
        </is>
      </c>
      <c r="B1070" s="1" t="n">
        <v>46094</v>
      </c>
      <c r="C1070" s="1" t="n">
        <v>46184</v>
      </c>
      <c r="D1070" t="inlineStr">
        <is>
          <t>GÄVLEBORGS LÄN</t>
        </is>
      </c>
      <c r="E1070" t="inlineStr">
        <is>
          <t>BOLLNÄS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13450-2026</t>
        </is>
      </c>
      <c r="B1071" s="1" t="n">
        <v>46094</v>
      </c>
      <c r="C1071" s="1" t="n">
        <v>46184</v>
      </c>
      <c r="D1071" t="inlineStr">
        <is>
          <t>GÄVLEBORGS LÄN</t>
        </is>
      </c>
      <c r="E1071" t="inlineStr">
        <is>
          <t>BOLLNÄS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13421-2026</t>
        </is>
      </c>
      <c r="B1072" s="1" t="n">
        <v>46094.47552083333</v>
      </c>
      <c r="C1072" s="1" t="n">
        <v>46184</v>
      </c>
      <c r="D1072" t="inlineStr">
        <is>
          <t>GÄVLEBORGS LÄN</t>
        </is>
      </c>
      <c r="E1072" t="inlineStr">
        <is>
          <t>BOLLNÄS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13324-2026</t>
        </is>
      </c>
      <c r="B1073" s="1" t="n">
        <v>46094.35413194444</v>
      </c>
      <c r="C1073" s="1" t="n">
        <v>46184</v>
      </c>
      <c r="D1073" t="inlineStr">
        <is>
          <t>GÄVLEBORGS LÄN</t>
        </is>
      </c>
      <c r="E1073" t="inlineStr">
        <is>
          <t>BOLLNÄS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13231-2026</t>
        </is>
      </c>
      <c r="B1074" s="1" t="n">
        <v>46093.63478009259</v>
      </c>
      <c r="C1074" s="1" t="n">
        <v>46184</v>
      </c>
      <c r="D1074" t="inlineStr">
        <is>
          <t>GÄVLEBORGS LÄN</t>
        </is>
      </c>
      <c r="E1074" t="inlineStr">
        <is>
          <t>BOLLNÄS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13052-2026</t>
        </is>
      </c>
      <c r="B1075" s="1" t="n">
        <v>46093</v>
      </c>
      <c r="C1075" s="1" t="n">
        <v>46184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Bergvik skog väst AB</t>
        </is>
      </c>
      <c r="G1075" t="n">
        <v>28.3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13083-2026</t>
        </is>
      </c>
      <c r="B1076" s="1" t="n">
        <v>46093</v>
      </c>
      <c r="C1076" s="1" t="n">
        <v>46184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13157-2026</t>
        </is>
      </c>
      <c r="B1077" s="1" t="n">
        <v>46093</v>
      </c>
      <c r="C1077" s="1" t="n">
        <v>46184</v>
      </c>
      <c r="D1077" t="inlineStr">
        <is>
          <t>GÄVLEBORGS LÄN</t>
        </is>
      </c>
      <c r="E1077" t="inlineStr">
        <is>
          <t>BOLLNÄS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13372-2026</t>
        </is>
      </c>
      <c r="B1078" s="1" t="n">
        <v>46094.41543981482</v>
      </c>
      <c r="C1078" s="1" t="n">
        <v>46184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13131-2026</t>
        </is>
      </c>
      <c r="B1079" s="1" t="n">
        <v>46093.47478009259</v>
      </c>
      <c r="C1079" s="1" t="n">
        <v>46184</v>
      </c>
      <c r="D1079" t="inlineStr">
        <is>
          <t>GÄVLEBORGS LÄN</t>
        </is>
      </c>
      <c r="E1079" t="inlineStr">
        <is>
          <t>BOLLNÄS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10471-2026</t>
        </is>
      </c>
      <c r="B1080" s="1" t="n">
        <v>46077</v>
      </c>
      <c r="C1080" s="1" t="n">
        <v>46184</v>
      </c>
      <c r="D1080" t="inlineStr">
        <is>
          <t>GÄVLEBORGS LÄN</t>
        </is>
      </c>
      <c r="E1080" t="inlineStr">
        <is>
          <t>BOLLNÄS</t>
        </is>
      </c>
      <c r="G1080" t="n">
        <v>30.9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17394-2022</t>
        </is>
      </c>
      <c r="B1081" s="1" t="n">
        <v>44678.68134259259</v>
      </c>
      <c r="C1081" s="1" t="n">
        <v>46184</v>
      </c>
      <c r="D1081" t="inlineStr">
        <is>
          <t>GÄVLEBORGS LÄN</t>
        </is>
      </c>
      <c r="E1081" t="inlineStr">
        <is>
          <t>BOLLNÄS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13026-2026</t>
        </is>
      </c>
      <c r="B1082" s="1" t="n">
        <v>46092.88597222222</v>
      </c>
      <c r="C1082" s="1" t="n">
        <v>46184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13540-2026</t>
        </is>
      </c>
      <c r="B1083" s="1" t="n">
        <v>46094.67141203704</v>
      </c>
      <c r="C1083" s="1" t="n">
        <v>46184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13548-2026</t>
        </is>
      </c>
      <c r="B1084" s="1" t="n">
        <v>46094.71488425926</v>
      </c>
      <c r="C1084" s="1" t="n">
        <v>46184</v>
      </c>
      <c r="D1084" t="inlineStr">
        <is>
          <t>GÄVLEBORGS LÄN</t>
        </is>
      </c>
      <c r="E1084" t="inlineStr">
        <is>
          <t>BOLLNÄS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13556-2026</t>
        </is>
      </c>
      <c r="B1085" s="1" t="n">
        <v>46094</v>
      </c>
      <c r="C1085" s="1" t="n">
        <v>46184</v>
      </c>
      <c r="D1085" t="inlineStr">
        <is>
          <t>GÄVLEBORGS LÄN</t>
        </is>
      </c>
      <c r="E1085" t="inlineStr">
        <is>
          <t>BOLLNÄS</t>
        </is>
      </c>
      <c r="G1085" t="n">
        <v>9.6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13680-2026</t>
        </is>
      </c>
      <c r="B1086" s="1" t="n">
        <v>46097</v>
      </c>
      <c r="C1086" s="1" t="n">
        <v>46184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13732-2026</t>
        </is>
      </c>
      <c r="B1087" s="1" t="n">
        <v>46097.62387731481</v>
      </c>
      <c r="C1087" s="1" t="n">
        <v>46184</v>
      </c>
      <c r="D1087" t="inlineStr">
        <is>
          <t>GÄVLEBORGS LÄN</t>
        </is>
      </c>
      <c r="E1087" t="inlineStr">
        <is>
          <t>BOLLNÄS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28523-2023</t>
        </is>
      </c>
      <c r="B1088" s="1" t="n">
        <v>45103.4828587963</v>
      </c>
      <c r="C1088" s="1" t="n">
        <v>46184</v>
      </c>
      <c r="D1088" t="inlineStr">
        <is>
          <t>GÄVLEBORGS LÄN</t>
        </is>
      </c>
      <c r="E1088" t="inlineStr">
        <is>
          <t>BOLLNÄS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13646-2026</t>
        </is>
      </c>
      <c r="B1089" s="1" t="n">
        <v>46097.42412037037</v>
      </c>
      <c r="C1089" s="1" t="n">
        <v>46184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13653-2026</t>
        </is>
      </c>
      <c r="B1090" s="1" t="n">
        <v>46097.44431712963</v>
      </c>
      <c r="C1090" s="1" t="n">
        <v>46184</v>
      </c>
      <c r="D1090" t="inlineStr">
        <is>
          <t>GÄVLEBORGS LÄN</t>
        </is>
      </c>
      <c r="E1090" t="inlineStr">
        <is>
          <t>BOLLNÄS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8955-2026</t>
        </is>
      </c>
      <c r="B1091" s="1" t="n">
        <v>46069</v>
      </c>
      <c r="C1091" s="1" t="n">
        <v>46184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8957-2026</t>
        </is>
      </c>
      <c r="B1092" s="1" t="n">
        <v>46069</v>
      </c>
      <c r="C1092" s="1" t="n">
        <v>46184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Bergvik skog väst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13665-2026</t>
        </is>
      </c>
      <c r="B1093" s="1" t="n">
        <v>46097.46891203704</v>
      </c>
      <c r="C1093" s="1" t="n">
        <v>46184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13702-2026</t>
        </is>
      </c>
      <c r="B1094" s="1" t="n">
        <v>46097.5663425926</v>
      </c>
      <c r="C1094" s="1" t="n">
        <v>46184</v>
      </c>
      <c r="D1094" t="inlineStr">
        <is>
          <t>GÄVLEBORGS LÄN</t>
        </is>
      </c>
      <c r="E1094" t="inlineStr">
        <is>
          <t>BOLLNÄS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13991-2026</t>
        </is>
      </c>
      <c r="B1095" s="1" t="n">
        <v>46098</v>
      </c>
      <c r="C1095" s="1" t="n">
        <v>46184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13918-2026</t>
        </is>
      </c>
      <c r="B1096" s="1" t="n">
        <v>46098</v>
      </c>
      <c r="C1096" s="1" t="n">
        <v>46184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13925-2026</t>
        </is>
      </c>
      <c r="B1097" s="1" t="n">
        <v>46098</v>
      </c>
      <c r="C1097" s="1" t="n">
        <v>46184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13859-2026</t>
        </is>
      </c>
      <c r="B1098" s="1" t="n">
        <v>46098</v>
      </c>
      <c r="C1098" s="1" t="n">
        <v>46184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9964-2026</t>
        </is>
      </c>
      <c r="B1099" s="1" t="n">
        <v>46073</v>
      </c>
      <c r="C1099" s="1" t="n">
        <v>46184</v>
      </c>
      <c r="D1099" t="inlineStr">
        <is>
          <t>GÄVLEBORGS LÄN</t>
        </is>
      </c>
      <c r="E1099" t="inlineStr">
        <is>
          <t>BOLLNÄS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53234-2024</t>
        </is>
      </c>
      <c r="B1100" s="1" t="n">
        <v>45613.775625</v>
      </c>
      <c r="C1100" s="1" t="n">
        <v>46184</v>
      </c>
      <c r="D1100" t="inlineStr">
        <is>
          <t>GÄVLEBORGS LÄN</t>
        </is>
      </c>
      <c r="E1100" t="inlineStr">
        <is>
          <t>BOLLNÄS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46151-2024</t>
        </is>
      </c>
      <c r="B1101" s="1" t="n">
        <v>45581.45340277778</v>
      </c>
      <c r="C1101" s="1" t="n">
        <v>46184</v>
      </c>
      <c r="D1101" t="inlineStr">
        <is>
          <t>GÄVLEBORGS LÄN</t>
        </is>
      </c>
      <c r="E1101" t="inlineStr">
        <is>
          <t>BOLLNÄS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29219-2024</t>
        </is>
      </c>
      <c r="B1102" s="1" t="n">
        <v>45482.70034722222</v>
      </c>
      <c r="C1102" s="1" t="n">
        <v>46184</v>
      </c>
      <c r="D1102" t="inlineStr">
        <is>
          <t>GÄVLEBORGS LÄN</t>
        </is>
      </c>
      <c r="E1102" t="inlineStr">
        <is>
          <t>BOLLNÄS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13595-2026</t>
        </is>
      </c>
      <c r="B1103" s="1" t="n">
        <v>46097.2145949074</v>
      </c>
      <c r="C1103" s="1" t="n">
        <v>46184</v>
      </c>
      <c r="D1103" t="inlineStr">
        <is>
          <t>GÄVLEBORGS LÄN</t>
        </is>
      </c>
      <c r="E1103" t="inlineStr">
        <is>
          <t>BOLLNÄS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13598-2026</t>
        </is>
      </c>
      <c r="B1104" s="1" t="n">
        <v>46097.27214120371</v>
      </c>
      <c r="C1104" s="1" t="n">
        <v>46184</v>
      </c>
      <c r="D1104" t="inlineStr">
        <is>
          <t>GÄVLEBORGS LÄN</t>
        </is>
      </c>
      <c r="E1104" t="inlineStr">
        <is>
          <t>BOLLNÄS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13988-2026</t>
        </is>
      </c>
      <c r="B1105" s="1" t="n">
        <v>46098</v>
      </c>
      <c r="C1105" s="1" t="n">
        <v>46184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Bergvik skog väst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13915-2026</t>
        </is>
      </c>
      <c r="B1106" s="1" t="n">
        <v>46098.48351851852</v>
      </c>
      <c r="C1106" s="1" t="n">
        <v>46184</v>
      </c>
      <c r="D1106" t="inlineStr">
        <is>
          <t>GÄVLEBORGS LÄN</t>
        </is>
      </c>
      <c r="E1106" t="inlineStr">
        <is>
          <t>BOLLNÄS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13596-2026</t>
        </is>
      </c>
      <c r="B1107" s="1" t="n">
        <v>46097.23204861111</v>
      </c>
      <c r="C1107" s="1" t="n">
        <v>46184</v>
      </c>
      <c r="D1107" t="inlineStr">
        <is>
          <t>GÄVLEBORGS LÄN</t>
        </is>
      </c>
      <c r="E1107" t="inlineStr">
        <is>
          <t>BOLLNÄS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58506-2023</t>
        </is>
      </c>
      <c r="B1108" s="1" t="n">
        <v>45251</v>
      </c>
      <c r="C1108" s="1" t="n">
        <v>46184</v>
      </c>
      <c r="D1108" t="inlineStr">
        <is>
          <t>GÄVLEBORGS LÄN</t>
        </is>
      </c>
      <c r="E1108" t="inlineStr">
        <is>
          <t>BOLLNÄS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13615-2026</t>
        </is>
      </c>
      <c r="B1109" s="1" t="n">
        <v>46097.34008101852</v>
      </c>
      <c r="C1109" s="1" t="n">
        <v>46184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11799-2025</t>
        </is>
      </c>
      <c r="B1110" s="1" t="n">
        <v>45727.8137037037</v>
      </c>
      <c r="C1110" s="1" t="n">
        <v>46184</v>
      </c>
      <c r="D1110" t="inlineStr">
        <is>
          <t>GÄVLEBORGS LÄN</t>
        </is>
      </c>
      <c r="E1110" t="inlineStr">
        <is>
          <t>BOLLNÄS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13624-2026</t>
        </is>
      </c>
      <c r="B1111" s="1" t="n">
        <v>46097.36164351852</v>
      </c>
      <c r="C1111" s="1" t="n">
        <v>46184</v>
      </c>
      <c r="D1111" t="inlineStr">
        <is>
          <t>GÄVLEBORGS LÄN</t>
        </is>
      </c>
      <c r="E1111" t="inlineStr">
        <is>
          <t>BOLLNÄS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13657-2026</t>
        </is>
      </c>
      <c r="B1112" s="1" t="n">
        <v>46097.45652777778</v>
      </c>
      <c r="C1112" s="1" t="n">
        <v>46184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13614-2026</t>
        </is>
      </c>
      <c r="B1113" s="1" t="n">
        <v>46097</v>
      </c>
      <c r="C1113" s="1" t="n">
        <v>46184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14171-2026</t>
        </is>
      </c>
      <c r="B1114" s="1" t="n">
        <v>46099.48715277778</v>
      </c>
      <c r="C1114" s="1" t="n">
        <v>46184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14183-2026</t>
        </is>
      </c>
      <c r="B1115" s="1" t="n">
        <v>46099.49972222222</v>
      </c>
      <c r="C1115" s="1" t="n">
        <v>46184</v>
      </c>
      <c r="D1115" t="inlineStr">
        <is>
          <t>GÄVLEBORGS LÄN</t>
        </is>
      </c>
      <c r="E1115" t="inlineStr">
        <is>
          <t>BOLLNÄS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14155-2026</t>
        </is>
      </c>
      <c r="B1116" s="1" t="n">
        <v>46099</v>
      </c>
      <c r="C1116" s="1" t="n">
        <v>46184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14324-2026</t>
        </is>
      </c>
      <c r="B1117" s="1" t="n">
        <v>46100</v>
      </c>
      <c r="C1117" s="1" t="n">
        <v>46184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14133-2026</t>
        </is>
      </c>
      <c r="B1118" s="1" t="n">
        <v>46099</v>
      </c>
      <c r="C1118" s="1" t="n">
        <v>46184</v>
      </c>
      <c r="D1118" t="inlineStr">
        <is>
          <t>GÄVLEBORGS LÄN</t>
        </is>
      </c>
      <c r="E1118" t="inlineStr">
        <is>
          <t>BOLLNÄS</t>
        </is>
      </c>
      <c r="F1118" t="inlineStr">
        <is>
          <t>Bergvik skog väst AB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14526-2026</t>
        </is>
      </c>
      <c r="B1119" s="1" t="n">
        <v>46100.65752314815</v>
      </c>
      <c r="C1119" s="1" t="n">
        <v>46184</v>
      </c>
      <c r="D1119" t="inlineStr">
        <is>
          <t>GÄVLEBORGS LÄN</t>
        </is>
      </c>
      <c r="E1119" t="inlineStr">
        <is>
          <t>BOLLNÄS</t>
        </is>
      </c>
      <c r="G1119" t="n">
        <v>10.9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14120-2026</t>
        </is>
      </c>
      <c r="B1120" s="1" t="n">
        <v>46099.43582175926</v>
      </c>
      <c r="C1120" s="1" t="n">
        <v>46184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14346-2026</t>
        </is>
      </c>
      <c r="B1121" s="1" t="n">
        <v>46100.34024305556</v>
      </c>
      <c r="C1121" s="1" t="n">
        <v>46184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14504-2026</t>
        </is>
      </c>
      <c r="B1122" s="1" t="n">
        <v>46100</v>
      </c>
      <c r="C1122" s="1" t="n">
        <v>46184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14521-2026</t>
        </is>
      </c>
      <c r="B1123" s="1" t="n">
        <v>46100.65526620371</v>
      </c>
      <c r="C1123" s="1" t="n">
        <v>46184</v>
      </c>
      <c r="D1123" t="inlineStr">
        <is>
          <t>GÄVLEBORGS LÄN</t>
        </is>
      </c>
      <c r="E1123" t="inlineStr">
        <is>
          <t>BOLLNÄS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14053-2026</t>
        </is>
      </c>
      <c r="B1124" s="1" t="n">
        <v>46099.31327546296</v>
      </c>
      <c r="C1124" s="1" t="n">
        <v>46184</v>
      </c>
      <c r="D1124" t="inlineStr">
        <is>
          <t>GÄVLEBORGS LÄN</t>
        </is>
      </c>
      <c r="E1124" t="inlineStr">
        <is>
          <t>BOLLNÄS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14359-2026</t>
        </is>
      </c>
      <c r="B1125" s="1" t="n">
        <v>46100.35003472222</v>
      </c>
      <c r="C1125" s="1" t="n">
        <v>46184</v>
      </c>
      <c r="D1125" t="inlineStr">
        <is>
          <t>GÄVLEBORGS LÄN</t>
        </is>
      </c>
      <c r="E1125" t="inlineStr">
        <is>
          <t>BOLLNÄS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14519-2026</t>
        </is>
      </c>
      <c r="B1126" s="1" t="n">
        <v>46100.64877314815</v>
      </c>
      <c r="C1126" s="1" t="n">
        <v>46184</v>
      </c>
      <c r="D1126" t="inlineStr">
        <is>
          <t>GÄVLEBORGS LÄN</t>
        </is>
      </c>
      <c r="E1126" t="inlineStr">
        <is>
          <t>BOLLNÄS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14148-2026</t>
        </is>
      </c>
      <c r="B1127" s="1" t="n">
        <v>46099</v>
      </c>
      <c r="C1127" s="1" t="n">
        <v>46184</v>
      </c>
      <c r="D1127" t="inlineStr">
        <is>
          <t>GÄVLEBORGS LÄN</t>
        </is>
      </c>
      <c r="E1127" t="inlineStr">
        <is>
          <t>BOLLNÄS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14172-2026</t>
        </is>
      </c>
      <c r="B1128" s="1" t="n">
        <v>46099.48793981481</v>
      </c>
      <c r="C1128" s="1" t="n">
        <v>46184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14326-2026</t>
        </is>
      </c>
      <c r="B1129" s="1" t="n">
        <v>46100</v>
      </c>
      <c r="C1129" s="1" t="n">
        <v>46184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14328-2026</t>
        </is>
      </c>
      <c r="B1130" s="1" t="n">
        <v>46100</v>
      </c>
      <c r="C1130" s="1" t="n">
        <v>46184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45557-2023</t>
        </is>
      </c>
      <c r="B1131" s="1" t="n">
        <v>45194.58666666667</v>
      </c>
      <c r="C1131" s="1" t="n">
        <v>46184</v>
      </c>
      <c r="D1131" t="inlineStr">
        <is>
          <t>GÄVLEBORGS LÄN</t>
        </is>
      </c>
      <c r="E1131" t="inlineStr">
        <is>
          <t>BOLLNÄS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14216-2026</t>
        </is>
      </c>
      <c r="B1132" s="1" t="n">
        <v>46099</v>
      </c>
      <c r="C1132" s="1" t="n">
        <v>46184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7.1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14438-2026</t>
        </is>
      </c>
      <c r="B1133" s="1" t="n">
        <v>46100.49863425926</v>
      </c>
      <c r="C1133" s="1" t="n">
        <v>46184</v>
      </c>
      <c r="D1133" t="inlineStr">
        <is>
          <t>GÄVLEBORGS LÄN</t>
        </is>
      </c>
      <c r="E1133" t="inlineStr">
        <is>
          <t>BOLLNÄS</t>
        </is>
      </c>
      <c r="G1133" t="n">
        <v>26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20762-2026</t>
        </is>
      </c>
      <c r="B1134" s="1" t="n">
        <v>46141.60680555556</v>
      </c>
      <c r="C1134" s="1" t="n">
        <v>46184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14252-2026</t>
        </is>
      </c>
      <c r="B1135" s="1" t="n">
        <v>46099.61719907408</v>
      </c>
      <c r="C1135" s="1" t="n">
        <v>46184</v>
      </c>
      <c r="D1135" t="inlineStr">
        <is>
          <t>GÄVLEBORGS LÄN</t>
        </is>
      </c>
      <c r="E1135" t="inlineStr">
        <is>
          <t>BOLLNÄS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14333-2026</t>
        </is>
      </c>
      <c r="B1136" s="1" t="n">
        <v>46100.29956018519</v>
      </c>
      <c r="C1136" s="1" t="n">
        <v>46184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16641-2024</t>
        </is>
      </c>
      <c r="B1137" s="1" t="n">
        <v>45408.60974537037</v>
      </c>
      <c r="C1137" s="1" t="n">
        <v>46184</v>
      </c>
      <c r="D1137" t="inlineStr">
        <is>
          <t>GÄVLEBORGS LÄN</t>
        </is>
      </c>
      <c r="E1137" t="inlineStr">
        <is>
          <t>BOLLNÄS</t>
        </is>
      </c>
      <c r="F1137" t="inlineStr">
        <is>
          <t>Bergvik skog öst AB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14223-2026</t>
        </is>
      </c>
      <c r="B1138" s="1" t="n">
        <v>46099</v>
      </c>
      <c r="C1138" s="1" t="n">
        <v>46184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14503-2026</t>
        </is>
      </c>
      <c r="B1139" s="1" t="n">
        <v>46100</v>
      </c>
      <c r="C1139" s="1" t="n">
        <v>46184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30561-2024</t>
        </is>
      </c>
      <c r="B1140" s="1" t="n">
        <v>45492.92834490741</v>
      </c>
      <c r="C1140" s="1" t="n">
        <v>46184</v>
      </c>
      <c r="D1140" t="inlineStr">
        <is>
          <t>GÄVLEBORGS LÄN</t>
        </is>
      </c>
      <c r="E1140" t="inlineStr">
        <is>
          <t>BOLLNÄS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14174-2026</t>
        </is>
      </c>
      <c r="B1141" s="1" t="n">
        <v>46099.48884259259</v>
      </c>
      <c r="C1141" s="1" t="n">
        <v>46184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14491-2026</t>
        </is>
      </c>
      <c r="B1142" s="1" t="n">
        <v>46100</v>
      </c>
      <c r="C1142" s="1" t="n">
        <v>46184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20901-2026</t>
        </is>
      </c>
      <c r="B1143" s="1" t="n">
        <v>46142.45746527778</v>
      </c>
      <c r="C1143" s="1" t="n">
        <v>46184</v>
      </c>
      <c r="D1143" t="inlineStr">
        <is>
          <t>GÄVLEBORGS LÄN</t>
        </is>
      </c>
      <c r="E1143" t="inlineStr">
        <is>
          <t>BOLLNÄS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14987-2026</t>
        </is>
      </c>
      <c r="B1144" s="1" t="n">
        <v>46104.58236111111</v>
      </c>
      <c r="C1144" s="1" t="n">
        <v>46184</v>
      </c>
      <c r="D1144" t="inlineStr">
        <is>
          <t>GÄVLEBORGS LÄN</t>
        </is>
      </c>
      <c r="E1144" t="inlineStr">
        <is>
          <t>BOLLNÄS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21036-2026</t>
        </is>
      </c>
      <c r="B1145" s="1" t="n">
        <v>46146.34766203703</v>
      </c>
      <c r="C1145" s="1" t="n">
        <v>46184</v>
      </c>
      <c r="D1145" t="inlineStr">
        <is>
          <t>GÄVLEBORGS LÄN</t>
        </is>
      </c>
      <c r="E1145" t="inlineStr">
        <is>
          <t>BOLLNÄS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21040-2026</t>
        </is>
      </c>
      <c r="B1146" s="1" t="n">
        <v>46146.35177083333</v>
      </c>
      <c r="C1146" s="1" t="n">
        <v>46184</v>
      </c>
      <c r="D1146" t="inlineStr">
        <is>
          <t>GÄVLEBORGS LÄN</t>
        </is>
      </c>
      <c r="E1146" t="inlineStr">
        <is>
          <t>BOLLNÄS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14633-2026</t>
        </is>
      </c>
      <c r="B1147" s="1" t="n">
        <v>46101.40224537037</v>
      </c>
      <c r="C1147" s="1" t="n">
        <v>46184</v>
      </c>
      <c r="D1147" t="inlineStr">
        <is>
          <t>GÄVLEBORGS LÄN</t>
        </is>
      </c>
      <c r="E1147" t="inlineStr">
        <is>
          <t>BOLLNÄS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14700-2026</t>
        </is>
      </c>
      <c r="B1148" s="1" t="n">
        <v>46101.53930555555</v>
      </c>
      <c r="C1148" s="1" t="n">
        <v>46184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Kommuner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14766-2026</t>
        </is>
      </c>
      <c r="B1149" s="1" t="n">
        <v>46101.63623842593</v>
      </c>
      <c r="C1149" s="1" t="n">
        <v>46184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14772-2026</t>
        </is>
      </c>
      <c r="B1150" s="1" t="n">
        <v>46101.64003472222</v>
      </c>
      <c r="C1150" s="1" t="n">
        <v>46184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Kommuner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15037-2026</t>
        </is>
      </c>
      <c r="B1151" s="1" t="n">
        <v>46104.65365740741</v>
      </c>
      <c r="C1151" s="1" t="n">
        <v>46184</v>
      </c>
      <c r="D1151" t="inlineStr">
        <is>
          <t>GÄVLEBORGS LÄN</t>
        </is>
      </c>
      <c r="E1151" t="inlineStr">
        <is>
          <t>BOLLNÄS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14871-2026</t>
        </is>
      </c>
      <c r="B1152" s="1" t="n">
        <v>46104.43707175926</v>
      </c>
      <c r="C1152" s="1" t="n">
        <v>46184</v>
      </c>
      <c r="D1152" t="inlineStr">
        <is>
          <t>GÄVLEBORGS LÄN</t>
        </is>
      </c>
      <c r="E1152" t="inlineStr">
        <is>
          <t>BOLLNÄS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14630-2026</t>
        </is>
      </c>
      <c r="B1153" s="1" t="n">
        <v>46101.39975694445</v>
      </c>
      <c r="C1153" s="1" t="n">
        <v>46184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14678-2026</t>
        </is>
      </c>
      <c r="B1154" s="1" t="n">
        <v>46101.47208333333</v>
      </c>
      <c r="C1154" s="1" t="n">
        <v>46184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Kommuner</t>
        </is>
      </c>
      <c r="G1154" t="n">
        <v>23.7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14764-2026</t>
        </is>
      </c>
      <c r="B1155" s="1" t="n">
        <v>46101.62913194444</v>
      </c>
      <c r="C1155" s="1" t="n">
        <v>46184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14784-2026</t>
        </is>
      </c>
      <c r="B1156" s="1" t="n">
        <v>46101.66293981481</v>
      </c>
      <c r="C1156" s="1" t="n">
        <v>46184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14598-2026</t>
        </is>
      </c>
      <c r="B1157" s="1" t="n">
        <v>46101.35046296296</v>
      </c>
      <c r="C1157" s="1" t="n">
        <v>46184</v>
      </c>
      <c r="D1157" t="inlineStr">
        <is>
          <t>GÄVLEBORGS LÄN</t>
        </is>
      </c>
      <c r="E1157" t="inlineStr">
        <is>
          <t>BOLLNÄS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14599-2026</t>
        </is>
      </c>
      <c r="B1158" s="1" t="n">
        <v>46101.35528935185</v>
      </c>
      <c r="C1158" s="1" t="n">
        <v>46184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21101-2026</t>
        </is>
      </c>
      <c r="B1159" s="1" t="n">
        <v>46146.47105324074</v>
      </c>
      <c r="C1159" s="1" t="n">
        <v>46184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14729-2026</t>
        </is>
      </c>
      <c r="B1160" s="1" t="n">
        <v>46101.57625</v>
      </c>
      <c r="C1160" s="1" t="n">
        <v>46184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Kommuner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14735-2026</t>
        </is>
      </c>
      <c r="B1161" s="1" t="n">
        <v>46101</v>
      </c>
      <c r="C1161" s="1" t="n">
        <v>46184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14741-2026</t>
        </is>
      </c>
      <c r="B1162" s="1" t="n">
        <v>46101.59574074074</v>
      </c>
      <c r="C1162" s="1" t="n">
        <v>46184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14899-2026</t>
        </is>
      </c>
      <c r="B1163" s="1" t="n">
        <v>46104.45391203704</v>
      </c>
      <c r="C1163" s="1" t="n">
        <v>46184</v>
      </c>
      <c r="D1163" t="inlineStr">
        <is>
          <t>GÄVLEBORGS LÄN</t>
        </is>
      </c>
      <c r="E1163" t="inlineStr">
        <is>
          <t>BOLLNÄS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14811-2026</t>
        </is>
      </c>
      <c r="B1164" s="1" t="n">
        <v>46104.27983796296</v>
      </c>
      <c r="C1164" s="1" t="n">
        <v>46184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5388-2024</t>
        </is>
      </c>
      <c r="B1165" s="1" t="n">
        <v>45331</v>
      </c>
      <c r="C1165" s="1" t="n">
        <v>46184</v>
      </c>
      <c r="D1165" t="inlineStr">
        <is>
          <t>GÄVLEBORGS LÄN</t>
        </is>
      </c>
      <c r="E1165" t="inlineStr">
        <is>
          <t>BOLLNÄS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21038-2026</t>
        </is>
      </c>
      <c r="B1166" s="1" t="n">
        <v>46146.34983796296</v>
      </c>
      <c r="C1166" s="1" t="n">
        <v>46184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14864-2026</t>
        </is>
      </c>
      <c r="B1167" s="1" t="n">
        <v>46104.43320601852</v>
      </c>
      <c r="C1167" s="1" t="n">
        <v>46184</v>
      </c>
      <c r="D1167" t="inlineStr">
        <is>
          <t>GÄVLEBORGS LÄN</t>
        </is>
      </c>
      <c r="E1167" t="inlineStr">
        <is>
          <t>BOLLNÄS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5135-2022</t>
        </is>
      </c>
      <c r="B1168" s="1" t="n">
        <v>44594.32063657408</v>
      </c>
      <c r="C1168" s="1" t="n">
        <v>46184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14594-2026</t>
        </is>
      </c>
      <c r="B1169" s="1" t="n">
        <v>46101.34642361111</v>
      </c>
      <c r="C1169" s="1" t="n">
        <v>46184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14616-2026</t>
        </is>
      </c>
      <c r="B1170" s="1" t="n">
        <v>46101.37678240741</v>
      </c>
      <c r="C1170" s="1" t="n">
        <v>46184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14872-2026</t>
        </is>
      </c>
      <c r="B1171" s="1" t="n">
        <v>46104.4378125</v>
      </c>
      <c r="C1171" s="1" t="n">
        <v>46184</v>
      </c>
      <c r="D1171" t="inlineStr">
        <is>
          <t>GÄVLEBORGS LÄN</t>
        </is>
      </c>
      <c r="E1171" t="inlineStr">
        <is>
          <t>BOLLNÄS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14586-2026</t>
        </is>
      </c>
      <c r="B1172" s="1" t="n">
        <v>46101.33969907407</v>
      </c>
      <c r="C1172" s="1" t="n">
        <v>46184</v>
      </c>
      <c r="D1172" t="inlineStr">
        <is>
          <t>GÄVLEBORGS LÄN</t>
        </is>
      </c>
      <c r="E1172" t="inlineStr">
        <is>
          <t>BOLLNÄS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14589-2026</t>
        </is>
      </c>
      <c r="B1173" s="1" t="n">
        <v>46101.34568287037</v>
      </c>
      <c r="C1173" s="1" t="n">
        <v>46184</v>
      </c>
      <c r="D1173" t="inlineStr">
        <is>
          <t>GÄVLEBORGS LÄN</t>
        </is>
      </c>
      <c r="E1173" t="inlineStr">
        <is>
          <t>BOLLNÄS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14888-2026</t>
        </is>
      </c>
      <c r="B1174" s="1" t="n">
        <v>46104.45135416667</v>
      </c>
      <c r="C1174" s="1" t="n">
        <v>46184</v>
      </c>
      <c r="D1174" t="inlineStr">
        <is>
          <t>GÄVLEBORGS LÄN</t>
        </is>
      </c>
      <c r="E1174" t="inlineStr">
        <is>
          <t>BOLLNÄS</t>
        </is>
      </c>
      <c r="G1174" t="n">
        <v>11.3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14866-2026</t>
        </is>
      </c>
      <c r="B1175" s="1" t="n">
        <v>46104.43490740741</v>
      </c>
      <c r="C1175" s="1" t="n">
        <v>46184</v>
      </c>
      <c r="D1175" t="inlineStr">
        <is>
          <t>GÄVLEBORGS LÄN</t>
        </is>
      </c>
      <c r="E1175" t="inlineStr">
        <is>
          <t>BOLLNÄS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15149-2026</t>
        </is>
      </c>
      <c r="B1176" s="1" t="n">
        <v>46105.40553240741</v>
      </c>
      <c r="C1176" s="1" t="n">
        <v>46184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Holmen skog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15643-2026</t>
        </is>
      </c>
      <c r="B1177" s="1" t="n">
        <v>46106.63871527778</v>
      </c>
      <c r="C1177" s="1" t="n">
        <v>46184</v>
      </c>
      <c r="D1177" t="inlineStr">
        <is>
          <t>GÄVLEBORGS LÄN</t>
        </is>
      </c>
      <c r="E1177" t="inlineStr">
        <is>
          <t>BOLLNÄS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5561-2022</t>
        </is>
      </c>
      <c r="B1178" s="1" t="n">
        <v>44595</v>
      </c>
      <c r="C1178" s="1" t="n">
        <v>46184</v>
      </c>
      <c r="D1178" t="inlineStr">
        <is>
          <t>GÄVLEBORGS LÄN</t>
        </is>
      </c>
      <c r="E1178" t="inlineStr">
        <is>
          <t>BOLLNÄS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14758-2026</t>
        </is>
      </c>
      <c r="B1179" s="1" t="n">
        <v>46101.62726851852</v>
      </c>
      <c r="C1179" s="1" t="n">
        <v>46184</v>
      </c>
      <c r="D1179" t="inlineStr">
        <is>
          <t>GÄVLEBORGS LÄN</t>
        </is>
      </c>
      <c r="E1179" t="inlineStr">
        <is>
          <t>BOLLNÄS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15511-2026</t>
        </is>
      </c>
      <c r="B1180" s="1" t="n">
        <v>46106.4684837963</v>
      </c>
      <c r="C1180" s="1" t="n">
        <v>46184</v>
      </c>
      <c r="D1180" t="inlineStr">
        <is>
          <t>GÄVLEBORGS LÄN</t>
        </is>
      </c>
      <c r="E1180" t="inlineStr">
        <is>
          <t>BOLLNÄS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15449-2026</t>
        </is>
      </c>
      <c r="B1181" s="1" t="n">
        <v>46106</v>
      </c>
      <c r="C1181" s="1" t="n">
        <v>46184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15605-2026</t>
        </is>
      </c>
      <c r="B1182" s="1" t="n">
        <v>46106.5953125</v>
      </c>
      <c r="C1182" s="1" t="n">
        <v>46184</v>
      </c>
      <c r="D1182" t="inlineStr">
        <is>
          <t>GÄVLEBORGS LÄN</t>
        </is>
      </c>
      <c r="E1182" t="inlineStr">
        <is>
          <t>BOLLNÄS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14761-2026</t>
        </is>
      </c>
      <c r="B1183" s="1" t="n">
        <v>46101.62836805556</v>
      </c>
      <c r="C1183" s="1" t="n">
        <v>46184</v>
      </c>
      <c r="D1183" t="inlineStr">
        <is>
          <t>GÄVLEBORGS LÄN</t>
        </is>
      </c>
      <c r="E1183" t="inlineStr">
        <is>
          <t>BOLLNÄS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15507-2026</t>
        </is>
      </c>
      <c r="B1184" s="1" t="n">
        <v>46106.46538194444</v>
      </c>
      <c r="C1184" s="1" t="n">
        <v>46184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15520-2026</t>
        </is>
      </c>
      <c r="B1185" s="1" t="n">
        <v>46106.47440972222</v>
      </c>
      <c r="C1185" s="1" t="n">
        <v>46184</v>
      </c>
      <c r="D1185" t="inlineStr">
        <is>
          <t>GÄVLEBORGS LÄN</t>
        </is>
      </c>
      <c r="E1185" t="inlineStr">
        <is>
          <t>BOLLNÄS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15528-2026</t>
        </is>
      </c>
      <c r="B1186" s="1" t="n">
        <v>46106</v>
      </c>
      <c r="C1186" s="1" t="n">
        <v>46184</v>
      </c>
      <c r="D1186" t="inlineStr">
        <is>
          <t>GÄVLEBORGS LÄN</t>
        </is>
      </c>
      <c r="E1186" t="inlineStr">
        <is>
          <t>BOLLNÄS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26377-2023</t>
        </is>
      </c>
      <c r="B1187" s="1" t="n">
        <v>45092.28179398148</v>
      </c>
      <c r="C1187" s="1" t="n">
        <v>46184</v>
      </c>
      <c r="D1187" t="inlineStr">
        <is>
          <t>GÄVLEBORGS LÄN</t>
        </is>
      </c>
      <c r="E1187" t="inlineStr">
        <is>
          <t>BOLLNÄS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63865-2023</t>
        </is>
      </c>
      <c r="B1188" s="1" t="n">
        <v>45278.50369212963</v>
      </c>
      <c r="C1188" s="1" t="n">
        <v>46184</v>
      </c>
      <c r="D1188" t="inlineStr">
        <is>
          <t>GÄVLEBORGS LÄN</t>
        </is>
      </c>
      <c r="E1188" t="inlineStr">
        <is>
          <t>BOLLNÄS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63868-2023</t>
        </is>
      </c>
      <c r="B1189" s="1" t="n">
        <v>45278.50765046296</v>
      </c>
      <c r="C1189" s="1" t="n">
        <v>46184</v>
      </c>
      <c r="D1189" t="inlineStr">
        <is>
          <t>GÄVLEBORGS LÄN</t>
        </is>
      </c>
      <c r="E1189" t="inlineStr">
        <is>
          <t>BOLLNÄS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30877-2023</t>
        </is>
      </c>
      <c r="B1190" s="1" t="n">
        <v>45113.32282407407</v>
      </c>
      <c r="C1190" s="1" t="n">
        <v>46184</v>
      </c>
      <c r="D1190" t="inlineStr">
        <is>
          <t>GÄVLEBORGS LÄN</t>
        </is>
      </c>
      <c r="E1190" t="inlineStr">
        <is>
          <t>BOLLNÄS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15522-2026</t>
        </is>
      </c>
      <c r="B1191" s="1" t="n">
        <v>46106.47820601852</v>
      </c>
      <c r="C1191" s="1" t="n">
        <v>46184</v>
      </c>
      <c r="D1191" t="inlineStr">
        <is>
          <t>GÄVLEBORGS LÄN</t>
        </is>
      </c>
      <c r="E1191" t="inlineStr">
        <is>
          <t>BOLLNÄS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15168-2026</t>
        </is>
      </c>
      <c r="B1192" s="1" t="n">
        <v>46105.43792824074</v>
      </c>
      <c r="C1192" s="1" t="n">
        <v>46184</v>
      </c>
      <c r="D1192" t="inlineStr">
        <is>
          <t>GÄVLEBORGS LÄN</t>
        </is>
      </c>
      <c r="E1192" t="inlineStr">
        <is>
          <t>BOLLNÄS</t>
        </is>
      </c>
      <c r="F1192" t="inlineStr">
        <is>
          <t>Bergvik skog väst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56120-2024</t>
        </is>
      </c>
      <c r="B1193" s="1" t="n">
        <v>45624.46519675926</v>
      </c>
      <c r="C1193" s="1" t="n">
        <v>46184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15387-2026</t>
        </is>
      </c>
      <c r="B1194" s="1" t="n">
        <v>46106.34554398148</v>
      </c>
      <c r="C1194" s="1" t="n">
        <v>46184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15080-2026</t>
        </is>
      </c>
      <c r="B1195" s="1" t="n">
        <v>46105.29956018519</v>
      </c>
      <c r="C1195" s="1" t="n">
        <v>46184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Sveaskog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20954-2026</t>
        </is>
      </c>
      <c r="B1196" s="1" t="n">
        <v>46142</v>
      </c>
      <c r="C1196" s="1" t="n">
        <v>46184</v>
      </c>
      <c r="D1196" t="inlineStr">
        <is>
          <t>GÄVLEBORGS LÄN</t>
        </is>
      </c>
      <c r="E1196" t="inlineStr">
        <is>
          <t>BOLLNÄS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21639-2026</t>
        </is>
      </c>
      <c r="B1197" s="1" t="n">
        <v>46149.43341435185</v>
      </c>
      <c r="C1197" s="1" t="n">
        <v>46184</v>
      </c>
      <c r="D1197" t="inlineStr">
        <is>
          <t>GÄVLEBORGS LÄN</t>
        </is>
      </c>
      <c r="E1197" t="inlineStr">
        <is>
          <t>BOLLNÄS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21600-2026</t>
        </is>
      </c>
      <c r="B1198" s="1" t="n">
        <v>46149</v>
      </c>
      <c r="C1198" s="1" t="n">
        <v>46184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21647-2026</t>
        </is>
      </c>
      <c r="B1199" s="1" t="n">
        <v>46149</v>
      </c>
      <c r="C1199" s="1" t="n">
        <v>46184</v>
      </c>
      <c r="D1199" t="inlineStr">
        <is>
          <t>GÄVLEBORGS LÄN</t>
        </is>
      </c>
      <c r="E1199" t="inlineStr">
        <is>
          <t>BOLLNÄS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15775-2026</t>
        </is>
      </c>
      <c r="B1200" s="1" t="n">
        <v>46107</v>
      </c>
      <c r="C1200" s="1" t="n">
        <v>46184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15779-2026</t>
        </is>
      </c>
      <c r="B1201" s="1" t="n">
        <v>46107</v>
      </c>
      <c r="C1201" s="1" t="n">
        <v>46184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20857-2026</t>
        </is>
      </c>
      <c r="B1202" s="1" t="n">
        <v>46142</v>
      </c>
      <c r="C1202" s="1" t="n">
        <v>46184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21646-2026</t>
        </is>
      </c>
      <c r="B1203" s="1" t="n">
        <v>46149</v>
      </c>
      <c r="C1203" s="1" t="n">
        <v>46184</v>
      </c>
      <c r="D1203" t="inlineStr">
        <is>
          <t>GÄVLEBORGS LÄN</t>
        </is>
      </c>
      <c r="E1203" t="inlineStr">
        <is>
          <t>BOLLNÄS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21675-2026</t>
        </is>
      </c>
      <c r="B1204" s="1" t="n">
        <v>46149.48783564815</v>
      </c>
      <c r="C1204" s="1" t="n">
        <v>46184</v>
      </c>
      <c r="D1204" t="inlineStr">
        <is>
          <t>GÄVLEBORGS LÄN</t>
        </is>
      </c>
      <c r="E1204" t="inlineStr">
        <is>
          <t>BOLLNÄS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21790-2026</t>
        </is>
      </c>
      <c r="B1205" s="1" t="n">
        <v>46150.39863425926</v>
      </c>
      <c r="C1205" s="1" t="n">
        <v>46184</v>
      </c>
      <c r="D1205" t="inlineStr">
        <is>
          <t>GÄVLEBORGS LÄN</t>
        </is>
      </c>
      <c r="E1205" t="inlineStr">
        <is>
          <t>BOLLNÄS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16036-2026</t>
        </is>
      </c>
      <c r="B1206" s="1" t="n">
        <v>46108.46282407407</v>
      </c>
      <c r="C1206" s="1" t="n">
        <v>46184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10180-2022</t>
        </is>
      </c>
      <c r="B1207" s="1" t="n">
        <v>44622.40689814815</v>
      </c>
      <c r="C1207" s="1" t="n">
        <v>46184</v>
      </c>
      <c r="D1207" t="inlineStr">
        <is>
          <t>GÄVLEBORGS LÄN</t>
        </is>
      </c>
      <c r="E1207" t="inlineStr">
        <is>
          <t>BOLLNÄS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16061-2026</t>
        </is>
      </c>
      <c r="B1208" s="1" t="n">
        <v>46108.49431712963</v>
      </c>
      <c r="C1208" s="1" t="n">
        <v>46184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21637-2026</t>
        </is>
      </c>
      <c r="B1209" s="1" t="n">
        <v>46149.43043981482</v>
      </c>
      <c r="C1209" s="1" t="n">
        <v>46184</v>
      </c>
      <c r="D1209" t="inlineStr">
        <is>
          <t>GÄVLEBORGS LÄN</t>
        </is>
      </c>
      <c r="E1209" t="inlineStr">
        <is>
          <t>BOLLNÄS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15995-2026</t>
        </is>
      </c>
      <c r="B1210" s="1" t="n">
        <v>46108.3828125</v>
      </c>
      <c r="C1210" s="1" t="n">
        <v>46184</v>
      </c>
      <c r="D1210" t="inlineStr">
        <is>
          <t>GÄVLEBORGS LÄN</t>
        </is>
      </c>
      <c r="E1210" t="inlineStr">
        <is>
          <t>BOLLNÄS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17401-2025</t>
        </is>
      </c>
      <c r="B1211" s="1" t="n">
        <v>45757.35046296296</v>
      </c>
      <c r="C1211" s="1" t="n">
        <v>46184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16029-2026</t>
        </is>
      </c>
      <c r="B1212" s="1" t="n">
        <v>46108.45408564815</v>
      </c>
      <c r="C1212" s="1" t="n">
        <v>46184</v>
      </c>
      <c r="D1212" t="inlineStr">
        <is>
          <t>GÄVLEBORGS LÄN</t>
        </is>
      </c>
      <c r="E1212" t="inlineStr">
        <is>
          <t>BOLLNÄS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16057-2026</t>
        </is>
      </c>
      <c r="B1213" s="1" t="n">
        <v>46108.49155092592</v>
      </c>
      <c r="C1213" s="1" t="n">
        <v>46184</v>
      </c>
      <c r="D1213" t="inlineStr">
        <is>
          <t>GÄVLEBORGS LÄN</t>
        </is>
      </c>
      <c r="E1213" t="inlineStr">
        <is>
          <t>BOLLNÄS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16058-2026</t>
        </is>
      </c>
      <c r="B1214" s="1" t="n">
        <v>46108.49266203704</v>
      </c>
      <c r="C1214" s="1" t="n">
        <v>46184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16059-2026</t>
        </is>
      </c>
      <c r="B1215" s="1" t="n">
        <v>46108.49333333333</v>
      </c>
      <c r="C1215" s="1" t="n">
        <v>46184</v>
      </c>
      <c r="D1215" t="inlineStr">
        <is>
          <t>GÄVLEBORGS LÄN</t>
        </is>
      </c>
      <c r="E1215" t="inlineStr">
        <is>
          <t>BOLLNÄS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16068-2026</t>
        </is>
      </c>
      <c r="B1216" s="1" t="n">
        <v>46108.53021990741</v>
      </c>
      <c r="C1216" s="1" t="n">
        <v>46184</v>
      </c>
      <c r="D1216" t="inlineStr">
        <is>
          <t>GÄVLEBORGS LÄN</t>
        </is>
      </c>
      <c r="E1216" t="inlineStr">
        <is>
          <t>BOLLNÄS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21300-2026</t>
        </is>
      </c>
      <c r="B1217" s="1" t="n">
        <v>46147</v>
      </c>
      <c r="C1217" s="1" t="n">
        <v>46184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21698-2026</t>
        </is>
      </c>
      <c r="B1218" s="1" t="n">
        <v>46149.53869212963</v>
      </c>
      <c r="C1218" s="1" t="n">
        <v>46184</v>
      </c>
      <c r="D1218" t="inlineStr">
        <is>
          <t>GÄVLEBORGS LÄN</t>
        </is>
      </c>
      <c r="E1218" t="inlineStr">
        <is>
          <t>BOLLNÄS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16379-2022</t>
        </is>
      </c>
      <c r="B1219" s="1" t="n">
        <v>44671</v>
      </c>
      <c r="C1219" s="1" t="n">
        <v>46184</v>
      </c>
      <c r="D1219" t="inlineStr">
        <is>
          <t>GÄVLEBORGS LÄN</t>
        </is>
      </c>
      <c r="E1219" t="inlineStr">
        <is>
          <t>BOLLNÄS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15980-2026</t>
        </is>
      </c>
      <c r="B1220" s="1" t="n">
        <v>46108.35755787037</v>
      </c>
      <c r="C1220" s="1" t="n">
        <v>46184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Holmen skog AB</t>
        </is>
      </c>
      <c r="G1220" t="n">
        <v>26.2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16028-2026</t>
        </is>
      </c>
      <c r="B1221" s="1" t="n">
        <v>46108.45258101852</v>
      </c>
      <c r="C1221" s="1" t="n">
        <v>46184</v>
      </c>
      <c r="D1221" t="inlineStr">
        <is>
          <t>GÄVLEBORGS LÄN</t>
        </is>
      </c>
      <c r="E1221" t="inlineStr">
        <is>
          <t>BOLLNÄS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15768-2026</t>
        </is>
      </c>
      <c r="B1222" s="1" t="n">
        <v>46107.44672453704</v>
      </c>
      <c r="C1222" s="1" t="n">
        <v>46184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15796-2026</t>
        </is>
      </c>
      <c r="B1223" s="1" t="n">
        <v>46107</v>
      </c>
      <c r="C1223" s="1" t="n">
        <v>46184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15818-2026</t>
        </is>
      </c>
      <c r="B1224" s="1" t="n">
        <v>46107.52131944444</v>
      </c>
      <c r="C1224" s="1" t="n">
        <v>46184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41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15834-2026</t>
        </is>
      </c>
      <c r="B1225" s="1" t="n">
        <v>46107.55995370371</v>
      </c>
      <c r="C1225" s="1" t="n">
        <v>46184</v>
      </c>
      <c r="D1225" t="inlineStr">
        <is>
          <t>GÄVLEBORGS LÄN</t>
        </is>
      </c>
      <c r="E1225" t="inlineStr">
        <is>
          <t>BOLLNÄS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21614-2026</t>
        </is>
      </c>
      <c r="B1226" s="1" t="n">
        <v>46149.4030324074</v>
      </c>
      <c r="C1226" s="1" t="n">
        <v>46184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15996-2026</t>
        </is>
      </c>
      <c r="B1227" s="1" t="n">
        <v>46108.38313657408</v>
      </c>
      <c r="C1227" s="1" t="n">
        <v>46184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Holmen skog AB</t>
        </is>
      </c>
      <c r="G1227" t="n">
        <v>51.8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21104-2026</t>
        </is>
      </c>
      <c r="B1228" s="1" t="n">
        <v>46146</v>
      </c>
      <c r="C1228" s="1" t="n">
        <v>46184</v>
      </c>
      <c r="D1228" t="inlineStr">
        <is>
          <t>GÄVLEBORGS LÄN</t>
        </is>
      </c>
      <c r="E1228" t="inlineStr">
        <is>
          <t>BOLLNÄS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15668-2025</t>
        </is>
      </c>
      <c r="B1229" s="1" t="n">
        <v>45748.4383912037</v>
      </c>
      <c r="C1229" s="1" t="n">
        <v>46184</v>
      </c>
      <c r="D1229" t="inlineStr">
        <is>
          <t>GÄVLEBORGS LÄN</t>
        </is>
      </c>
      <c r="E1229" t="inlineStr">
        <is>
          <t>BOLLNÄS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16080-2026</t>
        </is>
      </c>
      <c r="B1230" s="1" t="n">
        <v>46108</v>
      </c>
      <c r="C1230" s="1" t="n">
        <v>46184</v>
      </c>
      <c r="D1230" t="inlineStr">
        <is>
          <t>GÄVLEBORGS LÄN</t>
        </is>
      </c>
      <c r="E1230" t="inlineStr">
        <is>
          <t>BOLLNÄS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15687-2025</t>
        </is>
      </c>
      <c r="B1231" s="1" t="n">
        <v>45748.46032407408</v>
      </c>
      <c r="C1231" s="1" t="n">
        <v>46184</v>
      </c>
      <c r="D1231" t="inlineStr">
        <is>
          <t>GÄVLEBORGS LÄN</t>
        </is>
      </c>
      <c r="E1231" t="inlineStr">
        <is>
          <t>BOLLNÄS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61711-2023</t>
        </is>
      </c>
      <c r="B1232" s="1" t="n">
        <v>45265.66679398148</v>
      </c>
      <c r="C1232" s="1" t="n">
        <v>46184</v>
      </c>
      <c r="D1232" t="inlineStr">
        <is>
          <t>GÄVLEBORGS LÄN</t>
        </is>
      </c>
      <c r="E1232" t="inlineStr">
        <is>
          <t>BOLLNÄS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21682-2026</t>
        </is>
      </c>
      <c r="B1233" s="1" t="n">
        <v>46149.49553240741</v>
      </c>
      <c r="C1233" s="1" t="n">
        <v>46184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1996-2025</t>
        </is>
      </c>
      <c r="B1234" s="1" t="n">
        <v>45672.4428125</v>
      </c>
      <c r="C1234" s="1" t="n">
        <v>46184</v>
      </c>
      <c r="D1234" t="inlineStr">
        <is>
          <t>GÄVLEBORGS LÄN</t>
        </is>
      </c>
      <c r="E1234" t="inlineStr">
        <is>
          <t>BOLLNÄS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2932-2024</t>
        </is>
      </c>
      <c r="B1235" s="1" t="n">
        <v>45315.59603009259</v>
      </c>
      <c r="C1235" s="1" t="n">
        <v>46184</v>
      </c>
      <c r="D1235" t="inlineStr">
        <is>
          <t>GÄVLEBORGS LÄN</t>
        </is>
      </c>
      <c r="E1235" t="inlineStr">
        <is>
          <t>BOLLNÄS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20963-2026</t>
        </is>
      </c>
      <c r="B1236" s="1" t="n">
        <v>46142</v>
      </c>
      <c r="C1236" s="1" t="n">
        <v>46184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27179-2023</t>
        </is>
      </c>
      <c r="B1237" s="1" t="n">
        <v>45096.52631944444</v>
      </c>
      <c r="C1237" s="1" t="n">
        <v>46184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15863-2026</t>
        </is>
      </c>
      <c r="B1238" s="1" t="n">
        <v>46107</v>
      </c>
      <c r="C1238" s="1" t="n">
        <v>46184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15791-2026</t>
        </is>
      </c>
      <c r="B1239" s="1" t="n">
        <v>46107.47739583333</v>
      </c>
      <c r="C1239" s="1" t="n">
        <v>46184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518-2026</t>
        </is>
      </c>
      <c r="B1240" s="1" t="n">
        <v>46029</v>
      </c>
      <c r="C1240" s="1" t="n">
        <v>46184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22877-2024</t>
        </is>
      </c>
      <c r="B1241" s="1" t="n">
        <v>45448.65388888889</v>
      </c>
      <c r="C1241" s="1" t="n">
        <v>46184</v>
      </c>
      <c r="D1241" t="inlineStr">
        <is>
          <t>GÄVLEBORGS LÄN</t>
        </is>
      </c>
      <c r="E1241" t="inlineStr">
        <is>
          <t>BOLLNÄS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15718-2026</t>
        </is>
      </c>
      <c r="B1242" s="1" t="n">
        <v>46107.3662962963</v>
      </c>
      <c r="C1242" s="1" t="n">
        <v>46184</v>
      </c>
      <c r="D1242" t="inlineStr">
        <is>
          <t>GÄVLEBORGS LÄN</t>
        </is>
      </c>
      <c r="E1242" t="inlineStr">
        <is>
          <t>BOLLNÄS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21791-2026</t>
        </is>
      </c>
      <c r="B1243" s="1" t="n">
        <v>46150.40212962963</v>
      </c>
      <c r="C1243" s="1" t="n">
        <v>46184</v>
      </c>
      <c r="D1243" t="inlineStr">
        <is>
          <t>GÄVLEBORGS LÄN</t>
        </is>
      </c>
      <c r="E1243" t="inlineStr">
        <is>
          <t>BOLLNÄS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15871-2026</t>
        </is>
      </c>
      <c r="B1244" s="1" t="n">
        <v>46107.58805555556</v>
      </c>
      <c r="C1244" s="1" t="n">
        <v>46184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21767-2026</t>
        </is>
      </c>
      <c r="B1245" s="1" t="n">
        <v>46150.34378472222</v>
      </c>
      <c r="C1245" s="1" t="n">
        <v>46184</v>
      </c>
      <c r="D1245" t="inlineStr">
        <is>
          <t>GÄVLEBORGS LÄN</t>
        </is>
      </c>
      <c r="E1245" t="inlineStr">
        <is>
          <t>BOLLNÄS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15817-2026</t>
        </is>
      </c>
      <c r="B1246" s="1" t="n">
        <v>46107</v>
      </c>
      <c r="C1246" s="1" t="n">
        <v>46184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15832-2026</t>
        </is>
      </c>
      <c r="B1247" s="1" t="n">
        <v>46107.55824074074</v>
      </c>
      <c r="C1247" s="1" t="n">
        <v>46184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16025-2026</t>
        </is>
      </c>
      <c r="B1248" s="1" t="n">
        <v>46108.45197916667</v>
      </c>
      <c r="C1248" s="1" t="n">
        <v>46184</v>
      </c>
      <c r="D1248" t="inlineStr">
        <is>
          <t>GÄVLEBORGS LÄN</t>
        </is>
      </c>
      <c r="E1248" t="inlineStr">
        <is>
          <t>BOLLNÄS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16031-2026</t>
        </is>
      </c>
      <c r="B1249" s="1" t="n">
        <v>46108</v>
      </c>
      <c r="C1249" s="1" t="n">
        <v>46184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16049-2026</t>
        </is>
      </c>
      <c r="B1250" s="1" t="n">
        <v>46108.48263888889</v>
      </c>
      <c r="C1250" s="1" t="n">
        <v>46184</v>
      </c>
      <c r="D1250" t="inlineStr">
        <is>
          <t>GÄVLEBORGS LÄN</t>
        </is>
      </c>
      <c r="E1250" t="inlineStr">
        <is>
          <t>BOLLNÄS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15813-2026</t>
        </is>
      </c>
      <c r="B1251" s="1" t="n">
        <v>46107</v>
      </c>
      <c r="C1251" s="1" t="n">
        <v>46184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7838-2026</t>
        </is>
      </c>
      <c r="B1252" s="1" t="n">
        <v>46062</v>
      </c>
      <c r="C1252" s="1" t="n">
        <v>46184</v>
      </c>
      <c r="D1252" t="inlineStr">
        <is>
          <t>GÄVLEBORGS LÄN</t>
        </is>
      </c>
      <c r="E1252" t="inlineStr">
        <is>
          <t>BOLLNÄS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15727-2026</t>
        </is>
      </c>
      <c r="B1253" s="1" t="n">
        <v>46107.38280092592</v>
      </c>
      <c r="C1253" s="1" t="n">
        <v>46184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20966-2026</t>
        </is>
      </c>
      <c r="B1254" s="1" t="n">
        <v>46142</v>
      </c>
      <c r="C1254" s="1" t="n">
        <v>46184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21741-2026</t>
        </is>
      </c>
      <c r="B1255" s="1" t="n">
        <v>46149.65664351852</v>
      </c>
      <c r="C1255" s="1" t="n">
        <v>46184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16635-2026</t>
        </is>
      </c>
      <c r="B1256" s="1" t="n">
        <v>46112.62728009259</v>
      </c>
      <c r="C1256" s="1" t="n">
        <v>46184</v>
      </c>
      <c r="D1256" t="inlineStr">
        <is>
          <t>GÄVLEBORGS LÄN</t>
        </is>
      </c>
      <c r="E1256" t="inlineStr">
        <is>
          <t>BOLLNÄS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22178-2026</t>
        </is>
      </c>
      <c r="B1257" s="1" t="n">
        <v>46153.64483796297</v>
      </c>
      <c r="C1257" s="1" t="n">
        <v>46184</v>
      </c>
      <c r="D1257" t="inlineStr">
        <is>
          <t>GÄVLEBORGS LÄN</t>
        </is>
      </c>
      <c r="E1257" t="inlineStr">
        <is>
          <t>BOLLNÄS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16168-2026</t>
        </is>
      </c>
      <c r="B1258" s="1" t="n">
        <v>46111.28326388889</v>
      </c>
      <c r="C1258" s="1" t="n">
        <v>46184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16418-2026</t>
        </is>
      </c>
      <c r="B1259" s="1" t="n">
        <v>46111.66304398148</v>
      </c>
      <c r="C1259" s="1" t="n">
        <v>46184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16451-2026</t>
        </is>
      </c>
      <c r="B1260" s="1" t="n">
        <v>46112.33521990741</v>
      </c>
      <c r="C1260" s="1" t="n">
        <v>46184</v>
      </c>
      <c r="D1260" t="inlineStr">
        <is>
          <t>GÄVLEBORGS LÄN</t>
        </is>
      </c>
      <c r="E1260" t="inlineStr">
        <is>
          <t>BOLLNÄS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16453-2026</t>
        </is>
      </c>
      <c r="B1261" s="1" t="n">
        <v>46112.34298611111</v>
      </c>
      <c r="C1261" s="1" t="n">
        <v>46184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16460-2026</t>
        </is>
      </c>
      <c r="B1262" s="1" t="n">
        <v>46112.35299768519</v>
      </c>
      <c r="C1262" s="1" t="n">
        <v>46184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16463-2026</t>
        </is>
      </c>
      <c r="B1263" s="1" t="n">
        <v>46112</v>
      </c>
      <c r="C1263" s="1" t="n">
        <v>46184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16514-2026</t>
        </is>
      </c>
      <c r="B1264" s="1" t="n">
        <v>46112.45094907407</v>
      </c>
      <c r="C1264" s="1" t="n">
        <v>46184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21520-2026</t>
        </is>
      </c>
      <c r="B1265" s="1" t="n">
        <v>46148</v>
      </c>
      <c r="C1265" s="1" t="n">
        <v>46184</v>
      </c>
      <c r="D1265" t="inlineStr">
        <is>
          <t>GÄVLEBORGS LÄN</t>
        </is>
      </c>
      <c r="E1265" t="inlineStr">
        <is>
          <t>BOLLNÄS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16592-2026</t>
        </is>
      </c>
      <c r="B1266" s="1" t="n">
        <v>46112.58784722222</v>
      </c>
      <c r="C1266" s="1" t="n">
        <v>46184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31848-2021</t>
        </is>
      </c>
      <c r="B1267" s="1" t="n">
        <v>44370</v>
      </c>
      <c r="C1267" s="1" t="n">
        <v>46184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16331-2026</t>
        </is>
      </c>
      <c r="B1268" s="1" t="n">
        <v>46111.57085648148</v>
      </c>
      <c r="C1268" s="1" t="n">
        <v>46184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16589-2026</t>
        </is>
      </c>
      <c r="B1269" s="1" t="n">
        <v>46112.5850462963</v>
      </c>
      <c r="C1269" s="1" t="n">
        <v>46184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22179-2026</t>
        </is>
      </c>
      <c r="B1270" s="1" t="n">
        <v>46153.64585648148</v>
      </c>
      <c r="C1270" s="1" t="n">
        <v>46184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7620-2026</t>
        </is>
      </c>
      <c r="B1271" s="1" t="n">
        <v>46062</v>
      </c>
      <c r="C1271" s="1" t="n">
        <v>46184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16568-2026</t>
        </is>
      </c>
      <c r="B1272" s="1" t="n">
        <v>46112.560625</v>
      </c>
      <c r="C1272" s="1" t="n">
        <v>46184</v>
      </c>
      <c r="D1272" t="inlineStr">
        <is>
          <t>GÄVLEBORGS LÄN</t>
        </is>
      </c>
      <c r="E1272" t="inlineStr">
        <is>
          <t>BOLLNÄS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16565-2026</t>
        </is>
      </c>
      <c r="B1273" s="1" t="n">
        <v>46112.55679398148</v>
      </c>
      <c r="C1273" s="1" t="n">
        <v>46184</v>
      </c>
      <c r="D1273" t="inlineStr">
        <is>
          <t>GÄVLEBORGS LÄN</t>
        </is>
      </c>
      <c r="E1273" t="inlineStr">
        <is>
          <t>BOLLNÄS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16575-2026</t>
        </is>
      </c>
      <c r="B1274" s="1" t="n">
        <v>46112.56564814815</v>
      </c>
      <c r="C1274" s="1" t="n">
        <v>46184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20872-2026</t>
        </is>
      </c>
      <c r="B1275" s="1" t="n">
        <v>46142</v>
      </c>
      <c r="C1275" s="1" t="n">
        <v>46184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22254-2026</t>
        </is>
      </c>
      <c r="B1276" s="1" t="n">
        <v>46154.35722222222</v>
      </c>
      <c r="C1276" s="1" t="n">
        <v>46184</v>
      </c>
      <c r="D1276" t="inlineStr">
        <is>
          <t>GÄVLEBORGS LÄN</t>
        </is>
      </c>
      <c r="E1276" t="inlineStr">
        <is>
          <t>BOLLNÄS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16365-2026</t>
        </is>
      </c>
      <c r="B1277" s="1" t="n">
        <v>46111</v>
      </c>
      <c r="C1277" s="1" t="n">
        <v>46184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16417-2026</t>
        </is>
      </c>
      <c r="B1278" s="1" t="n">
        <v>46111.66079861111</v>
      </c>
      <c r="C1278" s="1" t="n">
        <v>46184</v>
      </c>
      <c r="D1278" t="inlineStr">
        <is>
          <t>GÄVLEBORGS LÄN</t>
        </is>
      </c>
      <c r="E1278" t="inlineStr">
        <is>
          <t>BOLLNÄS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22065-2026</t>
        </is>
      </c>
      <c r="B1279" s="1" t="n">
        <v>46153.48771990741</v>
      </c>
      <c r="C1279" s="1" t="n">
        <v>46184</v>
      </c>
      <c r="D1279" t="inlineStr">
        <is>
          <t>GÄVLEBORGS LÄN</t>
        </is>
      </c>
      <c r="E1279" t="inlineStr">
        <is>
          <t>BOLLNÄS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22185-2026</t>
        </is>
      </c>
      <c r="B1280" s="1" t="n">
        <v>46153.64982638889</v>
      </c>
      <c r="C1280" s="1" t="n">
        <v>46184</v>
      </c>
      <c r="D1280" t="inlineStr">
        <is>
          <t>GÄVLEBORGS LÄN</t>
        </is>
      </c>
      <c r="E1280" t="inlineStr">
        <is>
          <t>BOLLNÄS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16529-2026</t>
        </is>
      </c>
      <c r="B1281" s="1" t="n">
        <v>46112</v>
      </c>
      <c r="C1281" s="1" t="n">
        <v>46184</v>
      </c>
      <c r="D1281" t="inlineStr">
        <is>
          <t>GÄVLEBORGS LÄN</t>
        </is>
      </c>
      <c r="E1281" t="inlineStr">
        <is>
          <t>BOLLNÄS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16550-2026</t>
        </is>
      </c>
      <c r="B1282" s="1" t="n">
        <v>46112.53052083333</v>
      </c>
      <c r="C1282" s="1" t="n">
        <v>46184</v>
      </c>
      <c r="D1282" t="inlineStr">
        <is>
          <t>GÄVLEBORGS LÄN</t>
        </is>
      </c>
      <c r="E1282" t="inlineStr">
        <is>
          <t>BOLLNÄS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16574-2026</t>
        </is>
      </c>
      <c r="B1283" s="1" t="n">
        <v>46112.56479166666</v>
      </c>
      <c r="C1283" s="1" t="n">
        <v>46184</v>
      </c>
      <c r="D1283" t="inlineStr">
        <is>
          <t>GÄVLEBORGS LÄN</t>
        </is>
      </c>
      <c r="E1283" t="inlineStr">
        <is>
          <t>BOLLNÄS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22311-2026</t>
        </is>
      </c>
      <c r="B1284" s="1" t="n">
        <v>46154.4719212963</v>
      </c>
      <c r="C1284" s="1" t="n">
        <v>46184</v>
      </c>
      <c r="D1284" t="inlineStr">
        <is>
          <t>GÄVLEBORGS LÄN</t>
        </is>
      </c>
      <c r="E1284" t="inlineStr">
        <is>
          <t>BOLLNÄS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16461-2026</t>
        </is>
      </c>
      <c r="B1285" s="1" t="n">
        <v>46112.3575462963</v>
      </c>
      <c r="C1285" s="1" t="n">
        <v>46184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Bergvik skog väst AB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16400-2026</t>
        </is>
      </c>
      <c r="B1286" s="1" t="n">
        <v>46111</v>
      </c>
      <c r="C1286" s="1" t="n">
        <v>46184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42575-2024</t>
        </is>
      </c>
      <c r="B1287" s="1" t="n">
        <v>45565.64587962963</v>
      </c>
      <c r="C1287" s="1" t="n">
        <v>46184</v>
      </c>
      <c r="D1287" t="inlineStr">
        <is>
          <t>GÄVLEBORGS LÄN</t>
        </is>
      </c>
      <c r="E1287" t="inlineStr">
        <is>
          <t>BOLLNÄS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16459-2026</t>
        </is>
      </c>
      <c r="B1288" s="1" t="n">
        <v>46112.34875</v>
      </c>
      <c r="C1288" s="1" t="n">
        <v>46184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20665-2026</t>
        </is>
      </c>
      <c r="B1289" s="1" t="n">
        <v>46141</v>
      </c>
      <c r="C1289" s="1" t="n">
        <v>46184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3913-2026</t>
        </is>
      </c>
      <c r="B1290" s="1" t="n">
        <v>46043</v>
      </c>
      <c r="C1290" s="1" t="n">
        <v>46184</v>
      </c>
      <c r="D1290" t="inlineStr">
        <is>
          <t>GÄVLEBORGS LÄN</t>
        </is>
      </c>
      <c r="E1290" t="inlineStr">
        <is>
          <t>BOLLNÄS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44628-2025</t>
        </is>
      </c>
      <c r="B1291" s="1" t="n">
        <v>45917</v>
      </c>
      <c r="C1291" s="1" t="n">
        <v>46184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20868-2026</t>
        </is>
      </c>
      <c r="B1292" s="1" t="n">
        <v>46142</v>
      </c>
      <c r="C1292" s="1" t="n">
        <v>46184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16566-2026</t>
        </is>
      </c>
      <c r="B1293" s="1" t="n">
        <v>46112</v>
      </c>
      <c r="C1293" s="1" t="n">
        <v>46184</v>
      </c>
      <c r="D1293" t="inlineStr">
        <is>
          <t>GÄVLEBORGS LÄN</t>
        </is>
      </c>
      <c r="E1293" t="inlineStr">
        <is>
          <t>BOLLNÄS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22300-2026</t>
        </is>
      </c>
      <c r="B1294" s="1" t="n">
        <v>46154.45752314815</v>
      </c>
      <c r="C1294" s="1" t="n">
        <v>46184</v>
      </c>
      <c r="D1294" t="inlineStr">
        <is>
          <t>GÄVLEBORGS LÄN</t>
        </is>
      </c>
      <c r="E1294" t="inlineStr">
        <is>
          <t>BOLLNÄS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22301-2026</t>
        </is>
      </c>
      <c r="B1295" s="1" t="n">
        <v>46154.45929398148</v>
      </c>
      <c r="C1295" s="1" t="n">
        <v>46184</v>
      </c>
      <c r="D1295" t="inlineStr">
        <is>
          <t>GÄVLEBORGS LÄN</t>
        </is>
      </c>
      <c r="E1295" t="inlineStr">
        <is>
          <t>BOLLNÄS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16623-2026</t>
        </is>
      </c>
      <c r="B1296" s="1" t="n">
        <v>46112</v>
      </c>
      <c r="C1296" s="1" t="n">
        <v>46184</v>
      </c>
      <c r="D1296" t="inlineStr">
        <is>
          <t>GÄVLEBORGS LÄN</t>
        </is>
      </c>
      <c r="E1296" t="inlineStr">
        <is>
          <t>BOLLNÄS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16450-2026</t>
        </is>
      </c>
      <c r="B1297" s="1" t="n">
        <v>46112</v>
      </c>
      <c r="C1297" s="1" t="n">
        <v>46184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16464-2026</t>
        </is>
      </c>
      <c r="B1298" s="1" t="n">
        <v>46112</v>
      </c>
      <c r="C1298" s="1" t="n">
        <v>46184</v>
      </c>
      <c r="D1298" t="inlineStr">
        <is>
          <t>GÄVLEBORGS LÄN</t>
        </is>
      </c>
      <c r="E1298" t="inlineStr">
        <is>
          <t>BOLLNÄS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16622-2026</t>
        </is>
      </c>
      <c r="B1299" s="1" t="n">
        <v>46112</v>
      </c>
      <c r="C1299" s="1" t="n">
        <v>46184</v>
      </c>
      <c r="D1299" t="inlineStr">
        <is>
          <t>GÄVLEBORGS LÄN</t>
        </is>
      </c>
      <c r="E1299" t="inlineStr">
        <is>
          <t>BOLLNÄS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16637-2026</t>
        </is>
      </c>
      <c r="B1300" s="1" t="n">
        <v>46112.62802083333</v>
      </c>
      <c r="C1300" s="1" t="n">
        <v>46184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51247-2023</t>
        </is>
      </c>
      <c r="B1301" s="1" t="n">
        <v>45219.4821875</v>
      </c>
      <c r="C1301" s="1" t="n">
        <v>46184</v>
      </c>
      <c r="D1301" t="inlineStr">
        <is>
          <t>GÄVLEBORGS LÄN</t>
        </is>
      </c>
      <c r="E1301" t="inlineStr">
        <is>
          <t>BOLLNÄS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22316-2026</t>
        </is>
      </c>
      <c r="B1302" s="1" t="n">
        <v>46154.49431712963</v>
      </c>
      <c r="C1302" s="1" t="n">
        <v>46184</v>
      </c>
      <c r="D1302" t="inlineStr">
        <is>
          <t>GÄVLEBORGS LÄN</t>
        </is>
      </c>
      <c r="E1302" t="inlineStr">
        <is>
          <t>BOLLNÄS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12853-2025</t>
        </is>
      </c>
      <c r="B1303" s="1" t="n">
        <v>45733.65908564815</v>
      </c>
      <c r="C1303" s="1" t="n">
        <v>46184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21517-2026</t>
        </is>
      </c>
      <c r="B1304" s="1" t="n">
        <v>46148</v>
      </c>
      <c r="C1304" s="1" t="n">
        <v>46184</v>
      </c>
      <c r="D1304" t="inlineStr">
        <is>
          <t>GÄVLEBORGS LÄN</t>
        </is>
      </c>
      <c r="E1304" t="inlineStr">
        <is>
          <t>BOLLNÄS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22206-2026</t>
        </is>
      </c>
      <c r="B1305" s="1" t="n">
        <v>46153.67775462963</v>
      </c>
      <c r="C1305" s="1" t="n">
        <v>46184</v>
      </c>
      <c r="D1305" t="inlineStr">
        <is>
          <t>GÄVLEBORGS LÄN</t>
        </is>
      </c>
      <c r="E1305" t="inlineStr">
        <is>
          <t>BOLLNÄS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20690-2026</t>
        </is>
      </c>
      <c r="B1306" s="1" t="n">
        <v>46141</v>
      </c>
      <c r="C1306" s="1" t="n">
        <v>46184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57378-2024</t>
        </is>
      </c>
      <c r="B1307" s="1" t="n">
        <v>45629.67824074074</v>
      </c>
      <c r="C1307" s="1" t="n">
        <v>46184</v>
      </c>
      <c r="D1307" t="inlineStr">
        <is>
          <t>GÄVLEBORGS LÄN</t>
        </is>
      </c>
      <c r="E1307" t="inlineStr">
        <is>
          <t>BOLLNÄS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16599-2026</t>
        </is>
      </c>
      <c r="B1308" s="1" t="n">
        <v>46112.5968287037</v>
      </c>
      <c r="C1308" s="1" t="n">
        <v>46184</v>
      </c>
      <c r="D1308" t="inlineStr">
        <is>
          <t>GÄVLEBORGS LÄN</t>
        </is>
      </c>
      <c r="E1308" t="inlineStr">
        <is>
          <t>BOLLNÄS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16605-2026</t>
        </is>
      </c>
      <c r="B1309" s="1" t="n">
        <v>46112.59818287037</v>
      </c>
      <c r="C1309" s="1" t="n">
        <v>46184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16620-2026</t>
        </is>
      </c>
      <c r="B1310" s="1" t="n">
        <v>46112</v>
      </c>
      <c r="C1310" s="1" t="n">
        <v>46184</v>
      </c>
      <c r="D1310" t="inlineStr">
        <is>
          <t>GÄVLEBORGS LÄN</t>
        </is>
      </c>
      <c r="E1310" t="inlineStr">
        <is>
          <t>BOLLNÄS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22002-2026</t>
        </is>
      </c>
      <c r="B1311" s="1" t="n">
        <v>46153.3693287037</v>
      </c>
      <c r="C1311" s="1" t="n">
        <v>46184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9.199999999999999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17007-2026</t>
        </is>
      </c>
      <c r="B1312" s="1" t="n">
        <v>46114</v>
      </c>
      <c r="C1312" s="1" t="n">
        <v>46184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17016-2026</t>
        </is>
      </c>
      <c r="B1313" s="1" t="n">
        <v>46114.43872685185</v>
      </c>
      <c r="C1313" s="1" t="n">
        <v>46184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16871-2026</t>
        </is>
      </c>
      <c r="B1314" s="1" t="n">
        <v>46113.58380787037</v>
      </c>
      <c r="C1314" s="1" t="n">
        <v>46184</v>
      </c>
      <c r="D1314" t="inlineStr">
        <is>
          <t>GÄVLEBORGS LÄN</t>
        </is>
      </c>
      <c r="E1314" t="inlineStr">
        <is>
          <t>BOLLNÄS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16942-2026</t>
        </is>
      </c>
      <c r="B1315" s="1" t="n">
        <v>46113</v>
      </c>
      <c r="C1315" s="1" t="n">
        <v>46184</v>
      </c>
      <c r="D1315" t="inlineStr">
        <is>
          <t>GÄVLEBORGS LÄN</t>
        </is>
      </c>
      <c r="E1315" t="inlineStr">
        <is>
          <t>BOLLNÄS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16971-2026</t>
        </is>
      </c>
      <c r="B1316" s="1" t="n">
        <v>46114</v>
      </c>
      <c r="C1316" s="1" t="n">
        <v>46184</v>
      </c>
      <c r="D1316" t="inlineStr">
        <is>
          <t>GÄVLEBORGS LÄN</t>
        </is>
      </c>
      <c r="E1316" t="inlineStr">
        <is>
          <t>BOLLNÄS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17070-2026</t>
        </is>
      </c>
      <c r="B1317" s="1" t="n">
        <v>46114</v>
      </c>
      <c r="C1317" s="1" t="n">
        <v>46184</v>
      </c>
      <c r="D1317" t="inlineStr">
        <is>
          <t>GÄVLEBORGS LÄN</t>
        </is>
      </c>
      <c r="E1317" t="inlineStr">
        <is>
          <t>BOLLNÄS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22496-2026</t>
        </is>
      </c>
      <c r="B1318" s="1" t="n">
        <v>46155.42752314815</v>
      </c>
      <c r="C1318" s="1" t="n">
        <v>46184</v>
      </c>
      <c r="D1318" t="inlineStr">
        <is>
          <t>GÄVLEBORGS LÄN</t>
        </is>
      </c>
      <c r="E1318" t="inlineStr">
        <is>
          <t>BOLLNÄS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22540-2026</t>
        </is>
      </c>
      <c r="B1319" s="1" t="n">
        <v>46155.4960300926</v>
      </c>
      <c r="C1319" s="1" t="n">
        <v>46184</v>
      </c>
      <c r="D1319" t="inlineStr">
        <is>
          <t>GÄVLEBORGS LÄN</t>
        </is>
      </c>
      <c r="E1319" t="inlineStr">
        <is>
          <t>BOLLNÄS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20865-2026</t>
        </is>
      </c>
      <c r="B1320" s="1" t="n">
        <v>46142</v>
      </c>
      <c r="C1320" s="1" t="n">
        <v>46184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21521-2026</t>
        </is>
      </c>
      <c r="B1321" s="1" t="n">
        <v>46148</v>
      </c>
      <c r="C1321" s="1" t="n">
        <v>46184</v>
      </c>
      <c r="D1321" t="inlineStr">
        <is>
          <t>GÄVLEBORGS LÄN</t>
        </is>
      </c>
      <c r="E1321" t="inlineStr">
        <is>
          <t>BOLLNÄS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22532-2026</t>
        </is>
      </c>
      <c r="B1322" s="1" t="n">
        <v>46155.48023148148</v>
      </c>
      <c r="C1322" s="1" t="n">
        <v>46184</v>
      </c>
      <c r="D1322" t="inlineStr">
        <is>
          <t>GÄVLEBORGS LÄN</t>
        </is>
      </c>
      <c r="E1322" t="inlineStr">
        <is>
          <t>BOLLNÄS</t>
        </is>
      </c>
      <c r="G1322" t="n">
        <v>10.6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22489-2026</t>
        </is>
      </c>
      <c r="B1323" s="1" t="n">
        <v>46155.42459490741</v>
      </c>
      <c r="C1323" s="1" t="n">
        <v>46184</v>
      </c>
      <c r="D1323" t="inlineStr">
        <is>
          <t>GÄVLEBORGS LÄN</t>
        </is>
      </c>
      <c r="E1323" t="inlineStr">
        <is>
          <t>BOLLNÄS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42350-2022</t>
        </is>
      </c>
      <c r="B1324" s="1" t="n">
        <v>44831.36085648148</v>
      </c>
      <c r="C1324" s="1" t="n">
        <v>46184</v>
      </c>
      <c r="D1324" t="inlineStr">
        <is>
          <t>GÄVLEBORGS LÄN</t>
        </is>
      </c>
      <c r="E1324" t="inlineStr">
        <is>
          <t>BOLLNÄS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16864-2026</t>
        </is>
      </c>
      <c r="B1325" s="1" t="n">
        <v>46113.5734375</v>
      </c>
      <c r="C1325" s="1" t="n">
        <v>46184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16992-2026</t>
        </is>
      </c>
      <c r="B1326" s="1" t="n">
        <v>46114.41744212963</v>
      </c>
      <c r="C1326" s="1" t="n">
        <v>46184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20869-2026</t>
        </is>
      </c>
      <c r="B1327" s="1" t="n">
        <v>46142</v>
      </c>
      <c r="C1327" s="1" t="n">
        <v>46184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21715-2026</t>
        </is>
      </c>
      <c r="B1328" s="1" t="n">
        <v>46149</v>
      </c>
      <c r="C1328" s="1" t="n">
        <v>46184</v>
      </c>
      <c r="D1328" t="inlineStr">
        <is>
          <t>GÄVLEBORGS LÄN</t>
        </is>
      </c>
      <c r="E1328" t="inlineStr">
        <is>
          <t>BOLLNÄS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22502-2026</t>
        </is>
      </c>
      <c r="B1329" s="1" t="n">
        <v>46155.43056712963</v>
      </c>
      <c r="C1329" s="1" t="n">
        <v>46184</v>
      </c>
      <c r="D1329" t="inlineStr">
        <is>
          <t>GÄVLEBORGS LÄN</t>
        </is>
      </c>
      <c r="E1329" t="inlineStr">
        <is>
          <t>BOLLNÄS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22503-2026</t>
        </is>
      </c>
      <c r="B1330" s="1" t="n">
        <v>46155.43142361111</v>
      </c>
      <c r="C1330" s="1" t="n">
        <v>46184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20859-2026</t>
        </is>
      </c>
      <c r="B1331" s="1" t="n">
        <v>46142</v>
      </c>
      <c r="C1331" s="1" t="n">
        <v>46184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16998-2026</t>
        </is>
      </c>
      <c r="B1332" s="1" t="n">
        <v>46114.42623842593</v>
      </c>
      <c r="C1332" s="1" t="n">
        <v>46184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22499-2026</t>
        </is>
      </c>
      <c r="B1333" s="1" t="n">
        <v>46155.42883101852</v>
      </c>
      <c r="C1333" s="1" t="n">
        <v>46184</v>
      </c>
      <c r="D1333" t="inlineStr">
        <is>
          <t>GÄVLEBORGS LÄN</t>
        </is>
      </c>
      <c r="E1333" t="inlineStr">
        <is>
          <t>BOLLNÄS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22510-2026</t>
        </is>
      </c>
      <c r="B1334" s="1" t="n">
        <v>46155.44393518518</v>
      </c>
      <c r="C1334" s="1" t="n">
        <v>46184</v>
      </c>
      <c r="D1334" t="inlineStr">
        <is>
          <t>GÄVLEBORGS LÄN</t>
        </is>
      </c>
      <c r="E1334" t="inlineStr">
        <is>
          <t>BOLLNÄS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16858-2026</t>
        </is>
      </c>
      <c r="B1335" s="1" t="n">
        <v>46113.56780092593</v>
      </c>
      <c r="C1335" s="1" t="n">
        <v>46184</v>
      </c>
      <c r="D1335" t="inlineStr">
        <is>
          <t>GÄVLEBORGS LÄN</t>
        </is>
      </c>
      <c r="E1335" t="inlineStr">
        <is>
          <t>BOLLNÄS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22448-2026</t>
        </is>
      </c>
      <c r="B1336" s="1" t="n">
        <v>46155.34576388889</v>
      </c>
      <c r="C1336" s="1" t="n">
        <v>46184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17092-2026</t>
        </is>
      </c>
      <c r="B1337" s="1" t="n">
        <v>46114.58456018518</v>
      </c>
      <c r="C1337" s="1" t="n">
        <v>46184</v>
      </c>
      <c r="D1337" t="inlineStr">
        <is>
          <t>GÄVLEBORGS LÄN</t>
        </is>
      </c>
      <c r="E1337" t="inlineStr">
        <is>
          <t>BOLLNÄS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17093-2026</t>
        </is>
      </c>
      <c r="B1338" s="1" t="n">
        <v>46114.58547453704</v>
      </c>
      <c r="C1338" s="1" t="n">
        <v>46184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32174-2021</t>
        </is>
      </c>
      <c r="B1339" s="1" t="n">
        <v>44371</v>
      </c>
      <c r="C1339" s="1" t="n">
        <v>46184</v>
      </c>
      <c r="D1339" t="inlineStr">
        <is>
          <t>GÄVLEBORGS LÄN</t>
        </is>
      </c>
      <c r="E1339" t="inlineStr">
        <is>
          <t>BOLLNÄS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16700-2026</t>
        </is>
      </c>
      <c r="B1340" s="1" t="n">
        <v>46113</v>
      </c>
      <c r="C1340" s="1" t="n">
        <v>46184</v>
      </c>
      <c r="D1340" t="inlineStr">
        <is>
          <t>GÄVLEBORGS LÄN</t>
        </is>
      </c>
      <c r="E1340" t="inlineStr">
        <is>
          <t>BOLLNÄS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22601-2026</t>
        </is>
      </c>
      <c r="B1341" s="1" t="n">
        <v>46155.59202546296</v>
      </c>
      <c r="C1341" s="1" t="n">
        <v>46184</v>
      </c>
      <c r="D1341" t="inlineStr">
        <is>
          <t>GÄVLEBORGS LÄN</t>
        </is>
      </c>
      <c r="E1341" t="inlineStr">
        <is>
          <t>BOLLNÄS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22629-2026</t>
        </is>
      </c>
      <c r="B1342" s="1" t="n">
        <v>46155.63784722222</v>
      </c>
      <c r="C1342" s="1" t="n">
        <v>46184</v>
      </c>
      <c r="D1342" t="inlineStr">
        <is>
          <t>GÄVLEBORGS LÄN</t>
        </is>
      </c>
      <c r="E1342" t="inlineStr">
        <is>
          <t>BOLLNÄS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22625-2026</t>
        </is>
      </c>
      <c r="B1343" s="1" t="n">
        <v>46155.63512731482</v>
      </c>
      <c r="C1343" s="1" t="n">
        <v>46184</v>
      </c>
      <c r="D1343" t="inlineStr">
        <is>
          <t>GÄVLEBORGS LÄN</t>
        </is>
      </c>
      <c r="E1343" t="inlineStr">
        <is>
          <t>BOLLNÄS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14261-2025</t>
        </is>
      </c>
      <c r="B1344" s="1" t="n">
        <v>45740.629375</v>
      </c>
      <c r="C1344" s="1" t="n">
        <v>46184</v>
      </c>
      <c r="D1344" t="inlineStr">
        <is>
          <t>GÄVLEBORGS LÄN</t>
        </is>
      </c>
      <c r="E1344" t="inlineStr">
        <is>
          <t>BOLLNÄS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16721-2026</t>
        </is>
      </c>
      <c r="B1345" s="1" t="n">
        <v>46113.35756944444</v>
      </c>
      <c r="C1345" s="1" t="n">
        <v>46184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21681-2026</t>
        </is>
      </c>
      <c r="B1346" s="1" t="n">
        <v>46149</v>
      </c>
      <c r="C1346" s="1" t="n">
        <v>46184</v>
      </c>
      <c r="D1346" t="inlineStr">
        <is>
          <t>GÄVLEBORGS LÄN</t>
        </is>
      </c>
      <c r="E1346" t="inlineStr">
        <is>
          <t>BOLLNÄS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17032-2026</t>
        </is>
      </c>
      <c r="B1347" s="1" t="n">
        <v>46114</v>
      </c>
      <c r="C1347" s="1" t="n">
        <v>46184</v>
      </c>
      <c r="D1347" t="inlineStr">
        <is>
          <t>GÄVLEBORGS LÄN</t>
        </is>
      </c>
      <c r="E1347" t="inlineStr">
        <is>
          <t>BOLLNÄS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22549-2026</t>
        </is>
      </c>
      <c r="B1348" s="1" t="n">
        <v>46155</v>
      </c>
      <c r="C1348" s="1" t="n">
        <v>46184</v>
      </c>
      <c r="D1348" t="inlineStr">
        <is>
          <t>GÄVLEBORGS LÄN</t>
        </is>
      </c>
      <c r="E1348" t="inlineStr">
        <is>
          <t>BOLLNÄS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21629-2026</t>
        </is>
      </c>
      <c r="B1349" s="1" t="n">
        <v>46149</v>
      </c>
      <c r="C1349" s="1" t="n">
        <v>46184</v>
      </c>
      <c r="D1349" t="inlineStr">
        <is>
          <t>GÄVLEBORGS LÄN</t>
        </is>
      </c>
      <c r="E1349" t="inlineStr">
        <is>
          <t>BOLLNÄS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21133-2026</t>
        </is>
      </c>
      <c r="B1350" s="1" t="n">
        <v>46146</v>
      </c>
      <c r="C1350" s="1" t="n">
        <v>46184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22746-2026</t>
        </is>
      </c>
      <c r="B1351" s="1" t="n">
        <v>46157.42943287037</v>
      </c>
      <c r="C1351" s="1" t="n">
        <v>46184</v>
      </c>
      <c r="D1351" t="inlineStr">
        <is>
          <t>GÄVLEBORGS LÄN</t>
        </is>
      </c>
      <c r="E1351" t="inlineStr">
        <is>
          <t>BOLLNÄS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22761-2026</t>
        </is>
      </c>
      <c r="B1352" s="1" t="n">
        <v>46157.47758101852</v>
      </c>
      <c r="C1352" s="1" t="n">
        <v>46184</v>
      </c>
      <c r="D1352" t="inlineStr">
        <is>
          <t>GÄVLEBORGS LÄN</t>
        </is>
      </c>
      <c r="E1352" t="inlineStr">
        <is>
          <t>BOLLNÄS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17187-2026</t>
        </is>
      </c>
      <c r="B1353" s="1" t="n">
        <v>46117.60270833333</v>
      </c>
      <c r="C1353" s="1" t="n">
        <v>46184</v>
      </c>
      <c r="D1353" t="inlineStr">
        <is>
          <t>GÄVLEBORGS LÄN</t>
        </is>
      </c>
      <c r="E1353" t="inlineStr">
        <is>
          <t>BOLLNÄS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22982-2026</t>
        </is>
      </c>
      <c r="B1354" s="1" t="n">
        <v>46160.64396990741</v>
      </c>
      <c r="C1354" s="1" t="n">
        <v>46184</v>
      </c>
      <c r="D1354" t="inlineStr">
        <is>
          <t>GÄVLEBORGS LÄN</t>
        </is>
      </c>
      <c r="E1354" t="inlineStr">
        <is>
          <t>BOLLNÄS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22981-2026</t>
        </is>
      </c>
      <c r="B1355" s="1" t="n">
        <v>46160.64138888889</v>
      </c>
      <c r="C1355" s="1" t="n">
        <v>46184</v>
      </c>
      <c r="D1355" t="inlineStr">
        <is>
          <t>GÄVLEBORGS LÄN</t>
        </is>
      </c>
      <c r="E1355" t="inlineStr">
        <is>
          <t>BOLLNÄS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22609-2026</t>
        </is>
      </c>
      <c r="B1356" s="1" t="n">
        <v>46155</v>
      </c>
      <c r="C1356" s="1" t="n">
        <v>46184</v>
      </c>
      <c r="D1356" t="inlineStr">
        <is>
          <t>GÄVLEBORGS LÄN</t>
        </is>
      </c>
      <c r="E1356" t="inlineStr">
        <is>
          <t>BOLLNÄS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22905-2026</t>
        </is>
      </c>
      <c r="B1357" s="1" t="n">
        <v>46160.49092592593</v>
      </c>
      <c r="C1357" s="1" t="n">
        <v>46184</v>
      </c>
      <c r="D1357" t="inlineStr">
        <is>
          <t>GÄVLEBORGS LÄN</t>
        </is>
      </c>
      <c r="E1357" t="inlineStr">
        <is>
          <t>BOLLNÄS</t>
        </is>
      </c>
      <c r="G1357" t="n">
        <v>12.3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22985-2026</t>
        </is>
      </c>
      <c r="B1358" s="1" t="n">
        <v>46160.65395833334</v>
      </c>
      <c r="C1358" s="1" t="n">
        <v>46184</v>
      </c>
      <c r="D1358" t="inlineStr">
        <is>
          <t>GÄVLEBORGS LÄN</t>
        </is>
      </c>
      <c r="E1358" t="inlineStr">
        <is>
          <t>BOLLNÄS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23084-2026</t>
        </is>
      </c>
      <c r="B1359" s="1" t="n">
        <v>46161.53899305555</v>
      </c>
      <c r="C1359" s="1" t="n">
        <v>46184</v>
      </c>
      <c r="D1359" t="inlineStr">
        <is>
          <t>GÄVLEBORGS LÄN</t>
        </is>
      </c>
      <c r="E1359" t="inlineStr">
        <is>
          <t>BOLLNÄS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23251-2026</t>
        </is>
      </c>
      <c r="B1360" s="1" t="n">
        <v>46162.43679398148</v>
      </c>
      <c r="C1360" s="1" t="n">
        <v>46184</v>
      </c>
      <c r="D1360" t="inlineStr">
        <is>
          <t>GÄVLEBORGS LÄN</t>
        </is>
      </c>
      <c r="E1360" t="inlineStr">
        <is>
          <t>BOLLNÄS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23268-2026</t>
        </is>
      </c>
      <c r="B1361" s="1" t="n">
        <v>46162.4570949074</v>
      </c>
      <c r="C1361" s="1" t="n">
        <v>46184</v>
      </c>
      <c r="D1361" t="inlineStr">
        <is>
          <t>GÄVLEBORGS LÄN</t>
        </is>
      </c>
      <c r="E1361" t="inlineStr">
        <is>
          <t>BOLLNÄS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23272-2026</t>
        </is>
      </c>
      <c r="B1362" s="1" t="n">
        <v>46162.45961805555</v>
      </c>
      <c r="C1362" s="1" t="n">
        <v>46184</v>
      </c>
      <c r="D1362" t="inlineStr">
        <is>
          <t>GÄVLEBORGS LÄN</t>
        </is>
      </c>
      <c r="E1362" t="inlineStr">
        <is>
          <t>BOLLNÄS</t>
        </is>
      </c>
      <c r="G1362" t="n">
        <v>6.7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23276-2026</t>
        </is>
      </c>
      <c r="B1363" s="1" t="n">
        <v>46162.4653125</v>
      </c>
      <c r="C1363" s="1" t="n">
        <v>46184</v>
      </c>
      <c r="D1363" t="inlineStr">
        <is>
          <t>GÄVLEBORGS LÄN</t>
        </is>
      </c>
      <c r="E1363" t="inlineStr">
        <is>
          <t>BOLLNÄS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23277-2026</t>
        </is>
      </c>
      <c r="B1364" s="1" t="n">
        <v>46162.46625</v>
      </c>
      <c r="C1364" s="1" t="n">
        <v>46184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17279-2026</t>
        </is>
      </c>
      <c r="B1365" s="1" t="n">
        <v>46119.52701388889</v>
      </c>
      <c r="C1365" s="1" t="n">
        <v>46184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23278-2026</t>
        </is>
      </c>
      <c r="B1366" s="1" t="n">
        <v>46162.46707175926</v>
      </c>
      <c r="C1366" s="1" t="n">
        <v>46184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30224-2023</t>
        </is>
      </c>
      <c r="B1367" s="1" t="n">
        <v>45110</v>
      </c>
      <c r="C1367" s="1" t="n">
        <v>46184</v>
      </c>
      <c r="D1367" t="inlineStr">
        <is>
          <t>GÄVLEBORGS LÄN</t>
        </is>
      </c>
      <c r="E1367" t="inlineStr">
        <is>
          <t>BOLLNÄS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21241-2026</t>
        </is>
      </c>
      <c r="B1368" s="1" t="n">
        <v>46147</v>
      </c>
      <c r="C1368" s="1" t="n">
        <v>46184</v>
      </c>
      <c r="D1368" t="inlineStr">
        <is>
          <t>GÄVLEBORGS LÄN</t>
        </is>
      </c>
      <c r="E1368" t="inlineStr">
        <is>
          <t>BOLLNÄS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23273-2026</t>
        </is>
      </c>
      <c r="B1369" s="1" t="n">
        <v>46162.46057870371</v>
      </c>
      <c r="C1369" s="1" t="n">
        <v>46184</v>
      </c>
      <c r="D1369" t="inlineStr">
        <is>
          <t>GÄVLEBORGS LÄN</t>
        </is>
      </c>
      <c r="E1369" t="inlineStr">
        <is>
          <t>BOLLNÄS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23291-2026</t>
        </is>
      </c>
      <c r="B1370" s="1" t="n">
        <v>46162.48263888889</v>
      </c>
      <c r="C1370" s="1" t="n">
        <v>46184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43131-2024</t>
        </is>
      </c>
      <c r="B1371" s="1" t="n">
        <v>45567.60054398148</v>
      </c>
      <c r="C1371" s="1" t="n">
        <v>46184</v>
      </c>
      <c r="D1371" t="inlineStr">
        <is>
          <t>GÄVLEBORGS LÄN</t>
        </is>
      </c>
      <c r="E1371" t="inlineStr">
        <is>
          <t>BOLLNÄS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23256-2026</t>
        </is>
      </c>
      <c r="B1372" s="1" t="n">
        <v>46162.44471064815</v>
      </c>
      <c r="C1372" s="1" t="n">
        <v>46184</v>
      </c>
      <c r="D1372" t="inlineStr">
        <is>
          <t>GÄVLEBORGS LÄN</t>
        </is>
      </c>
      <c r="E1372" t="inlineStr">
        <is>
          <t>BOLLNÄS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23172-2026</t>
        </is>
      </c>
      <c r="B1373" s="1" t="n">
        <v>46161.67034722222</v>
      </c>
      <c r="C1373" s="1" t="n">
        <v>46184</v>
      </c>
      <c r="D1373" t="inlineStr">
        <is>
          <t>GÄVLEBORGS LÄN</t>
        </is>
      </c>
      <c r="E1373" t="inlineStr">
        <is>
          <t>BOLLNÄS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23085-2026</t>
        </is>
      </c>
      <c r="B1374" s="1" t="n">
        <v>46161.5396412037</v>
      </c>
      <c r="C1374" s="1" t="n">
        <v>46184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23086-2026</t>
        </is>
      </c>
      <c r="B1375" s="1" t="n">
        <v>46161.54045138889</v>
      </c>
      <c r="C1375" s="1" t="n">
        <v>46184</v>
      </c>
      <c r="D1375" t="inlineStr">
        <is>
          <t>GÄVLEBORGS LÄN</t>
        </is>
      </c>
      <c r="E1375" t="inlineStr">
        <is>
          <t>BOLLNÄS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23091-2026</t>
        </is>
      </c>
      <c r="B1376" s="1" t="n">
        <v>46161.54792824074</v>
      </c>
      <c r="C1376" s="1" t="n">
        <v>46184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23218-2026</t>
        </is>
      </c>
      <c r="B1377" s="1" t="n">
        <v>46162.35390046296</v>
      </c>
      <c r="C1377" s="1" t="n">
        <v>46184</v>
      </c>
      <c r="D1377" t="inlineStr">
        <is>
          <t>GÄVLEBORGS LÄN</t>
        </is>
      </c>
      <c r="E1377" t="inlineStr">
        <is>
          <t>BOLLNÄS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23092-2026</t>
        </is>
      </c>
      <c r="B1378" s="1" t="n">
        <v>46161.55078703703</v>
      </c>
      <c r="C1378" s="1" t="n">
        <v>46184</v>
      </c>
      <c r="D1378" t="inlineStr">
        <is>
          <t>GÄVLEBORGS LÄN</t>
        </is>
      </c>
      <c r="E1378" t="inlineStr">
        <is>
          <t>BOLLNÄS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22815-2026</t>
        </is>
      </c>
      <c r="B1379" s="1" t="n">
        <v>46160</v>
      </c>
      <c r="C1379" s="1" t="n">
        <v>46184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17301-2026</t>
        </is>
      </c>
      <c r="B1380" s="1" t="n">
        <v>46119</v>
      </c>
      <c r="C1380" s="1" t="n">
        <v>46184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11151-2026</t>
        </is>
      </c>
      <c r="B1381" s="1" t="n">
        <v>46080</v>
      </c>
      <c r="C1381" s="1" t="n">
        <v>46184</v>
      </c>
      <c r="D1381" t="inlineStr">
        <is>
          <t>GÄVLEBORGS LÄN</t>
        </is>
      </c>
      <c r="E1381" t="inlineStr">
        <is>
          <t>BOLLNÄS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23387-2026</t>
        </is>
      </c>
      <c r="B1382" s="1" t="n">
        <v>46162.65603009259</v>
      </c>
      <c r="C1382" s="1" t="n">
        <v>46184</v>
      </c>
      <c r="D1382" t="inlineStr">
        <is>
          <t>GÄVLEBORGS LÄN</t>
        </is>
      </c>
      <c r="E1382" t="inlineStr">
        <is>
          <t>BOLLNÄS</t>
        </is>
      </c>
      <c r="G1382" t="n">
        <v>7.5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21242-2026</t>
        </is>
      </c>
      <c r="B1383" s="1" t="n">
        <v>46147</v>
      </c>
      <c r="C1383" s="1" t="n">
        <v>46184</v>
      </c>
      <c r="D1383" t="inlineStr">
        <is>
          <t>GÄVLEBORGS LÄN</t>
        </is>
      </c>
      <c r="E1383" t="inlineStr">
        <is>
          <t>BOLLNÄS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23083-2026</t>
        </is>
      </c>
      <c r="B1384" s="1" t="n">
        <v>46161.53799768518</v>
      </c>
      <c r="C1384" s="1" t="n">
        <v>46184</v>
      </c>
      <c r="D1384" t="inlineStr">
        <is>
          <t>GÄVLEBORGS LÄN</t>
        </is>
      </c>
      <c r="E1384" t="inlineStr">
        <is>
          <t>BOLLNÄS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23089-2026</t>
        </is>
      </c>
      <c r="B1385" s="1" t="n">
        <v>46161.54524305555</v>
      </c>
      <c r="C1385" s="1" t="n">
        <v>46184</v>
      </c>
      <c r="D1385" t="inlineStr">
        <is>
          <t>GÄVLEBORGS LÄN</t>
        </is>
      </c>
      <c r="E1385" t="inlineStr">
        <is>
          <t>BOLLNÄS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23090-2026</t>
        </is>
      </c>
      <c r="B1386" s="1" t="n">
        <v>46161.54672453704</v>
      </c>
      <c r="C1386" s="1" t="n">
        <v>46184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23093-2026</t>
        </is>
      </c>
      <c r="B1387" s="1" t="n">
        <v>46161.55385416667</v>
      </c>
      <c r="C1387" s="1" t="n">
        <v>46184</v>
      </c>
      <c r="D1387" t="inlineStr">
        <is>
          <t>GÄVLEBORGS LÄN</t>
        </is>
      </c>
      <c r="E1387" t="inlineStr">
        <is>
          <t>BOLLNÄS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23608-2026</t>
        </is>
      </c>
      <c r="B1388" s="1" t="n">
        <v>46163.65800925926</v>
      </c>
      <c r="C1388" s="1" t="n">
        <v>46184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Kommuner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21474-2026</t>
        </is>
      </c>
      <c r="B1389" s="1" t="n">
        <v>46148</v>
      </c>
      <c r="C1389" s="1" t="n">
        <v>46184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21572-2026</t>
        </is>
      </c>
      <c r="B1390" s="1" t="n">
        <v>46148</v>
      </c>
      <c r="C1390" s="1" t="n">
        <v>46184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24328-2024</t>
        </is>
      </c>
      <c r="B1391" s="1" t="n">
        <v>45457.53640046297</v>
      </c>
      <c r="C1391" s="1" t="n">
        <v>46184</v>
      </c>
      <c r="D1391" t="inlineStr">
        <is>
          <t>GÄVLEBORGS LÄN</t>
        </is>
      </c>
      <c r="E1391" t="inlineStr">
        <is>
          <t>BOLLNÄS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21633-2026</t>
        </is>
      </c>
      <c r="B1392" s="1" t="n">
        <v>46149</v>
      </c>
      <c r="C1392" s="1" t="n">
        <v>46184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22058-2026</t>
        </is>
      </c>
      <c r="B1393" s="1" t="n">
        <v>46153</v>
      </c>
      <c r="C1393" s="1" t="n">
        <v>46184</v>
      </c>
      <c r="D1393" t="inlineStr">
        <is>
          <t>GÄVLEBORGS LÄN</t>
        </is>
      </c>
      <c r="E1393" t="inlineStr">
        <is>
          <t>BOLLNÄS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21309-2026</t>
        </is>
      </c>
      <c r="B1394" s="1" t="n">
        <v>46147</v>
      </c>
      <c r="C1394" s="1" t="n">
        <v>46184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36629-2023</t>
        </is>
      </c>
      <c r="B1395" s="1" t="n">
        <v>45153.53344907407</v>
      </c>
      <c r="C1395" s="1" t="n">
        <v>46184</v>
      </c>
      <c r="D1395" t="inlineStr">
        <is>
          <t>GÄVLEBORGS LÄN</t>
        </is>
      </c>
      <c r="E1395" t="inlineStr">
        <is>
          <t>BOLLNÄS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36699-2023</t>
        </is>
      </c>
      <c r="B1396" s="1" t="n">
        <v>45153.63834490741</v>
      </c>
      <c r="C1396" s="1" t="n">
        <v>46184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23703-2026</t>
        </is>
      </c>
      <c r="B1397" s="1" t="n">
        <v>46164.45052083334</v>
      </c>
      <c r="C1397" s="1" t="n">
        <v>46184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17960-2026</t>
        </is>
      </c>
      <c r="B1398" s="1" t="n">
        <v>46122</v>
      </c>
      <c r="C1398" s="1" t="n">
        <v>46184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17652-2026</t>
        </is>
      </c>
      <c r="B1399" s="1" t="n">
        <v>46121.55439814815</v>
      </c>
      <c r="C1399" s="1" t="n">
        <v>46184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51443-2022</t>
        </is>
      </c>
      <c r="B1400" s="1" t="n">
        <v>44869.489375</v>
      </c>
      <c r="C1400" s="1" t="n">
        <v>46184</v>
      </c>
      <c r="D1400" t="inlineStr">
        <is>
          <t>GÄVLEBORGS LÄN</t>
        </is>
      </c>
      <c r="E1400" t="inlineStr">
        <is>
          <t>BOLLNÄS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22394-2026</t>
        </is>
      </c>
      <c r="B1401" s="1" t="n">
        <v>46154</v>
      </c>
      <c r="C1401" s="1" t="n">
        <v>46184</v>
      </c>
      <c r="D1401" t="inlineStr">
        <is>
          <t>GÄVLEBORGS LÄN</t>
        </is>
      </c>
      <c r="E1401" t="inlineStr">
        <is>
          <t>BOLLNÄS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23719-2026</t>
        </is>
      </c>
      <c r="B1402" s="1" t="n">
        <v>46164.46807870371</v>
      </c>
      <c r="C1402" s="1" t="n">
        <v>46184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44576-2023</t>
        </is>
      </c>
      <c r="B1403" s="1" t="n">
        <v>45183</v>
      </c>
      <c r="C1403" s="1" t="n">
        <v>46184</v>
      </c>
      <c r="D1403" t="inlineStr">
        <is>
          <t>GÄVLEBORGS LÄN</t>
        </is>
      </c>
      <c r="E1403" t="inlineStr">
        <is>
          <t>BOLLNÄS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23523-2026</t>
        </is>
      </c>
      <c r="B1404" s="1" t="n">
        <v>46163.49626157407</v>
      </c>
      <c r="C1404" s="1" t="n">
        <v>46184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23289-2026</t>
        </is>
      </c>
      <c r="B1405" s="1" t="n">
        <v>46162</v>
      </c>
      <c r="C1405" s="1" t="n">
        <v>46184</v>
      </c>
      <c r="D1405" t="inlineStr">
        <is>
          <t>GÄVLEBORGS LÄN</t>
        </is>
      </c>
      <c r="E1405" t="inlineStr">
        <is>
          <t>BOLLNÄS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20878-2026</t>
        </is>
      </c>
      <c r="B1406" s="1" t="n">
        <v>46142</v>
      </c>
      <c r="C1406" s="1" t="n">
        <v>46184</v>
      </c>
      <c r="D1406" t="inlineStr">
        <is>
          <t>GÄVLEBORGS LÄN</t>
        </is>
      </c>
      <c r="E1406" t="inlineStr">
        <is>
          <t>BOLLNÄS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23664-2026</t>
        </is>
      </c>
      <c r="B1407" s="1" t="n">
        <v>46164.37744212963</v>
      </c>
      <c r="C1407" s="1" t="n">
        <v>46184</v>
      </c>
      <c r="D1407" t="inlineStr">
        <is>
          <t>GÄVLEBORGS LÄN</t>
        </is>
      </c>
      <c r="E1407" t="inlineStr">
        <is>
          <t>BOLLNÄS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9187-2026</t>
        </is>
      </c>
      <c r="B1408" s="1" t="n">
        <v>46070.37931712963</v>
      </c>
      <c r="C1408" s="1" t="n">
        <v>46184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17667-2026</t>
        </is>
      </c>
      <c r="B1409" s="1" t="n">
        <v>46121</v>
      </c>
      <c r="C1409" s="1" t="n">
        <v>46184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21920-2026</t>
        </is>
      </c>
      <c r="B1410" s="1" t="n">
        <v>46150</v>
      </c>
      <c r="C1410" s="1" t="n">
        <v>46184</v>
      </c>
      <c r="D1410" t="inlineStr">
        <is>
          <t>GÄVLEBORGS LÄN</t>
        </is>
      </c>
      <c r="E1410" t="inlineStr">
        <is>
          <t>BOLLNÄS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23288-2026</t>
        </is>
      </c>
      <c r="B1411" s="1" t="n">
        <v>46162</v>
      </c>
      <c r="C1411" s="1" t="n">
        <v>46184</v>
      </c>
      <c r="D1411" t="inlineStr">
        <is>
          <t>GÄVLEBORGS LÄN</t>
        </is>
      </c>
      <c r="E1411" t="inlineStr">
        <is>
          <t>BOLLNÄS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23478-2026</t>
        </is>
      </c>
      <c r="B1412" s="1" t="n">
        <v>46163</v>
      </c>
      <c r="C1412" s="1" t="n">
        <v>46184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21565-2026</t>
        </is>
      </c>
      <c r="B1413" s="1" t="n">
        <v>46148</v>
      </c>
      <c r="C1413" s="1" t="n">
        <v>46184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23673-2026</t>
        </is>
      </c>
      <c r="B1414" s="1" t="n">
        <v>46164.38887731481</v>
      </c>
      <c r="C1414" s="1" t="n">
        <v>46184</v>
      </c>
      <c r="D1414" t="inlineStr">
        <is>
          <t>GÄVLEBORGS LÄN</t>
        </is>
      </c>
      <c r="E1414" t="inlineStr">
        <is>
          <t>BOLLNÄS</t>
        </is>
      </c>
      <c r="G1414" t="n">
        <v>20.9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17647-2026</t>
        </is>
      </c>
      <c r="B1415" s="1" t="n">
        <v>46121</v>
      </c>
      <c r="C1415" s="1" t="n">
        <v>46184</v>
      </c>
      <c r="D1415" t="inlineStr">
        <is>
          <t>GÄVLEBORGS LÄN</t>
        </is>
      </c>
      <c r="E1415" t="inlineStr">
        <is>
          <t>BOLLNÄS</t>
        </is>
      </c>
      <c r="G1415" t="n">
        <v>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23544-2026</t>
        </is>
      </c>
      <c r="B1416" s="1" t="n">
        <v>46163.55135416667</v>
      </c>
      <c r="C1416" s="1" t="n">
        <v>46184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21510-2026</t>
        </is>
      </c>
      <c r="B1417" s="1" t="n">
        <v>46148</v>
      </c>
      <c r="C1417" s="1" t="n">
        <v>46184</v>
      </c>
      <c r="D1417" t="inlineStr">
        <is>
          <t>GÄVLEBORGS LÄN</t>
        </is>
      </c>
      <c r="E1417" t="inlineStr">
        <is>
          <t>BOLLNÄS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18088-2026</t>
        </is>
      </c>
      <c r="B1418" s="1" t="n">
        <v>46125.54267361111</v>
      </c>
      <c r="C1418" s="1" t="n">
        <v>46184</v>
      </c>
      <c r="D1418" t="inlineStr">
        <is>
          <t>GÄVLEBORGS LÄN</t>
        </is>
      </c>
      <c r="E1418" t="inlineStr">
        <is>
          <t>BOLLNÄS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18092-2026</t>
        </is>
      </c>
      <c r="B1419" s="1" t="n">
        <v>46125</v>
      </c>
      <c r="C1419" s="1" t="n">
        <v>46184</v>
      </c>
      <c r="D1419" t="inlineStr">
        <is>
          <t>GÄVLEBORGS LÄN</t>
        </is>
      </c>
      <c r="E1419" t="inlineStr">
        <is>
          <t>BOLLNÄS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18010-2026</t>
        </is>
      </c>
      <c r="B1420" s="1" t="n">
        <v>46125.33712962963</v>
      </c>
      <c r="C1420" s="1" t="n">
        <v>46184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Holmen skog AB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18196-2026</t>
        </is>
      </c>
      <c r="B1421" s="1" t="n">
        <v>46125</v>
      </c>
      <c r="C1421" s="1" t="n">
        <v>46184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18203-2026</t>
        </is>
      </c>
      <c r="B1422" s="1" t="n">
        <v>46125</v>
      </c>
      <c r="C1422" s="1" t="n">
        <v>46184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38268-2023</t>
        </is>
      </c>
      <c r="B1423" s="1" t="n">
        <v>45161.61159722223</v>
      </c>
      <c r="C1423" s="1" t="n">
        <v>46184</v>
      </c>
      <c r="D1423" t="inlineStr">
        <is>
          <t>GÄVLEBORGS LÄN</t>
        </is>
      </c>
      <c r="E1423" t="inlineStr">
        <is>
          <t>BOLLNÄS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18361-2026</t>
        </is>
      </c>
      <c r="B1424" s="1" t="n">
        <v>46126</v>
      </c>
      <c r="C1424" s="1" t="n">
        <v>46184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Kyrkan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18364-2026</t>
        </is>
      </c>
      <c r="B1425" s="1" t="n">
        <v>46126.60865740741</v>
      </c>
      <c r="C1425" s="1" t="n">
        <v>46184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18182-2026</t>
        </is>
      </c>
      <c r="B1426" s="1" t="n">
        <v>46125</v>
      </c>
      <c r="C1426" s="1" t="n">
        <v>46184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10.1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18381-2026</t>
        </is>
      </c>
      <c r="B1427" s="1" t="n">
        <v>46126</v>
      </c>
      <c r="C1427" s="1" t="n">
        <v>46184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Kyrkan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21793-2026</t>
        </is>
      </c>
      <c r="B1428" s="1" t="n">
        <v>46150</v>
      </c>
      <c r="C1428" s="1" t="n">
        <v>46184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21485-2026</t>
        </is>
      </c>
      <c r="B1429" s="1" t="n">
        <v>46148</v>
      </c>
      <c r="C1429" s="1" t="n">
        <v>46184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21666-2026</t>
        </is>
      </c>
      <c r="B1430" s="1" t="n">
        <v>46149</v>
      </c>
      <c r="C1430" s="1" t="n">
        <v>46184</v>
      </c>
      <c r="D1430" t="inlineStr">
        <is>
          <t>GÄVLEBORGS LÄN</t>
        </is>
      </c>
      <c r="E1430" t="inlineStr">
        <is>
          <t>BOLLNÄS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21677-2026</t>
        </is>
      </c>
      <c r="B1431" s="1" t="n">
        <v>46149</v>
      </c>
      <c r="C1431" s="1" t="n">
        <v>46184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30792-2024</t>
        </is>
      </c>
      <c r="B1432" s="1" t="n">
        <v>45497.28164351852</v>
      </c>
      <c r="C1432" s="1" t="n">
        <v>46184</v>
      </c>
      <c r="D1432" t="inlineStr">
        <is>
          <t>GÄVLEBORGS LÄN</t>
        </is>
      </c>
      <c r="E1432" t="inlineStr">
        <is>
          <t>BOLLNÄS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30793-2024</t>
        </is>
      </c>
      <c r="B1433" s="1" t="n">
        <v>45497.28234953704</v>
      </c>
      <c r="C1433" s="1" t="n">
        <v>46184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21764-2026</t>
        </is>
      </c>
      <c r="B1434" s="1" t="n">
        <v>46150</v>
      </c>
      <c r="C1434" s="1" t="n">
        <v>46184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18228-2026</t>
        </is>
      </c>
      <c r="B1435" s="1" t="n">
        <v>46126.32944444445</v>
      </c>
      <c r="C1435" s="1" t="n">
        <v>46184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Kyrkan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23885-2026</t>
        </is>
      </c>
      <c r="B1436" s="1" t="n">
        <v>46167.44890046296</v>
      </c>
      <c r="C1436" s="1" t="n">
        <v>46184</v>
      </c>
      <c r="D1436" t="inlineStr">
        <is>
          <t>GÄVLEBORGS LÄN</t>
        </is>
      </c>
      <c r="E1436" t="inlineStr">
        <is>
          <t>BOLLNÄS</t>
        </is>
      </c>
      <c r="G1436" t="n">
        <v>16.3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23897-2026</t>
        </is>
      </c>
      <c r="B1437" s="1" t="n">
        <v>46167.46493055556</v>
      </c>
      <c r="C1437" s="1" t="n">
        <v>46184</v>
      </c>
      <c r="D1437" t="inlineStr">
        <is>
          <t>GÄVLEBORGS LÄN</t>
        </is>
      </c>
      <c r="E1437" t="inlineStr">
        <is>
          <t>BOLLNÄS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18317-2026</t>
        </is>
      </c>
      <c r="B1438" s="1" t="n">
        <v>46126.47783564815</v>
      </c>
      <c r="C1438" s="1" t="n">
        <v>46184</v>
      </c>
      <c r="D1438" t="inlineStr">
        <is>
          <t>GÄVLEBORGS LÄN</t>
        </is>
      </c>
      <c r="E1438" t="inlineStr">
        <is>
          <t>BOLLNÄS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34464-2021</t>
        </is>
      </c>
      <c r="B1439" s="1" t="n">
        <v>44381</v>
      </c>
      <c r="C1439" s="1" t="n">
        <v>46184</v>
      </c>
      <c r="D1439" t="inlineStr">
        <is>
          <t>GÄVLEBORGS LÄN</t>
        </is>
      </c>
      <c r="E1439" t="inlineStr">
        <is>
          <t>BOLLNÄS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2348-2024</t>
        </is>
      </c>
      <c r="B1440" s="1" t="n">
        <v>45310.5827662037</v>
      </c>
      <c r="C1440" s="1" t="n">
        <v>46184</v>
      </c>
      <c r="D1440" t="inlineStr">
        <is>
          <t>GÄVLEBORGS LÄN</t>
        </is>
      </c>
      <c r="E1440" t="inlineStr">
        <is>
          <t>BOLLNÄS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29881-2024</t>
        </is>
      </c>
      <c r="B1441" s="1" t="n">
        <v>45486.76454861111</v>
      </c>
      <c r="C1441" s="1" t="n">
        <v>46184</v>
      </c>
      <c r="D1441" t="inlineStr">
        <is>
          <t>GÄVLEBORGS LÄN</t>
        </is>
      </c>
      <c r="E1441" t="inlineStr">
        <is>
          <t>BOLLNÄS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17970-2026</t>
        </is>
      </c>
      <c r="B1442" s="1" t="n">
        <v>46123.49990740741</v>
      </c>
      <c r="C1442" s="1" t="n">
        <v>46184</v>
      </c>
      <c r="D1442" t="inlineStr">
        <is>
          <t>GÄVLEBORGS LÄN</t>
        </is>
      </c>
      <c r="E1442" t="inlineStr">
        <is>
          <t>BOLLNÄS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18025-2026</t>
        </is>
      </c>
      <c r="B1443" s="1" t="n">
        <v>46125</v>
      </c>
      <c r="C1443" s="1" t="n">
        <v>46184</v>
      </c>
      <c r="D1443" t="inlineStr">
        <is>
          <t>GÄVLEBORGS LÄN</t>
        </is>
      </c>
      <c r="E1443" t="inlineStr">
        <is>
          <t>BOLLNÄS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23939-2026</t>
        </is>
      </c>
      <c r="B1444" s="1" t="n">
        <v>46167.55577546296</v>
      </c>
      <c r="C1444" s="1" t="n">
        <v>46184</v>
      </c>
      <c r="D1444" t="inlineStr">
        <is>
          <t>GÄVLEBORGS LÄN</t>
        </is>
      </c>
      <c r="E1444" t="inlineStr">
        <is>
          <t>BOLLNÄS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21555-2026</t>
        </is>
      </c>
      <c r="B1445" s="1" t="n">
        <v>46148</v>
      </c>
      <c r="C1445" s="1" t="n">
        <v>46184</v>
      </c>
      <c r="D1445" t="inlineStr">
        <is>
          <t>GÄVLEBORGS LÄN</t>
        </is>
      </c>
      <c r="E1445" t="inlineStr">
        <is>
          <t>BOLLNÄS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21643-2026</t>
        </is>
      </c>
      <c r="B1446" s="1" t="n">
        <v>46149</v>
      </c>
      <c r="C1446" s="1" t="n">
        <v>46184</v>
      </c>
      <c r="D1446" t="inlineStr">
        <is>
          <t>GÄVLEBORGS LÄN</t>
        </is>
      </c>
      <c r="E1446" t="inlineStr">
        <is>
          <t>BOLLNÄS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21313-2026</t>
        </is>
      </c>
      <c r="B1447" s="1" t="n">
        <v>46147</v>
      </c>
      <c r="C1447" s="1" t="n">
        <v>46184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22551-2026</t>
        </is>
      </c>
      <c r="B1448" s="1" t="n">
        <v>46155</v>
      </c>
      <c r="C1448" s="1" t="n">
        <v>46184</v>
      </c>
      <c r="D1448" t="inlineStr">
        <is>
          <t>GÄVLEBORGS LÄN</t>
        </is>
      </c>
      <c r="E1448" t="inlineStr">
        <is>
          <t>BOLLNÄS</t>
        </is>
      </c>
      <c r="G1448" t="n">
        <v>7.9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21550-2026</t>
        </is>
      </c>
      <c r="B1449" s="1" t="n">
        <v>46148</v>
      </c>
      <c r="C1449" s="1" t="n">
        <v>46184</v>
      </c>
      <c r="D1449" t="inlineStr">
        <is>
          <t>GÄVLEBORGS LÄN</t>
        </is>
      </c>
      <c r="E1449" t="inlineStr">
        <is>
          <t>BOLLNÄS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24136-2026</t>
        </is>
      </c>
      <c r="B1450" s="1" t="n">
        <v>46168.45886574074</v>
      </c>
      <c r="C1450" s="1" t="n">
        <v>46184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38883-2022</t>
        </is>
      </c>
      <c r="B1451" s="1" t="n">
        <v>44816.56690972222</v>
      </c>
      <c r="C1451" s="1" t="n">
        <v>46184</v>
      </c>
      <c r="D1451" t="inlineStr">
        <is>
          <t>GÄVLEBORGS LÄN</t>
        </is>
      </c>
      <c r="E1451" t="inlineStr">
        <is>
          <t>BOLLNÄS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51137-2023</t>
        </is>
      </c>
      <c r="B1452" s="1" t="n">
        <v>45219</v>
      </c>
      <c r="C1452" s="1" t="n">
        <v>46184</v>
      </c>
      <c r="D1452" t="inlineStr">
        <is>
          <t>GÄVLEBORGS LÄN</t>
        </is>
      </c>
      <c r="E1452" t="inlineStr">
        <is>
          <t>BOLLNÄS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23881-2026</t>
        </is>
      </c>
      <c r="B1453" s="1" t="n">
        <v>46167.44730324074</v>
      </c>
      <c r="C1453" s="1" t="n">
        <v>46184</v>
      </c>
      <c r="D1453" t="inlineStr">
        <is>
          <t>GÄVLEBORGS LÄN</t>
        </is>
      </c>
      <c r="E1453" t="inlineStr">
        <is>
          <t>BOLLNÄS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21680-2026</t>
        </is>
      </c>
      <c r="B1454" s="1" t="n">
        <v>46149</v>
      </c>
      <c r="C1454" s="1" t="n">
        <v>46184</v>
      </c>
      <c r="D1454" t="inlineStr">
        <is>
          <t>GÄVLEBORGS LÄN</t>
        </is>
      </c>
      <c r="E1454" t="inlineStr">
        <is>
          <t>BOLLNÄS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38556-2021</t>
        </is>
      </c>
      <c r="B1455" s="1" t="n">
        <v>44407</v>
      </c>
      <c r="C1455" s="1" t="n">
        <v>46184</v>
      </c>
      <c r="D1455" t="inlineStr">
        <is>
          <t>GÄVLEBORGS LÄN</t>
        </is>
      </c>
      <c r="E1455" t="inlineStr">
        <is>
          <t>BOLLNÄS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23891-2026</t>
        </is>
      </c>
      <c r="B1456" s="1" t="n">
        <v>46167.45952546296</v>
      </c>
      <c r="C1456" s="1" t="n">
        <v>46184</v>
      </c>
      <c r="D1456" t="inlineStr">
        <is>
          <t>GÄVLEBORGS LÄN</t>
        </is>
      </c>
      <c r="E1456" t="inlineStr">
        <is>
          <t>BOLLNÄS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18397-2026</t>
        </is>
      </c>
      <c r="B1457" s="1" t="n">
        <v>46126</v>
      </c>
      <c r="C1457" s="1" t="n">
        <v>46184</v>
      </c>
      <c r="D1457" t="inlineStr">
        <is>
          <t>GÄVLEBORGS LÄN</t>
        </is>
      </c>
      <c r="E1457" t="inlineStr">
        <is>
          <t>BOLLNÄS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21399-2026</t>
        </is>
      </c>
      <c r="B1458" s="1" t="n">
        <v>46148</v>
      </c>
      <c r="C1458" s="1" t="n">
        <v>46184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52613-2024</t>
        </is>
      </c>
      <c r="B1459" s="1" t="n">
        <v>45609.84217592593</v>
      </c>
      <c r="C1459" s="1" t="n">
        <v>46184</v>
      </c>
      <c r="D1459" t="inlineStr">
        <is>
          <t>GÄVLEBORGS LÄN</t>
        </is>
      </c>
      <c r="E1459" t="inlineStr">
        <is>
          <t>BOLLNÄS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18195-2026</t>
        </is>
      </c>
      <c r="B1460" s="1" t="n">
        <v>46125</v>
      </c>
      <c r="C1460" s="1" t="n">
        <v>46184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21503-2026</t>
        </is>
      </c>
      <c r="B1461" s="1" t="n">
        <v>46148</v>
      </c>
      <c r="C1461" s="1" t="n">
        <v>46184</v>
      </c>
      <c r="D1461" t="inlineStr">
        <is>
          <t>GÄVLEBORGS LÄN</t>
        </is>
      </c>
      <c r="E1461" t="inlineStr">
        <is>
          <t>BOLLNÄS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23857-2026</t>
        </is>
      </c>
      <c r="B1462" s="1" t="n">
        <v>46167.38853009259</v>
      </c>
      <c r="C1462" s="1" t="n">
        <v>46184</v>
      </c>
      <c r="D1462" t="inlineStr">
        <is>
          <t>GÄVLEBORGS LÄN</t>
        </is>
      </c>
      <c r="E1462" t="inlineStr">
        <is>
          <t>BOLLNÄS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24147-2026</t>
        </is>
      </c>
      <c r="B1463" s="1" t="n">
        <v>46168.49009259259</v>
      </c>
      <c r="C1463" s="1" t="n">
        <v>46184</v>
      </c>
      <c r="D1463" t="inlineStr">
        <is>
          <t>GÄVLEBORGS LÄN</t>
        </is>
      </c>
      <c r="E1463" t="inlineStr">
        <is>
          <t>BOLLNÄS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18198-2026</t>
        </is>
      </c>
      <c r="B1464" s="1" t="n">
        <v>46125</v>
      </c>
      <c r="C1464" s="1" t="n">
        <v>46184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18211-2026</t>
        </is>
      </c>
      <c r="B1465" s="1" t="n">
        <v>46125</v>
      </c>
      <c r="C1465" s="1" t="n">
        <v>46184</v>
      </c>
      <c r="D1465" t="inlineStr">
        <is>
          <t>GÄVLEBORGS LÄN</t>
        </is>
      </c>
      <c r="E1465" t="inlineStr">
        <is>
          <t>BOLLNÄS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11947-2026</t>
        </is>
      </c>
      <c r="B1466" s="1" t="n">
        <v>46085</v>
      </c>
      <c r="C1466" s="1" t="n">
        <v>46184</v>
      </c>
      <c r="D1466" t="inlineStr">
        <is>
          <t>GÄVLEBORGS LÄN</t>
        </is>
      </c>
      <c r="E1466" t="inlineStr">
        <is>
          <t>BOLLNÄS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24231-2026</t>
        </is>
      </c>
      <c r="B1467" s="1" t="n">
        <v>46168.65699074074</v>
      </c>
      <c r="C1467" s="1" t="n">
        <v>46184</v>
      </c>
      <c r="D1467" t="inlineStr">
        <is>
          <t>GÄVLEBORGS LÄN</t>
        </is>
      </c>
      <c r="E1467" t="inlineStr">
        <is>
          <t>BOLLNÄS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21299-2026</t>
        </is>
      </c>
      <c r="B1468" s="1" t="n">
        <v>46147</v>
      </c>
      <c r="C1468" s="1" t="n">
        <v>46184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23856-2026</t>
        </is>
      </c>
      <c r="B1469" s="1" t="n">
        <v>46167.38784722222</v>
      </c>
      <c r="C1469" s="1" t="n">
        <v>46184</v>
      </c>
      <c r="D1469" t="inlineStr">
        <is>
          <t>GÄVLEBORGS LÄN</t>
        </is>
      </c>
      <c r="E1469" t="inlineStr">
        <is>
          <t>BOLLNÄS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18053-2026</t>
        </is>
      </c>
      <c r="B1470" s="1" t="n">
        <v>46125</v>
      </c>
      <c r="C1470" s="1" t="n">
        <v>46184</v>
      </c>
      <c r="D1470" t="inlineStr">
        <is>
          <t>GÄVLEBORGS LÄN</t>
        </is>
      </c>
      <c r="E1470" t="inlineStr">
        <is>
          <t>BOLLNÄS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12800-2025</t>
        </is>
      </c>
      <c r="B1471" s="1" t="n">
        <v>45733.61204861111</v>
      </c>
      <c r="C1471" s="1" t="n">
        <v>46184</v>
      </c>
      <c r="D1471" t="inlineStr">
        <is>
          <t>GÄVLEBORGS LÄN</t>
        </is>
      </c>
      <c r="E1471" t="inlineStr">
        <is>
          <t>BOLLNÄS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12867-2025</t>
        </is>
      </c>
      <c r="B1472" s="1" t="n">
        <v>45733.67521990741</v>
      </c>
      <c r="C1472" s="1" t="n">
        <v>46184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28658-2024</t>
        </is>
      </c>
      <c r="B1473" s="1" t="n">
        <v>45478.47041666666</v>
      </c>
      <c r="C1473" s="1" t="n">
        <v>46184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24083-2026</t>
        </is>
      </c>
      <c r="B1474" s="1" t="n">
        <v>46168</v>
      </c>
      <c r="C1474" s="1" t="n">
        <v>46184</v>
      </c>
      <c r="D1474" t="inlineStr">
        <is>
          <t>GÄVLEBORGS LÄN</t>
        </is>
      </c>
      <c r="E1474" t="inlineStr">
        <is>
          <t>BOLLNÄS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24557-2026</t>
        </is>
      </c>
      <c r="B1475" s="1" t="n">
        <v>46170.60248842592</v>
      </c>
      <c r="C1475" s="1" t="n">
        <v>46184</v>
      </c>
      <c r="D1475" t="inlineStr">
        <is>
          <t>GÄVLEBORGS LÄN</t>
        </is>
      </c>
      <c r="E1475" t="inlineStr">
        <is>
          <t>BOLLNÄS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24747-2026</t>
        </is>
      </c>
      <c r="B1476" s="1" t="n">
        <v>46171.59646990741</v>
      </c>
      <c r="C1476" s="1" t="n">
        <v>46184</v>
      </c>
      <c r="D1476" t="inlineStr">
        <is>
          <t>GÄVLEBORGS LÄN</t>
        </is>
      </c>
      <c r="E1476" t="inlineStr">
        <is>
          <t>BOLLNÄS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21769-2026</t>
        </is>
      </c>
      <c r="B1477" s="1" t="n">
        <v>46150</v>
      </c>
      <c r="C1477" s="1" t="n">
        <v>46184</v>
      </c>
      <c r="D1477" t="inlineStr">
        <is>
          <t>GÄVLEBORGS LÄN</t>
        </is>
      </c>
      <c r="E1477" t="inlineStr">
        <is>
          <t>BOLLNÄS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23206-2026</t>
        </is>
      </c>
      <c r="B1478" s="1" t="n">
        <v>46162</v>
      </c>
      <c r="C1478" s="1" t="n">
        <v>46184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23586-2026</t>
        </is>
      </c>
      <c r="B1479" s="1" t="n">
        <v>46163</v>
      </c>
      <c r="C1479" s="1" t="n">
        <v>46184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23796-2024</t>
        </is>
      </c>
      <c r="B1480" s="1" t="n">
        <v>45455.43077546296</v>
      </c>
      <c r="C1480" s="1" t="n">
        <v>46184</v>
      </c>
      <c r="D1480" t="inlineStr">
        <is>
          <t>GÄVLEBORGS LÄN</t>
        </is>
      </c>
      <c r="E1480" t="inlineStr">
        <is>
          <t>BOLLNÄS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18420-2026</t>
        </is>
      </c>
      <c r="B1481" s="1" t="n">
        <v>46126.87754629629</v>
      </c>
      <c r="C1481" s="1" t="n">
        <v>46184</v>
      </c>
      <c r="D1481" t="inlineStr">
        <is>
          <t>GÄVLEBORGS LÄN</t>
        </is>
      </c>
      <c r="E1481" t="inlineStr">
        <is>
          <t>BOLLNÄS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16391-2026</t>
        </is>
      </c>
      <c r="B1482" s="1" t="n">
        <v>46111</v>
      </c>
      <c r="C1482" s="1" t="n">
        <v>46184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öst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18721-2026</t>
        </is>
      </c>
      <c r="B1483" s="1" t="n">
        <v>46128</v>
      </c>
      <c r="C1483" s="1" t="n">
        <v>46184</v>
      </c>
      <c r="D1483" t="inlineStr">
        <is>
          <t>GÄVLEBORGS LÄN</t>
        </is>
      </c>
      <c r="E1483" t="inlineStr">
        <is>
          <t>BOLLNÄS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24695-2026</t>
        </is>
      </c>
      <c r="B1484" s="1" t="n">
        <v>46171.48971064815</v>
      </c>
      <c r="C1484" s="1" t="n">
        <v>46184</v>
      </c>
      <c r="D1484" t="inlineStr">
        <is>
          <t>GÄVLEBORGS LÄN</t>
        </is>
      </c>
      <c r="E1484" t="inlineStr">
        <is>
          <t>BOLLNÄS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23594-2026</t>
        </is>
      </c>
      <c r="B1485" s="1" t="n">
        <v>46163</v>
      </c>
      <c r="C1485" s="1" t="n">
        <v>46184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24076-2026</t>
        </is>
      </c>
      <c r="B1486" s="1" t="n">
        <v>46168</v>
      </c>
      <c r="C1486" s="1" t="n">
        <v>46184</v>
      </c>
      <c r="D1486" t="inlineStr">
        <is>
          <t>GÄVLEBORGS LÄN</t>
        </is>
      </c>
      <c r="E1486" t="inlineStr">
        <is>
          <t>BOLLNÄS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18672-2026</t>
        </is>
      </c>
      <c r="B1487" s="1" t="n">
        <v>46128</v>
      </c>
      <c r="C1487" s="1" t="n">
        <v>46184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18791-2026</t>
        </is>
      </c>
      <c r="B1488" s="1" t="n">
        <v>46128.60960648148</v>
      </c>
      <c r="C1488" s="1" t="n">
        <v>46184</v>
      </c>
      <c r="D1488" t="inlineStr">
        <is>
          <t>GÄVLEBORGS LÄN</t>
        </is>
      </c>
      <c r="E1488" t="inlineStr">
        <is>
          <t>BOLLNÄS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18792-2026</t>
        </is>
      </c>
      <c r="B1489" s="1" t="n">
        <v>46128</v>
      </c>
      <c r="C1489" s="1" t="n">
        <v>46184</v>
      </c>
      <c r="D1489" t="inlineStr">
        <is>
          <t>GÄVLEBORGS LÄN</t>
        </is>
      </c>
      <c r="E1489" t="inlineStr">
        <is>
          <t>BOLLNÄS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18865-2026</t>
        </is>
      </c>
      <c r="B1490" s="1" t="n">
        <v>46129</v>
      </c>
      <c r="C1490" s="1" t="n">
        <v>46184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24652-2026</t>
        </is>
      </c>
      <c r="B1491" s="1" t="n">
        <v>46171.42253472222</v>
      </c>
      <c r="C1491" s="1" t="n">
        <v>46184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15.7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18768-2026</t>
        </is>
      </c>
      <c r="B1492" s="1" t="n">
        <v>46128.56869212963</v>
      </c>
      <c r="C1492" s="1" t="n">
        <v>46184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öst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18794-2026</t>
        </is>
      </c>
      <c r="B1493" s="1" t="n">
        <v>46128.61241898148</v>
      </c>
      <c r="C1493" s="1" t="n">
        <v>46184</v>
      </c>
      <c r="D1493" t="inlineStr">
        <is>
          <t>GÄVLEBORGS LÄN</t>
        </is>
      </c>
      <c r="E1493" t="inlineStr">
        <is>
          <t>BOLLNÄS</t>
        </is>
      </c>
      <c r="G1493" t="n">
        <v>8.800000000000001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12935-2025</t>
        </is>
      </c>
      <c r="B1494" s="1" t="n">
        <v>45734.35393518519</v>
      </c>
      <c r="C1494" s="1" t="n">
        <v>46184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20778-2023</t>
        </is>
      </c>
      <c r="B1495" s="1" t="n">
        <v>45058.5878125</v>
      </c>
      <c r="C1495" s="1" t="n">
        <v>46184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Sveaskog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17776-2025</t>
        </is>
      </c>
      <c r="B1496" s="1" t="n">
        <v>45758.52517361111</v>
      </c>
      <c r="C1496" s="1" t="n">
        <v>46184</v>
      </c>
      <c r="D1496" t="inlineStr">
        <is>
          <t>GÄVLEBORGS LÄN</t>
        </is>
      </c>
      <c r="E1496" t="inlineStr">
        <is>
          <t>BOLLNÄS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16423-2026</t>
        </is>
      </c>
      <c r="B1497" s="1" t="n">
        <v>46111</v>
      </c>
      <c r="C1497" s="1" t="n">
        <v>46184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öst AB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16349-2026</t>
        </is>
      </c>
      <c r="B1498" s="1" t="n">
        <v>46111</v>
      </c>
      <c r="C1498" s="1" t="n">
        <v>46184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öst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45629-2023</t>
        </is>
      </c>
      <c r="B1499" s="1" t="n">
        <v>45194</v>
      </c>
      <c r="C1499" s="1" t="n">
        <v>46184</v>
      </c>
      <c r="D1499" t="inlineStr">
        <is>
          <t>GÄVLEBORGS LÄN</t>
        </is>
      </c>
      <c r="E1499" t="inlineStr">
        <is>
          <t>BOLLNÄS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24743-2026</t>
        </is>
      </c>
      <c r="B1500" s="1" t="n">
        <v>46171.59243055555</v>
      </c>
      <c r="C1500" s="1" t="n">
        <v>46184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24748-2026</t>
        </is>
      </c>
      <c r="B1501" s="1" t="n">
        <v>46171.59836805556</v>
      </c>
      <c r="C1501" s="1" t="n">
        <v>46184</v>
      </c>
      <c r="D1501" t="inlineStr">
        <is>
          <t>GÄVLEBORGS LÄN</t>
        </is>
      </c>
      <c r="E1501" t="inlineStr">
        <is>
          <t>BOLLNÄS</t>
        </is>
      </c>
      <c r="G1501" t="n">
        <v>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24753-2026</t>
        </is>
      </c>
      <c r="B1502" s="1" t="n">
        <v>46171.60503472222</v>
      </c>
      <c r="C1502" s="1" t="n">
        <v>46184</v>
      </c>
      <c r="D1502" t="inlineStr">
        <is>
          <t>GÄVLEBORGS LÄN</t>
        </is>
      </c>
      <c r="E1502" t="inlineStr">
        <is>
          <t>BOLLNÄS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18664-2026</t>
        </is>
      </c>
      <c r="B1503" s="1" t="n">
        <v>46128</v>
      </c>
      <c r="C1503" s="1" t="n">
        <v>46184</v>
      </c>
      <c r="D1503" t="inlineStr">
        <is>
          <t>GÄVLEBORGS LÄN</t>
        </is>
      </c>
      <c r="E1503" t="inlineStr">
        <is>
          <t>BOLLNÄS</t>
        </is>
      </c>
      <c r="G1503" t="n">
        <v>7.9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18905-2026</t>
        </is>
      </c>
      <c r="B1504" s="1" t="n">
        <v>46129</v>
      </c>
      <c r="C1504" s="1" t="n">
        <v>46184</v>
      </c>
      <c r="D1504" t="inlineStr">
        <is>
          <t>GÄVLEBORGS LÄN</t>
        </is>
      </c>
      <c r="E1504" t="inlineStr">
        <is>
          <t>BOLLNÄS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22187-2026</t>
        </is>
      </c>
      <c r="B1505" s="1" t="n">
        <v>46153</v>
      </c>
      <c r="C1505" s="1" t="n">
        <v>46184</v>
      </c>
      <c r="D1505" t="inlineStr">
        <is>
          <t>GÄVLEBORGS LÄN</t>
        </is>
      </c>
      <c r="E1505" t="inlineStr">
        <is>
          <t>BOLLNÄS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16020-2024</t>
        </is>
      </c>
      <c r="B1506" s="1" t="n">
        <v>45405</v>
      </c>
      <c r="C1506" s="1" t="n">
        <v>46184</v>
      </c>
      <c r="D1506" t="inlineStr">
        <is>
          <t>GÄVLEBORGS LÄN</t>
        </is>
      </c>
      <c r="E1506" t="inlineStr">
        <is>
          <t>BOLLNÄS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12005-2026</t>
        </is>
      </c>
      <c r="B1507" s="1" t="n">
        <v>46085</v>
      </c>
      <c r="C1507" s="1" t="n">
        <v>46184</v>
      </c>
      <c r="D1507" t="inlineStr">
        <is>
          <t>GÄVLEBORGS LÄN</t>
        </is>
      </c>
      <c r="E1507" t="inlineStr">
        <is>
          <t>BOLLNÄS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24461-2026</t>
        </is>
      </c>
      <c r="B1508" s="1" t="n">
        <v>46170</v>
      </c>
      <c r="C1508" s="1" t="n">
        <v>46184</v>
      </c>
      <c r="D1508" t="inlineStr">
        <is>
          <t>GÄVLEBORGS LÄN</t>
        </is>
      </c>
      <c r="E1508" t="inlineStr">
        <is>
          <t>BOLLNÄS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21490-2026</t>
        </is>
      </c>
      <c r="B1509" s="1" t="n">
        <v>46148</v>
      </c>
      <c r="C1509" s="1" t="n">
        <v>46184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23296-2026</t>
        </is>
      </c>
      <c r="B1510" s="1" t="n">
        <v>46162</v>
      </c>
      <c r="C1510" s="1" t="n">
        <v>46184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23298-2026</t>
        </is>
      </c>
      <c r="B1511" s="1" t="n">
        <v>46162</v>
      </c>
      <c r="C1511" s="1" t="n">
        <v>46184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24749-2026</t>
        </is>
      </c>
      <c r="B1512" s="1" t="n">
        <v>46171.59935185185</v>
      </c>
      <c r="C1512" s="1" t="n">
        <v>46184</v>
      </c>
      <c r="D1512" t="inlineStr">
        <is>
          <t>GÄVLEBORGS LÄN</t>
        </is>
      </c>
      <c r="E1512" t="inlineStr">
        <is>
          <t>BOLLNÄS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24751-2026</t>
        </is>
      </c>
      <c r="B1513" s="1" t="n">
        <v>46171.60082175926</v>
      </c>
      <c r="C1513" s="1" t="n">
        <v>46184</v>
      </c>
      <c r="D1513" t="inlineStr">
        <is>
          <t>GÄVLEBORGS LÄN</t>
        </is>
      </c>
      <c r="E1513" t="inlineStr">
        <is>
          <t>BOLLNÄS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24658-2026</t>
        </is>
      </c>
      <c r="B1514" s="1" t="n">
        <v>46171.42936342592</v>
      </c>
      <c r="C1514" s="1" t="n">
        <v>46184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15.5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60425-2024</t>
        </is>
      </c>
      <c r="B1515" s="1" t="n">
        <v>45643.5507175926</v>
      </c>
      <c r="C1515" s="1" t="n">
        <v>46184</v>
      </c>
      <c r="D1515" t="inlineStr">
        <is>
          <t>GÄVLEBORGS LÄN</t>
        </is>
      </c>
      <c r="E1515" t="inlineStr">
        <is>
          <t>BOLLNÄS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13547-2026</t>
        </is>
      </c>
      <c r="B1516" s="1" t="n">
        <v>46094</v>
      </c>
      <c r="C1516" s="1" t="n">
        <v>46184</v>
      </c>
      <c r="D1516" t="inlineStr">
        <is>
          <t>GÄVLEBORGS LÄN</t>
        </is>
      </c>
      <c r="E1516" t="inlineStr">
        <is>
          <t>BOLLNÄS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23262-2026</t>
        </is>
      </c>
      <c r="B1517" s="1" t="n">
        <v>46162</v>
      </c>
      <c r="C1517" s="1" t="n">
        <v>46184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23331-2026</t>
        </is>
      </c>
      <c r="B1518" s="1" t="n">
        <v>46162</v>
      </c>
      <c r="C1518" s="1" t="n">
        <v>46184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18462-2026</t>
        </is>
      </c>
      <c r="B1519" s="1" t="n">
        <v>46127</v>
      </c>
      <c r="C1519" s="1" t="n">
        <v>46184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18539-2026</t>
        </is>
      </c>
      <c r="B1520" s="1" t="n">
        <v>46127.56037037037</v>
      </c>
      <c r="C1520" s="1" t="n">
        <v>46184</v>
      </c>
      <c r="D1520" t="inlineStr">
        <is>
          <t>GÄVLEBORGS LÄN</t>
        </is>
      </c>
      <c r="E1520" t="inlineStr">
        <is>
          <t>BOLLNÄS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22190-2026</t>
        </is>
      </c>
      <c r="B1521" s="1" t="n">
        <v>46153</v>
      </c>
      <c r="C1521" s="1" t="n">
        <v>46184</v>
      </c>
      <c r="D1521" t="inlineStr">
        <is>
          <t>GÄVLEBORGS LÄN</t>
        </is>
      </c>
      <c r="E1521" t="inlineStr">
        <is>
          <t>BOLLNÄS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18842-2026</t>
        </is>
      </c>
      <c r="B1522" s="1" t="n">
        <v>46129.32571759259</v>
      </c>
      <c r="C1522" s="1" t="n">
        <v>46184</v>
      </c>
      <c r="D1522" t="inlineStr">
        <is>
          <t>GÄVLEBORGS LÄN</t>
        </is>
      </c>
      <c r="E1522" t="inlineStr">
        <is>
          <t>BOLLNÄS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18832-2026</t>
        </is>
      </c>
      <c r="B1523" s="1" t="n">
        <v>46129</v>
      </c>
      <c r="C1523" s="1" t="n">
        <v>46184</v>
      </c>
      <c r="D1523" t="inlineStr">
        <is>
          <t>GÄVLEBORGS LÄN</t>
        </is>
      </c>
      <c r="E1523" t="inlineStr">
        <is>
          <t>BOLLNÄS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18723-2026</t>
        </is>
      </c>
      <c r="B1524" s="1" t="n">
        <v>46128</v>
      </c>
      <c r="C1524" s="1" t="n">
        <v>46184</v>
      </c>
      <c r="D1524" t="inlineStr">
        <is>
          <t>GÄVLEBORGS LÄN</t>
        </is>
      </c>
      <c r="E1524" t="inlineStr">
        <is>
          <t>BOLLNÄS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12870-2026</t>
        </is>
      </c>
      <c r="B1525" s="1" t="n">
        <v>46092</v>
      </c>
      <c r="C1525" s="1" t="n">
        <v>46184</v>
      </c>
      <c r="D1525" t="inlineStr">
        <is>
          <t>GÄVLEBORGS LÄN</t>
        </is>
      </c>
      <c r="E1525" t="inlineStr">
        <is>
          <t>BOLLNÄS</t>
        </is>
      </c>
      <c r="G1525" t="n">
        <v>8.199999999999999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18982-2026</t>
        </is>
      </c>
      <c r="B1526" s="1" t="n">
        <v>46129</v>
      </c>
      <c r="C1526" s="1" t="n">
        <v>46184</v>
      </c>
      <c r="D1526" t="inlineStr">
        <is>
          <t>GÄVLEBORGS LÄN</t>
        </is>
      </c>
      <c r="E1526" t="inlineStr">
        <is>
          <t>BOLLNÄS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24859-2026</t>
        </is>
      </c>
      <c r="B1527" s="1" t="n">
        <v>46174.39693287037</v>
      </c>
      <c r="C1527" s="1" t="n">
        <v>46184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24925-2026</t>
        </is>
      </c>
      <c r="B1528" s="1" t="n">
        <v>46174.51082175926</v>
      </c>
      <c r="C1528" s="1" t="n">
        <v>46184</v>
      </c>
      <c r="D1528" t="inlineStr">
        <is>
          <t>GÄVLEBORGS LÄN</t>
        </is>
      </c>
      <c r="E1528" t="inlineStr">
        <is>
          <t>BOLLNÄS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19288-2026</t>
        </is>
      </c>
      <c r="B1529" s="1" t="n">
        <v>46133</v>
      </c>
      <c r="C1529" s="1" t="n">
        <v>46184</v>
      </c>
      <c r="D1529" t="inlineStr">
        <is>
          <t>GÄVLEBORGS LÄN</t>
        </is>
      </c>
      <c r="E1529" t="inlineStr">
        <is>
          <t>BOLLNÄS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24081-2026</t>
        </is>
      </c>
      <c r="B1530" s="1" t="n">
        <v>46168</v>
      </c>
      <c r="C1530" s="1" t="n">
        <v>46184</v>
      </c>
      <c r="D1530" t="inlineStr">
        <is>
          <t>GÄVLEBORGS LÄN</t>
        </is>
      </c>
      <c r="E1530" t="inlineStr">
        <is>
          <t>BOLLNÄS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19391-2026</t>
        </is>
      </c>
      <c r="B1531" s="1" t="n">
        <v>46133</v>
      </c>
      <c r="C1531" s="1" t="n">
        <v>46184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19403-2026</t>
        </is>
      </c>
      <c r="B1532" s="1" t="n">
        <v>46133</v>
      </c>
      <c r="C1532" s="1" t="n">
        <v>46184</v>
      </c>
      <c r="D1532" t="inlineStr">
        <is>
          <t>GÄVLEBORGS LÄN</t>
        </is>
      </c>
      <c r="E1532" t="inlineStr">
        <is>
          <t>BOLLNÄS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19396-2026</t>
        </is>
      </c>
      <c r="B1533" s="1" t="n">
        <v>46133</v>
      </c>
      <c r="C1533" s="1" t="n">
        <v>46184</v>
      </c>
      <c r="D1533" t="inlineStr">
        <is>
          <t>GÄVLEBORGS LÄN</t>
        </is>
      </c>
      <c r="E1533" t="inlineStr">
        <is>
          <t>BOLLNÄS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19480-2026</t>
        </is>
      </c>
      <c r="B1534" s="1" t="n">
        <v>46133</v>
      </c>
      <c r="C1534" s="1" t="n">
        <v>46184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19153-2026</t>
        </is>
      </c>
      <c r="B1535" s="1" t="n">
        <v>46132</v>
      </c>
      <c r="C1535" s="1" t="n">
        <v>46184</v>
      </c>
      <c r="D1535" t="inlineStr">
        <is>
          <t>GÄVLEBORGS LÄN</t>
        </is>
      </c>
      <c r="E1535" t="inlineStr">
        <is>
          <t>BOLLNÄS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19159-2026</t>
        </is>
      </c>
      <c r="B1536" s="1" t="n">
        <v>46132</v>
      </c>
      <c r="C1536" s="1" t="n">
        <v>46184</v>
      </c>
      <c r="D1536" t="inlineStr">
        <is>
          <t>GÄVLEBORGS LÄN</t>
        </is>
      </c>
      <c r="E1536" t="inlineStr">
        <is>
          <t>BOLLNÄS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19340-2026</t>
        </is>
      </c>
      <c r="B1537" s="1" t="n">
        <v>46133</v>
      </c>
      <c r="C1537" s="1" t="n">
        <v>46184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19228-2026</t>
        </is>
      </c>
      <c r="B1538" s="1" t="n">
        <v>46132</v>
      </c>
      <c r="C1538" s="1" t="n">
        <v>46184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19117-2026</t>
        </is>
      </c>
      <c r="B1539" s="1" t="n">
        <v>46132.46540509259</v>
      </c>
      <c r="C1539" s="1" t="n">
        <v>46184</v>
      </c>
      <c r="D1539" t="inlineStr">
        <is>
          <t>GÄVLEBORGS LÄN</t>
        </is>
      </c>
      <c r="E1539" t="inlineStr">
        <is>
          <t>BOLLNÄS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19234-2026</t>
        </is>
      </c>
      <c r="B1540" s="1" t="n">
        <v>46132</v>
      </c>
      <c r="C1540" s="1" t="n">
        <v>46184</v>
      </c>
      <c r="D1540" t="inlineStr">
        <is>
          <t>GÄVLEBORGS LÄN</t>
        </is>
      </c>
      <c r="E1540" t="inlineStr">
        <is>
          <t>BOLLNÄS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19333-2026</t>
        </is>
      </c>
      <c r="B1541" s="1" t="n">
        <v>46133</v>
      </c>
      <c r="C1541" s="1" t="n">
        <v>46184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19276-2026</t>
        </is>
      </c>
      <c r="B1542" s="1" t="n">
        <v>46133.28324074074</v>
      </c>
      <c r="C1542" s="1" t="n">
        <v>46184</v>
      </c>
      <c r="D1542" t="inlineStr">
        <is>
          <t>GÄVLEBORGS LÄN</t>
        </is>
      </c>
      <c r="E1542" t="inlineStr">
        <is>
          <t>BOLLNÄS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40928-2024</t>
        </is>
      </c>
      <c r="B1543" s="1" t="n">
        <v>45558.64020833333</v>
      </c>
      <c r="C1543" s="1" t="n">
        <v>46184</v>
      </c>
      <c r="D1543" t="inlineStr">
        <is>
          <t>GÄVLEBORGS LÄN</t>
        </is>
      </c>
      <c r="E1543" t="inlineStr">
        <is>
          <t>BOLLNÄS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19197-2026</t>
        </is>
      </c>
      <c r="B1544" s="1" t="n">
        <v>46132</v>
      </c>
      <c r="C1544" s="1" t="n">
        <v>46184</v>
      </c>
      <c r="D1544" t="inlineStr">
        <is>
          <t>GÄVLEBORGS LÄN</t>
        </is>
      </c>
      <c r="E1544" t="inlineStr">
        <is>
          <t>BOLLNÄS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19284-2026</t>
        </is>
      </c>
      <c r="B1545" s="1" t="n">
        <v>46133.30619212963</v>
      </c>
      <c r="C1545" s="1" t="n">
        <v>46184</v>
      </c>
      <c r="D1545" t="inlineStr">
        <is>
          <t>GÄVLEBORGS LÄN</t>
        </is>
      </c>
      <c r="E1545" t="inlineStr">
        <is>
          <t>BOLLNÄS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69620-2021</t>
        </is>
      </c>
      <c r="B1546" s="1" t="n">
        <v>44532.40591435185</v>
      </c>
      <c r="C1546" s="1" t="n">
        <v>46184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22303-2026</t>
        </is>
      </c>
      <c r="B1547" s="1" t="n">
        <v>46154</v>
      </c>
      <c r="C1547" s="1" t="n">
        <v>46184</v>
      </c>
      <c r="D1547" t="inlineStr">
        <is>
          <t>GÄVLEBORGS LÄN</t>
        </is>
      </c>
      <c r="E1547" t="inlineStr">
        <is>
          <t>BOLLNÄS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19274-2026</t>
        </is>
      </c>
      <c r="B1548" s="1" t="n">
        <v>46133.27600694444</v>
      </c>
      <c r="C1548" s="1" t="n">
        <v>46184</v>
      </c>
      <c r="D1548" t="inlineStr">
        <is>
          <t>GÄVLEBORGS LÄN</t>
        </is>
      </c>
      <c r="E1548" t="inlineStr">
        <is>
          <t>BOLLNÄS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19278-2026</t>
        </is>
      </c>
      <c r="B1549" s="1" t="n">
        <v>46133.28903935185</v>
      </c>
      <c r="C1549" s="1" t="n">
        <v>46184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19414-2026</t>
        </is>
      </c>
      <c r="B1550" s="1" t="n">
        <v>46133</v>
      </c>
      <c r="C1550" s="1" t="n">
        <v>46184</v>
      </c>
      <c r="D1550" t="inlineStr">
        <is>
          <t>GÄVLEBORGS LÄN</t>
        </is>
      </c>
      <c r="E1550" t="inlineStr">
        <is>
          <t>BOLLNÄS</t>
        </is>
      </c>
      <c r="F1550" t="inlineStr">
        <is>
          <t>Bergvik skog väst AB</t>
        </is>
      </c>
      <c r="G1550" t="n">
        <v>14.5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19303-2026</t>
        </is>
      </c>
      <c r="B1551" s="1" t="n">
        <v>46133</v>
      </c>
      <c r="C1551" s="1" t="n">
        <v>46184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22193-2026</t>
        </is>
      </c>
      <c r="B1552" s="1" t="n">
        <v>46153</v>
      </c>
      <c r="C1552" s="1" t="n">
        <v>46184</v>
      </c>
      <c r="D1552" t="inlineStr">
        <is>
          <t>GÄVLEBORGS LÄN</t>
        </is>
      </c>
      <c r="E1552" t="inlineStr">
        <is>
          <t>BOLLNÄS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22195-2026</t>
        </is>
      </c>
      <c r="B1553" s="1" t="n">
        <v>46153</v>
      </c>
      <c r="C1553" s="1" t="n">
        <v>46184</v>
      </c>
      <c r="D1553" t="inlineStr">
        <is>
          <t>GÄVLEBORGS LÄN</t>
        </is>
      </c>
      <c r="E1553" t="inlineStr">
        <is>
          <t>BOLLNÄS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37194-2023</t>
        </is>
      </c>
      <c r="B1554" s="1" t="n">
        <v>45155.66672453703</v>
      </c>
      <c r="C1554" s="1" t="n">
        <v>46184</v>
      </c>
      <c r="D1554" t="inlineStr">
        <is>
          <t>GÄVLEBORGS LÄN</t>
        </is>
      </c>
      <c r="E1554" t="inlineStr">
        <is>
          <t>BOLLNÄS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19074-2026</t>
        </is>
      </c>
      <c r="B1555" s="1" t="n">
        <v>46132.38482638889</v>
      </c>
      <c r="C1555" s="1" t="n">
        <v>46184</v>
      </c>
      <c r="D1555" t="inlineStr">
        <is>
          <t>GÄVLEBORGS LÄN</t>
        </is>
      </c>
      <c r="E1555" t="inlineStr">
        <is>
          <t>BOLLNÄS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37233-2023</t>
        </is>
      </c>
      <c r="B1556" s="1" t="n">
        <v>45155</v>
      </c>
      <c r="C1556" s="1" t="n">
        <v>46184</v>
      </c>
      <c r="D1556" t="inlineStr">
        <is>
          <t>GÄVLEBORGS LÄN</t>
        </is>
      </c>
      <c r="E1556" t="inlineStr">
        <is>
          <t>BOLLNÄS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19156-2026</t>
        </is>
      </c>
      <c r="B1557" s="1" t="n">
        <v>46132</v>
      </c>
      <c r="C1557" s="1" t="n">
        <v>46184</v>
      </c>
      <c r="D1557" t="inlineStr">
        <is>
          <t>GÄVLEBORGS LÄN</t>
        </is>
      </c>
      <c r="E1557" t="inlineStr">
        <is>
          <t>BOLLNÄS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19188-2026</t>
        </is>
      </c>
      <c r="B1558" s="1" t="n">
        <v>46132</v>
      </c>
      <c r="C1558" s="1" t="n">
        <v>46184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21700-2026</t>
        </is>
      </c>
      <c r="B1559" s="1" t="n">
        <v>46149</v>
      </c>
      <c r="C1559" s="1" t="n">
        <v>46184</v>
      </c>
      <c r="D1559" t="inlineStr">
        <is>
          <t>GÄVLEBORGS LÄN</t>
        </is>
      </c>
      <c r="E1559" t="inlineStr">
        <is>
          <t>BOLLNÄS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19118-2026</t>
        </is>
      </c>
      <c r="B1560" s="1" t="n">
        <v>46132.46633101852</v>
      </c>
      <c r="C1560" s="1" t="n">
        <v>46184</v>
      </c>
      <c r="D1560" t="inlineStr">
        <is>
          <t>GÄVLEBORGS LÄN</t>
        </is>
      </c>
      <c r="E1560" t="inlineStr">
        <is>
          <t>BOLLNÄS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19124-2026</t>
        </is>
      </c>
      <c r="B1561" s="1" t="n">
        <v>46132</v>
      </c>
      <c r="C1561" s="1" t="n">
        <v>46184</v>
      </c>
      <c r="D1561" t="inlineStr">
        <is>
          <t>GÄVLEBORGS LÄN</t>
        </is>
      </c>
      <c r="E1561" t="inlineStr">
        <is>
          <t>BOLLNÄS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22606-2026</t>
        </is>
      </c>
      <c r="B1562" s="1" t="n">
        <v>46155</v>
      </c>
      <c r="C1562" s="1" t="n">
        <v>46184</v>
      </c>
      <c r="D1562" t="inlineStr">
        <is>
          <t>GÄVLEBORGS LÄN</t>
        </is>
      </c>
      <c r="E1562" t="inlineStr">
        <is>
          <t>BOLLNÄS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55520-2023</t>
        </is>
      </c>
      <c r="B1563" s="1" t="n">
        <v>45238</v>
      </c>
      <c r="C1563" s="1" t="n">
        <v>46184</v>
      </c>
      <c r="D1563" t="inlineStr">
        <is>
          <t>GÄVLEBORGS LÄN</t>
        </is>
      </c>
      <c r="E1563" t="inlineStr">
        <is>
          <t>BOLLNÄS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19235-2026</t>
        </is>
      </c>
      <c r="B1564" s="1" t="n">
        <v>46132</v>
      </c>
      <c r="C1564" s="1" t="n">
        <v>46184</v>
      </c>
      <c r="D1564" t="inlineStr">
        <is>
          <t>GÄVLEBORGS LÄN</t>
        </is>
      </c>
      <c r="E1564" t="inlineStr">
        <is>
          <t>BOLLNÄS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19269-2026</t>
        </is>
      </c>
      <c r="B1565" s="1" t="n">
        <v>46133.26616898148</v>
      </c>
      <c r="C1565" s="1" t="n">
        <v>46184</v>
      </c>
      <c r="D1565" t="inlineStr">
        <is>
          <t>GÄVLEBORGS LÄN</t>
        </is>
      </c>
      <c r="E1565" t="inlineStr">
        <is>
          <t>BOLLNÄS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19304-2026</t>
        </is>
      </c>
      <c r="B1566" s="1" t="n">
        <v>46133.35445601852</v>
      </c>
      <c r="C1566" s="1" t="n">
        <v>46184</v>
      </c>
      <c r="D1566" t="inlineStr">
        <is>
          <t>GÄVLEBORGS LÄN</t>
        </is>
      </c>
      <c r="E1566" t="inlineStr">
        <is>
          <t>BOLLNÄS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19306-2026</t>
        </is>
      </c>
      <c r="B1567" s="1" t="n">
        <v>46133</v>
      </c>
      <c r="C1567" s="1" t="n">
        <v>46184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Kyrkan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16587-2026</t>
        </is>
      </c>
      <c r="B1568" s="1" t="n">
        <v>46112.58347222222</v>
      </c>
      <c r="C1568" s="1" t="n">
        <v>46184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38837-2024</t>
        </is>
      </c>
      <c r="B1569" s="1" t="n">
        <v>45547</v>
      </c>
      <c r="C1569" s="1" t="n">
        <v>46184</v>
      </c>
      <c r="D1569" t="inlineStr">
        <is>
          <t>GÄVLEBORGS LÄN</t>
        </is>
      </c>
      <c r="E1569" t="inlineStr">
        <is>
          <t>BOLLNÄS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13167-2026</t>
        </is>
      </c>
      <c r="B1570" s="1" t="n">
        <v>46093</v>
      </c>
      <c r="C1570" s="1" t="n">
        <v>46184</v>
      </c>
      <c r="D1570" t="inlineStr">
        <is>
          <t>GÄVLEBORGS LÄN</t>
        </is>
      </c>
      <c r="E1570" t="inlineStr">
        <is>
          <t>BOLLNÄS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24885-2026</t>
        </is>
      </c>
      <c r="B1571" s="1" t="n">
        <v>46174.44864583333</v>
      </c>
      <c r="C1571" s="1" t="n">
        <v>46184</v>
      </c>
      <c r="D1571" t="inlineStr">
        <is>
          <t>GÄVLEBORGS LÄN</t>
        </is>
      </c>
      <c r="E1571" t="inlineStr">
        <is>
          <t>BOLLNÄS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16964-2026</t>
        </is>
      </c>
      <c r="B1572" s="1" t="n">
        <v>46114</v>
      </c>
      <c r="C1572" s="1" t="n">
        <v>46184</v>
      </c>
      <c r="D1572" t="inlineStr">
        <is>
          <t>GÄVLEBORGS LÄN</t>
        </is>
      </c>
      <c r="E1572" t="inlineStr">
        <is>
          <t>BOLLNÄS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19075-2026</t>
        </is>
      </c>
      <c r="B1573" s="1" t="n">
        <v>46132.38583333333</v>
      </c>
      <c r="C1573" s="1" t="n">
        <v>46184</v>
      </c>
      <c r="D1573" t="inlineStr">
        <is>
          <t>GÄVLEBORGS LÄN</t>
        </is>
      </c>
      <c r="E1573" t="inlineStr">
        <is>
          <t>BOLLNÄS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19324-2026</t>
        </is>
      </c>
      <c r="B1574" s="1" t="n">
        <v>46133</v>
      </c>
      <c r="C1574" s="1" t="n">
        <v>46184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8.1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19063-2026</t>
        </is>
      </c>
      <c r="B1575" s="1" t="n">
        <v>46132</v>
      </c>
      <c r="C1575" s="1" t="n">
        <v>46184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25204-2026</t>
        </is>
      </c>
      <c r="B1576" s="1" t="n">
        <v>46175.59976851852</v>
      </c>
      <c r="C1576" s="1" t="n">
        <v>46184</v>
      </c>
      <c r="D1576" t="inlineStr">
        <is>
          <t>GÄVLEBORGS LÄN</t>
        </is>
      </c>
      <c r="E1576" t="inlineStr">
        <is>
          <t>BOLLNÄS</t>
        </is>
      </c>
      <c r="G1576" t="n">
        <v>10.1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19279-2026</t>
        </is>
      </c>
      <c r="B1577" s="1" t="n">
        <v>46133.29304398148</v>
      </c>
      <c r="C1577" s="1" t="n">
        <v>46184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19163-2026</t>
        </is>
      </c>
      <c r="B1578" s="1" t="n">
        <v>46132</v>
      </c>
      <c r="C1578" s="1" t="n">
        <v>46184</v>
      </c>
      <c r="D1578" t="inlineStr">
        <is>
          <t>GÄVLEBORGS LÄN</t>
        </is>
      </c>
      <c r="E1578" t="inlineStr">
        <is>
          <t>BOLLNÄS</t>
        </is>
      </c>
      <c r="G1578" t="n">
        <v>14.1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19169-2026</t>
        </is>
      </c>
      <c r="B1579" s="1" t="n">
        <v>46132</v>
      </c>
      <c r="C1579" s="1" t="n">
        <v>46184</v>
      </c>
      <c r="D1579" t="inlineStr">
        <is>
          <t>GÄVLEBORGS LÄN</t>
        </is>
      </c>
      <c r="E1579" t="inlineStr">
        <is>
          <t>BOLLNÄS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24897-2026</t>
        </is>
      </c>
      <c r="B1580" s="1" t="n">
        <v>46174.46665509259</v>
      </c>
      <c r="C1580" s="1" t="n">
        <v>46184</v>
      </c>
      <c r="D1580" t="inlineStr">
        <is>
          <t>GÄVLEBORGS LÄN</t>
        </is>
      </c>
      <c r="E1580" t="inlineStr">
        <is>
          <t>BOLLNÄS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19115-2026</t>
        </is>
      </c>
      <c r="B1581" s="1" t="n">
        <v>46132.46232638889</v>
      </c>
      <c r="C1581" s="1" t="n">
        <v>46184</v>
      </c>
      <c r="D1581" t="inlineStr">
        <is>
          <t>GÄVLEBORGS LÄN</t>
        </is>
      </c>
      <c r="E1581" t="inlineStr">
        <is>
          <t>BOLLNÄS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19399-2026</t>
        </is>
      </c>
      <c r="B1582" s="1" t="n">
        <v>46133</v>
      </c>
      <c r="C1582" s="1" t="n">
        <v>46184</v>
      </c>
      <c r="D1582" t="inlineStr">
        <is>
          <t>GÄVLEBORGS LÄN</t>
        </is>
      </c>
      <c r="E1582" t="inlineStr">
        <is>
          <t>BOLLNÄS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19402-2026</t>
        </is>
      </c>
      <c r="B1583" s="1" t="n">
        <v>46133</v>
      </c>
      <c r="C1583" s="1" t="n">
        <v>46184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19408-2026</t>
        </is>
      </c>
      <c r="B1584" s="1" t="n">
        <v>46133</v>
      </c>
      <c r="C1584" s="1" t="n">
        <v>46184</v>
      </c>
      <c r="D1584" t="inlineStr">
        <is>
          <t>GÄVLEBORGS LÄN</t>
        </is>
      </c>
      <c r="E1584" t="inlineStr">
        <is>
          <t>BOLLNÄS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19409-2026</t>
        </is>
      </c>
      <c r="B1585" s="1" t="n">
        <v>46133</v>
      </c>
      <c r="C1585" s="1" t="n">
        <v>46184</v>
      </c>
      <c r="D1585" t="inlineStr">
        <is>
          <t>GÄVLEBORGS LÄN</t>
        </is>
      </c>
      <c r="E1585" t="inlineStr">
        <is>
          <t>BOLLNÄS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19412-2026</t>
        </is>
      </c>
      <c r="B1586" s="1" t="n">
        <v>46133</v>
      </c>
      <c r="C1586" s="1" t="n">
        <v>46184</v>
      </c>
      <c r="D1586" t="inlineStr">
        <is>
          <t>GÄVLEBORGS LÄN</t>
        </is>
      </c>
      <c r="E1586" t="inlineStr">
        <is>
          <t>BOLLNÄS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19416-2026</t>
        </is>
      </c>
      <c r="B1587" s="1" t="n">
        <v>46133</v>
      </c>
      <c r="C1587" s="1" t="n">
        <v>46184</v>
      </c>
      <c r="D1587" t="inlineStr">
        <is>
          <t>GÄVLEBORGS LÄN</t>
        </is>
      </c>
      <c r="E1587" t="inlineStr">
        <is>
          <t>BOLLNÄS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19125-2026</t>
        </is>
      </c>
      <c r="B1588" s="1" t="n">
        <v>46132.48353009259</v>
      </c>
      <c r="C1588" s="1" t="n">
        <v>46184</v>
      </c>
      <c r="D1588" t="inlineStr">
        <is>
          <t>GÄVLEBORGS LÄN</t>
        </is>
      </c>
      <c r="E1588" t="inlineStr">
        <is>
          <t>BOLLNÄS</t>
        </is>
      </c>
      <c r="G1588" t="n">
        <v>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19127-2026</t>
        </is>
      </c>
      <c r="B1589" s="1" t="n">
        <v>46132</v>
      </c>
      <c r="C1589" s="1" t="n">
        <v>46184</v>
      </c>
      <c r="D1589" t="inlineStr">
        <is>
          <t>GÄVLEBORGS LÄN</t>
        </is>
      </c>
      <c r="E1589" t="inlineStr">
        <is>
          <t>BOLLNÄS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19168-2026</t>
        </is>
      </c>
      <c r="B1590" s="1" t="n">
        <v>46132</v>
      </c>
      <c r="C1590" s="1" t="n">
        <v>46184</v>
      </c>
      <c r="D1590" t="inlineStr">
        <is>
          <t>GÄVLEBORGS LÄN</t>
        </is>
      </c>
      <c r="E1590" t="inlineStr">
        <is>
          <t>BOLLNÄS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10772-2026</t>
        </is>
      </c>
      <c r="B1591" s="1" t="n">
        <v>46078</v>
      </c>
      <c r="C1591" s="1" t="n">
        <v>46184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19413-2026</t>
        </is>
      </c>
      <c r="B1592" s="1" t="n">
        <v>46133</v>
      </c>
      <c r="C1592" s="1" t="n">
        <v>46184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19418-2026</t>
        </is>
      </c>
      <c r="B1593" s="1" t="n">
        <v>46133</v>
      </c>
      <c r="C1593" s="1" t="n">
        <v>46184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19507-2026</t>
        </is>
      </c>
      <c r="B1594" s="1" t="n">
        <v>46134</v>
      </c>
      <c r="C1594" s="1" t="n">
        <v>46184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19534-2026</t>
        </is>
      </c>
      <c r="B1595" s="1" t="n">
        <v>46134</v>
      </c>
      <c r="C1595" s="1" t="n">
        <v>46184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6024-2026</t>
        </is>
      </c>
      <c r="B1596" s="1" t="n">
        <v>46052</v>
      </c>
      <c r="C1596" s="1" t="n">
        <v>46184</v>
      </c>
      <c r="D1596" t="inlineStr">
        <is>
          <t>GÄVLEBORGS LÄN</t>
        </is>
      </c>
      <c r="E1596" t="inlineStr">
        <is>
          <t>BOLLNÄS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14691-2026</t>
        </is>
      </c>
      <c r="B1597" s="1" t="n">
        <v>46101</v>
      </c>
      <c r="C1597" s="1" t="n">
        <v>46184</v>
      </c>
      <c r="D1597" t="inlineStr">
        <is>
          <t>GÄVLEBORGS LÄN</t>
        </is>
      </c>
      <c r="E1597" t="inlineStr">
        <is>
          <t>BOLLNÄS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24889-2026</t>
        </is>
      </c>
      <c r="B1598" s="1" t="n">
        <v>46174.4568287037</v>
      </c>
      <c r="C1598" s="1" t="n">
        <v>46184</v>
      </c>
      <c r="D1598" t="inlineStr">
        <is>
          <t>GÄVLEBORGS LÄN</t>
        </is>
      </c>
      <c r="E1598" t="inlineStr">
        <is>
          <t>BOLLNÄS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19487-2026</t>
        </is>
      </c>
      <c r="B1599" s="1" t="n">
        <v>46134.30704861111</v>
      </c>
      <c r="C1599" s="1" t="n">
        <v>46184</v>
      </c>
      <c r="D1599" t="inlineStr">
        <is>
          <t>GÄVLEBORGS LÄN</t>
        </is>
      </c>
      <c r="E1599" t="inlineStr">
        <is>
          <t>BOLLNÄS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22494-2026</t>
        </is>
      </c>
      <c r="B1600" s="1" t="n">
        <v>46155</v>
      </c>
      <c r="C1600" s="1" t="n">
        <v>46184</v>
      </c>
      <c r="D1600" t="inlineStr">
        <is>
          <t>GÄVLEBORGS LÄN</t>
        </is>
      </c>
      <c r="E1600" t="inlineStr">
        <is>
          <t>BOLLNÄS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16462-2026</t>
        </is>
      </c>
      <c r="B1601" s="1" t="n">
        <v>46112.36025462963</v>
      </c>
      <c r="C1601" s="1" t="n">
        <v>46184</v>
      </c>
      <c r="D1601" t="inlineStr">
        <is>
          <t>GÄVLEBORGS LÄN</t>
        </is>
      </c>
      <c r="E1601" t="inlineStr">
        <is>
          <t>BOLLNÄS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17648-2026</t>
        </is>
      </c>
      <c r="B1602" s="1" t="n">
        <v>46121</v>
      </c>
      <c r="C1602" s="1" t="n">
        <v>46184</v>
      </c>
      <c r="D1602" t="inlineStr">
        <is>
          <t>GÄVLEBORGS LÄN</t>
        </is>
      </c>
      <c r="E1602" t="inlineStr">
        <is>
          <t>BOLLNÄS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19395-2026</t>
        </is>
      </c>
      <c r="B1603" s="1" t="n">
        <v>46133</v>
      </c>
      <c r="C1603" s="1" t="n">
        <v>46184</v>
      </c>
      <c r="D1603" t="inlineStr">
        <is>
          <t>GÄVLEBORGS LÄN</t>
        </is>
      </c>
      <c r="E1603" t="inlineStr">
        <is>
          <t>BOLLNÄS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19323-2026</t>
        </is>
      </c>
      <c r="B1604" s="1" t="n">
        <v>46133.40130787037</v>
      </c>
      <c r="C1604" s="1" t="n">
        <v>46184</v>
      </c>
      <c r="D1604" t="inlineStr">
        <is>
          <t>GÄVLEBORGS LÄN</t>
        </is>
      </c>
      <c r="E1604" t="inlineStr">
        <is>
          <t>BOLLNÄS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19838-2026</t>
        </is>
      </c>
      <c r="B1605" s="1" t="n">
        <v>46135</v>
      </c>
      <c r="C1605" s="1" t="n">
        <v>46184</v>
      </c>
      <c r="D1605" t="inlineStr">
        <is>
          <t>GÄVLEBORGS LÄN</t>
        </is>
      </c>
      <c r="E1605" t="inlineStr">
        <is>
          <t>BOLLNÄS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24953-2026</t>
        </is>
      </c>
      <c r="B1606" s="1" t="n">
        <v>46174.5675462963</v>
      </c>
      <c r="C1606" s="1" t="n">
        <v>46184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Kommuner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41471-2021</t>
        </is>
      </c>
      <c r="B1607" s="1" t="n">
        <v>44424</v>
      </c>
      <c r="C1607" s="1" t="n">
        <v>46184</v>
      </c>
      <c r="D1607" t="inlineStr">
        <is>
          <t>GÄVLEBORGS LÄN</t>
        </is>
      </c>
      <c r="E1607" t="inlineStr">
        <is>
          <t>BOLLNÄS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19543-2026</t>
        </is>
      </c>
      <c r="B1608" s="1" t="n">
        <v>46134.38184027778</v>
      </c>
      <c r="C1608" s="1" t="n">
        <v>46184</v>
      </c>
      <c r="D1608" t="inlineStr">
        <is>
          <t>GÄVLEBORGS LÄN</t>
        </is>
      </c>
      <c r="E1608" t="inlineStr">
        <is>
          <t>BOLLNÄS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25332-2026</t>
        </is>
      </c>
      <c r="B1609" s="1" t="n">
        <v>46176</v>
      </c>
      <c r="C1609" s="1" t="n">
        <v>46184</v>
      </c>
      <c r="D1609" t="inlineStr">
        <is>
          <t>GÄVLEBORGS LÄN</t>
        </is>
      </c>
      <c r="E1609" t="inlineStr">
        <is>
          <t>BOLLNÄS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25561-2026</t>
        </is>
      </c>
      <c r="B1610" s="1" t="n">
        <v>46177.59174768518</v>
      </c>
      <c r="C1610" s="1" t="n">
        <v>46184</v>
      </c>
      <c r="D1610" t="inlineStr">
        <is>
          <t>GÄVLEBORGS LÄN</t>
        </is>
      </c>
      <c r="E1610" t="inlineStr">
        <is>
          <t>BOLLNÄS</t>
        </is>
      </c>
      <c r="G1610" t="n">
        <v>21.8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16966-2026</t>
        </is>
      </c>
      <c r="B1611" s="1" t="n">
        <v>46114</v>
      </c>
      <c r="C1611" s="1" t="n">
        <v>46184</v>
      </c>
      <c r="D1611" t="inlineStr">
        <is>
          <t>GÄVLEBORGS LÄN</t>
        </is>
      </c>
      <c r="E1611" t="inlineStr">
        <is>
          <t>BOLLNÄS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19839-2026</t>
        </is>
      </c>
      <c r="B1612" s="1" t="n">
        <v>46135.61072916666</v>
      </c>
      <c r="C1612" s="1" t="n">
        <v>46184</v>
      </c>
      <c r="D1612" t="inlineStr">
        <is>
          <t>GÄVLEBORGS LÄN</t>
        </is>
      </c>
      <c r="E1612" t="inlineStr">
        <is>
          <t>BOLLNÄS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19862-2026</t>
        </is>
      </c>
      <c r="B1613" s="1" t="n">
        <v>46135</v>
      </c>
      <c r="C1613" s="1" t="n">
        <v>46184</v>
      </c>
      <c r="D1613" t="inlineStr">
        <is>
          <t>GÄVLEBORGS LÄN</t>
        </is>
      </c>
      <c r="E1613" t="inlineStr">
        <is>
          <t>BOLLNÄS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13944-2026</t>
        </is>
      </c>
      <c r="B1614" s="1" t="n">
        <v>46098</v>
      </c>
      <c r="C1614" s="1" t="n">
        <v>46184</v>
      </c>
      <c r="D1614" t="inlineStr">
        <is>
          <t>GÄVLEBORGS LÄN</t>
        </is>
      </c>
      <c r="E1614" t="inlineStr">
        <is>
          <t>BOLLNÄS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226-2025</t>
        </is>
      </c>
      <c r="B1615" s="1" t="n">
        <v>45660</v>
      </c>
      <c r="C1615" s="1" t="n">
        <v>46184</v>
      </c>
      <c r="D1615" t="inlineStr">
        <is>
          <t>GÄVLEBORGS LÄN</t>
        </is>
      </c>
      <c r="E1615" t="inlineStr">
        <is>
          <t>BOLLNÄS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10018-2026</t>
        </is>
      </c>
      <c r="B1616" s="1" t="n">
        <v>46073</v>
      </c>
      <c r="C1616" s="1" t="n">
        <v>46184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19770-2026</t>
        </is>
      </c>
      <c r="B1617" s="1" t="n">
        <v>46135</v>
      </c>
      <c r="C1617" s="1" t="n">
        <v>46184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21671-2026</t>
        </is>
      </c>
      <c r="B1618" s="1" t="n">
        <v>46149.48462962963</v>
      </c>
      <c r="C1618" s="1" t="n">
        <v>46184</v>
      </c>
      <c r="D1618" t="inlineStr">
        <is>
          <t>GÄVLEBORGS LÄN</t>
        </is>
      </c>
      <c r="E1618" t="inlineStr">
        <is>
          <t>BOLLNÄS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21693-2026</t>
        </is>
      </c>
      <c r="B1619" s="1" t="n">
        <v>46149.53273148148</v>
      </c>
      <c r="C1619" s="1" t="n">
        <v>46184</v>
      </c>
      <c r="D1619" t="inlineStr">
        <is>
          <t>GÄVLEBORGS LÄN</t>
        </is>
      </c>
      <c r="E1619" t="inlineStr">
        <is>
          <t>BOLLNÄS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16965-2026</t>
        </is>
      </c>
      <c r="B1620" s="1" t="n">
        <v>46114</v>
      </c>
      <c r="C1620" s="1" t="n">
        <v>46184</v>
      </c>
      <c r="D1620" t="inlineStr">
        <is>
          <t>GÄVLEBORGS LÄN</t>
        </is>
      </c>
      <c r="E1620" t="inlineStr">
        <is>
          <t>BOLLNÄS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17076-2026</t>
        </is>
      </c>
      <c r="B1621" s="1" t="n">
        <v>46114.55353009259</v>
      </c>
      <c r="C1621" s="1" t="n">
        <v>46184</v>
      </c>
      <c r="D1621" t="inlineStr">
        <is>
          <t>GÄVLEBORGS LÄN</t>
        </is>
      </c>
      <c r="E1621" t="inlineStr">
        <is>
          <t>BOLLNÄS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25474-2026</t>
        </is>
      </c>
      <c r="B1622" s="1" t="n">
        <v>46177.40648148148</v>
      </c>
      <c r="C1622" s="1" t="n">
        <v>46184</v>
      </c>
      <c r="D1622" t="inlineStr">
        <is>
          <t>GÄVLEBORGS LÄN</t>
        </is>
      </c>
      <c r="E1622" t="inlineStr">
        <is>
          <t>BOLLNÄS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22513-2026</t>
        </is>
      </c>
      <c r="B1623" s="1" t="n">
        <v>46155</v>
      </c>
      <c r="C1623" s="1" t="n">
        <v>46184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19654-2026</t>
        </is>
      </c>
      <c r="B1624" s="1" t="n">
        <v>46134.60085648148</v>
      </c>
      <c r="C1624" s="1" t="n">
        <v>46184</v>
      </c>
      <c r="D1624" t="inlineStr">
        <is>
          <t>GÄVLEBORGS LÄN</t>
        </is>
      </c>
      <c r="E1624" t="inlineStr">
        <is>
          <t>BOLLNÄS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19837-2026</t>
        </is>
      </c>
      <c r="B1625" s="1" t="n">
        <v>46135</v>
      </c>
      <c r="C1625" s="1" t="n">
        <v>46184</v>
      </c>
      <c r="D1625" t="inlineStr">
        <is>
          <t>GÄVLEBORGS LÄN</t>
        </is>
      </c>
      <c r="E1625" t="inlineStr">
        <is>
          <t>BOLLNÄS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19841-2026</t>
        </is>
      </c>
      <c r="B1626" s="1" t="n">
        <v>46135.61243055556</v>
      </c>
      <c r="C1626" s="1" t="n">
        <v>46184</v>
      </c>
      <c r="D1626" t="inlineStr">
        <is>
          <t>GÄVLEBORGS LÄN</t>
        </is>
      </c>
      <c r="E1626" t="inlineStr">
        <is>
          <t>BOLLNÄS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19861-2026</t>
        </is>
      </c>
      <c r="B1627" s="1" t="n">
        <v>46135</v>
      </c>
      <c r="C1627" s="1" t="n">
        <v>46184</v>
      </c>
      <c r="D1627" t="inlineStr">
        <is>
          <t>GÄVLEBORGS LÄN</t>
        </is>
      </c>
      <c r="E1627" t="inlineStr">
        <is>
          <t>BOLLNÄS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12607-2026</t>
        </is>
      </c>
      <c r="B1628" s="1" t="n">
        <v>46091</v>
      </c>
      <c r="C1628" s="1" t="n">
        <v>46184</v>
      </c>
      <c r="D1628" t="inlineStr">
        <is>
          <t>GÄVLEBORGS LÄN</t>
        </is>
      </c>
      <c r="E1628" t="inlineStr">
        <is>
          <t>BOLLNÄS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19624-2026</t>
        </is>
      </c>
      <c r="B1629" s="1" t="n">
        <v>46134</v>
      </c>
      <c r="C1629" s="1" t="n">
        <v>46184</v>
      </c>
      <c r="D1629" t="inlineStr">
        <is>
          <t>GÄVLEBORGS LÄN</t>
        </is>
      </c>
      <c r="E1629" t="inlineStr">
        <is>
          <t>BOLLNÄS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19633-2026</t>
        </is>
      </c>
      <c r="B1630" s="1" t="n">
        <v>46134.55969907407</v>
      </c>
      <c r="C1630" s="1" t="n">
        <v>46184</v>
      </c>
      <c r="D1630" t="inlineStr">
        <is>
          <t>GÄVLEBORGS LÄN</t>
        </is>
      </c>
      <c r="E1630" t="inlineStr">
        <is>
          <t>BOLLNÄS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19404-2026</t>
        </is>
      </c>
      <c r="B1631" s="1" t="n">
        <v>46133</v>
      </c>
      <c r="C1631" s="1" t="n">
        <v>46184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19482-2026</t>
        </is>
      </c>
      <c r="B1632" s="1" t="n">
        <v>46134</v>
      </c>
      <c r="C1632" s="1" t="n">
        <v>46184</v>
      </c>
      <c r="D1632" t="inlineStr">
        <is>
          <t>GÄVLEBORGS LÄN</t>
        </is>
      </c>
      <c r="E1632" t="inlineStr">
        <is>
          <t>BOLLNÄS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21696-2026</t>
        </is>
      </c>
      <c r="B1633" s="1" t="n">
        <v>46149.53628472222</v>
      </c>
      <c r="C1633" s="1" t="n">
        <v>46184</v>
      </c>
      <c r="D1633" t="inlineStr">
        <is>
          <t>GÄVLEBORGS LÄN</t>
        </is>
      </c>
      <c r="E1633" t="inlineStr">
        <is>
          <t>BOLLNÄS</t>
        </is>
      </c>
      <c r="G1633" t="n">
        <v>6.9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22599-2026</t>
        </is>
      </c>
      <c r="B1634" s="1" t="n">
        <v>46155</v>
      </c>
      <c r="C1634" s="1" t="n">
        <v>46184</v>
      </c>
      <c r="D1634" t="inlineStr">
        <is>
          <t>GÄVLEBORGS LÄN</t>
        </is>
      </c>
      <c r="E1634" t="inlineStr">
        <is>
          <t>BOLLNÄS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22605-2026</t>
        </is>
      </c>
      <c r="B1635" s="1" t="n">
        <v>46155</v>
      </c>
      <c r="C1635" s="1" t="n">
        <v>46184</v>
      </c>
      <c r="D1635" t="inlineStr">
        <is>
          <t>GÄVLEBORGS LÄN</t>
        </is>
      </c>
      <c r="E1635" t="inlineStr">
        <is>
          <t>BOLLNÄS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25449-2026</t>
        </is>
      </c>
      <c r="B1636" s="1" t="n">
        <v>46177.3608912037</v>
      </c>
      <c r="C1636" s="1" t="n">
        <v>46184</v>
      </c>
      <c r="D1636" t="inlineStr">
        <is>
          <t>GÄVLEBORGS LÄN</t>
        </is>
      </c>
      <c r="E1636" t="inlineStr">
        <is>
          <t>BOLLNÄS</t>
        </is>
      </c>
      <c r="G1636" t="n">
        <v>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25455-2026</t>
        </is>
      </c>
      <c r="B1637" s="1" t="n">
        <v>46177.36836805556</v>
      </c>
      <c r="C1637" s="1" t="n">
        <v>46184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22310-2026</t>
        </is>
      </c>
      <c r="B1638" s="1" t="n">
        <v>46154</v>
      </c>
      <c r="C1638" s="1" t="n">
        <v>46184</v>
      </c>
      <c r="D1638" t="inlineStr">
        <is>
          <t>GÄVLEBORGS LÄN</t>
        </is>
      </c>
      <c r="E1638" t="inlineStr">
        <is>
          <t>BOLLNÄS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25269-2026</t>
        </is>
      </c>
      <c r="B1639" s="1" t="n">
        <v>46176.30805555556</v>
      </c>
      <c r="C1639" s="1" t="n">
        <v>46184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8800-2026</t>
        </is>
      </c>
      <c r="B1640" s="1" t="n">
        <v>46066.59800925926</v>
      </c>
      <c r="C1640" s="1" t="n">
        <v>46184</v>
      </c>
      <c r="D1640" t="inlineStr">
        <is>
          <t>GÄVLEBORGS LÄN</t>
        </is>
      </c>
      <c r="E1640" t="inlineStr">
        <is>
          <t>BOLLNÄS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13554-2026</t>
        </is>
      </c>
      <c r="B1641" s="1" t="n">
        <v>46094</v>
      </c>
      <c r="C1641" s="1" t="n">
        <v>46184</v>
      </c>
      <c r="D1641" t="inlineStr">
        <is>
          <t>GÄVLEBORGS LÄN</t>
        </is>
      </c>
      <c r="E1641" t="inlineStr">
        <is>
          <t>BOLLNÄS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21691-2026</t>
        </is>
      </c>
      <c r="B1642" s="1" t="n">
        <v>46149.53103009259</v>
      </c>
      <c r="C1642" s="1" t="n">
        <v>46184</v>
      </c>
      <c r="D1642" t="inlineStr">
        <is>
          <t>GÄVLEBORGS LÄN</t>
        </is>
      </c>
      <c r="E1642" t="inlineStr">
        <is>
          <t>BOLLNÄS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19614-2026</t>
        </is>
      </c>
      <c r="B1643" s="1" t="n">
        <v>46134.50553240741</v>
      </c>
      <c r="C1643" s="1" t="n">
        <v>46184</v>
      </c>
      <c r="D1643" t="inlineStr">
        <is>
          <t>GÄVLEBORGS LÄN</t>
        </is>
      </c>
      <c r="E1643" t="inlineStr">
        <is>
          <t>BOLLNÄS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16937-2026</t>
        </is>
      </c>
      <c r="B1644" s="1" t="n">
        <v>46113</v>
      </c>
      <c r="C1644" s="1" t="n">
        <v>46184</v>
      </c>
      <c r="D1644" t="inlineStr">
        <is>
          <t>GÄVLEBORGS LÄN</t>
        </is>
      </c>
      <c r="E1644" t="inlineStr">
        <is>
          <t>BOLLNÄS</t>
        </is>
      </c>
      <c r="G1644" t="n">
        <v>14.2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21695-2026</t>
        </is>
      </c>
      <c r="B1645" s="1" t="n">
        <v>46149.53383101852</v>
      </c>
      <c r="C1645" s="1" t="n">
        <v>46184</v>
      </c>
      <c r="D1645" t="inlineStr">
        <is>
          <t>GÄVLEBORGS LÄN</t>
        </is>
      </c>
      <c r="E1645" t="inlineStr">
        <is>
          <t>BOLLNÄS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19539-2026</t>
        </is>
      </c>
      <c r="B1646" s="1" t="n">
        <v>46134.3789699074</v>
      </c>
      <c r="C1646" s="1" t="n">
        <v>46184</v>
      </c>
      <c r="D1646" t="inlineStr">
        <is>
          <t>GÄVLEBORGS LÄN</t>
        </is>
      </c>
      <c r="E1646" t="inlineStr">
        <is>
          <t>BOLLNÄS</t>
        </is>
      </c>
      <c r="G1646" t="n">
        <v>10.4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19737-2026</t>
        </is>
      </c>
      <c r="B1647" s="1" t="n">
        <v>46135</v>
      </c>
      <c r="C1647" s="1" t="n">
        <v>46184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19746-2026</t>
        </is>
      </c>
      <c r="B1648" s="1" t="n">
        <v>46135.36126157407</v>
      </c>
      <c r="C1648" s="1" t="n">
        <v>46184</v>
      </c>
      <c r="D1648" t="inlineStr">
        <is>
          <t>GÄVLEBORGS LÄN</t>
        </is>
      </c>
      <c r="E1648" t="inlineStr">
        <is>
          <t>BOLLNÄS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19748-2026</t>
        </is>
      </c>
      <c r="B1649" s="1" t="n">
        <v>46135.36277777778</v>
      </c>
      <c r="C1649" s="1" t="n">
        <v>46184</v>
      </c>
      <c r="D1649" t="inlineStr">
        <is>
          <t>GÄVLEBORGS LÄN</t>
        </is>
      </c>
      <c r="E1649" t="inlineStr">
        <is>
          <t>BOLLNÄS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19521-2026</t>
        </is>
      </c>
      <c r="B1650" s="1" t="n">
        <v>46134</v>
      </c>
      <c r="C1650" s="1" t="n">
        <v>46184</v>
      </c>
      <c r="D1650" t="inlineStr">
        <is>
          <t>GÄVLEBORGS LÄN</t>
        </is>
      </c>
      <c r="E1650" t="inlineStr">
        <is>
          <t>BOLLNÄS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25209-2026</t>
        </is>
      </c>
      <c r="B1651" s="1" t="n">
        <v>46175.60886574074</v>
      </c>
      <c r="C1651" s="1" t="n">
        <v>46184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16122-2026</t>
        </is>
      </c>
      <c r="B1652" s="1" t="n">
        <v>46108</v>
      </c>
      <c r="C1652" s="1" t="n">
        <v>46184</v>
      </c>
      <c r="D1652" t="inlineStr">
        <is>
          <t>GÄVLEBORGS LÄN</t>
        </is>
      </c>
      <c r="E1652" t="inlineStr">
        <is>
          <t>BOLLNÄS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19767-2026</t>
        </is>
      </c>
      <c r="B1653" s="1" t="n">
        <v>46135</v>
      </c>
      <c r="C1653" s="1" t="n">
        <v>46184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12815-2025</t>
        </is>
      </c>
      <c r="B1654" s="1" t="n">
        <v>45733.62225694444</v>
      </c>
      <c r="C1654" s="1" t="n">
        <v>46184</v>
      </c>
      <c r="D1654" t="inlineStr">
        <is>
          <t>GÄVLEBORGS LÄN</t>
        </is>
      </c>
      <c r="E1654" t="inlineStr">
        <is>
          <t>BOLLNÄS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19745-2026</t>
        </is>
      </c>
      <c r="B1655" s="1" t="n">
        <v>46135.35901620371</v>
      </c>
      <c r="C1655" s="1" t="n">
        <v>46184</v>
      </c>
      <c r="D1655" t="inlineStr">
        <is>
          <t>GÄVLEBORGS LÄN</t>
        </is>
      </c>
      <c r="E1655" t="inlineStr">
        <is>
          <t>BOLLNÄS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19750-2026</t>
        </is>
      </c>
      <c r="B1656" s="1" t="n">
        <v>46135.36983796296</v>
      </c>
      <c r="C1656" s="1" t="n">
        <v>46184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20957-2026</t>
        </is>
      </c>
      <c r="B1657" s="1" t="n">
        <v>46142</v>
      </c>
      <c r="C1657" s="1" t="n">
        <v>46184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19739-2026</t>
        </is>
      </c>
      <c r="B1658" s="1" t="n">
        <v>46135</v>
      </c>
      <c r="C1658" s="1" t="n">
        <v>46184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19747-2026</t>
        </is>
      </c>
      <c r="B1659" s="1" t="n">
        <v>46135.36207175926</v>
      </c>
      <c r="C1659" s="1" t="n">
        <v>46184</v>
      </c>
      <c r="D1659" t="inlineStr">
        <is>
          <t>GÄVLEBORGS LÄN</t>
        </is>
      </c>
      <c r="E1659" t="inlineStr">
        <is>
          <t>BOLLNÄS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19700-2026</t>
        </is>
      </c>
      <c r="B1660" s="1" t="n">
        <v>46134.69077546296</v>
      </c>
      <c r="C1660" s="1" t="n">
        <v>46184</v>
      </c>
      <c r="D1660" t="inlineStr">
        <is>
          <t>GÄVLEBORGS LÄN</t>
        </is>
      </c>
      <c r="E1660" t="inlineStr">
        <is>
          <t>BOLLNÄS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25538-2026</t>
        </is>
      </c>
      <c r="B1661" s="1" t="n">
        <v>46177.54739583333</v>
      </c>
      <c r="C1661" s="1" t="n">
        <v>46184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26440-2024</t>
        </is>
      </c>
      <c r="B1662" s="1" t="n">
        <v>45469.49199074074</v>
      </c>
      <c r="C1662" s="1" t="n">
        <v>46184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246-2026</t>
        </is>
      </c>
      <c r="B1663" s="1" t="n">
        <v>46027</v>
      </c>
      <c r="C1663" s="1" t="n">
        <v>46184</v>
      </c>
      <c r="D1663" t="inlineStr">
        <is>
          <t>GÄVLEBORGS LÄN</t>
        </is>
      </c>
      <c r="E1663" t="inlineStr">
        <is>
          <t>BOLLNÄS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1800-2026</t>
        </is>
      </c>
      <c r="B1664" s="1" t="n">
        <v>46035.30980324074</v>
      </c>
      <c r="C1664" s="1" t="n">
        <v>46184</v>
      </c>
      <c r="D1664" t="inlineStr">
        <is>
          <t>GÄVLEBORGS LÄN</t>
        </is>
      </c>
      <c r="E1664" t="inlineStr">
        <is>
          <t>BOLLNÄS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5692-2026</t>
        </is>
      </c>
      <c r="B1665" s="1" t="n">
        <v>46051</v>
      </c>
      <c r="C1665" s="1" t="n">
        <v>46184</v>
      </c>
      <c r="D1665" t="inlineStr">
        <is>
          <t>GÄVLEBORGS LÄN</t>
        </is>
      </c>
      <c r="E1665" t="inlineStr">
        <is>
          <t>BOLLNÄS</t>
        </is>
      </c>
      <c r="G1665" t="n">
        <v>18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53566-2022</t>
        </is>
      </c>
      <c r="B1666" s="1" t="n">
        <v>44879</v>
      </c>
      <c r="C1666" s="1" t="n">
        <v>46184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30152-2022</t>
        </is>
      </c>
      <c r="B1667" s="1" t="n">
        <v>44757.508125</v>
      </c>
      <c r="C1667" s="1" t="n">
        <v>46184</v>
      </c>
      <c r="D1667" t="inlineStr">
        <is>
          <t>GÄVLEBORGS LÄN</t>
        </is>
      </c>
      <c r="E1667" t="inlineStr">
        <is>
          <t>BOLLNÄS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12624-2025</t>
        </is>
      </c>
      <c r="B1668" s="1" t="n">
        <v>45733.36315972222</v>
      </c>
      <c r="C1668" s="1" t="n">
        <v>46184</v>
      </c>
      <c r="D1668" t="inlineStr">
        <is>
          <t>GÄVLEBORGS LÄN</t>
        </is>
      </c>
      <c r="E1668" t="inlineStr">
        <is>
          <t>BOLLNÄS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10413-2026</t>
        </is>
      </c>
      <c r="B1669" s="1" t="n">
        <v>46077</v>
      </c>
      <c r="C1669" s="1" t="n">
        <v>46184</v>
      </c>
      <c r="D1669" t="inlineStr">
        <is>
          <t>GÄVLEBORGS LÄN</t>
        </is>
      </c>
      <c r="E1669" t="inlineStr">
        <is>
          <t>BOLLNÄS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10043-2026</t>
        </is>
      </c>
      <c r="B1670" s="1" t="n">
        <v>46073.59971064814</v>
      </c>
      <c r="C1670" s="1" t="n">
        <v>46184</v>
      </c>
      <c r="D1670" t="inlineStr">
        <is>
          <t>GÄVLEBORGS LÄN</t>
        </is>
      </c>
      <c r="E1670" t="inlineStr">
        <is>
          <t>BOLLNÄS</t>
        </is>
      </c>
      <c r="G1670" t="n">
        <v>12.2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2993-2026</t>
        </is>
      </c>
      <c r="B1671" s="1" t="n">
        <v>46038</v>
      </c>
      <c r="C1671" s="1" t="n">
        <v>46184</v>
      </c>
      <c r="D1671" t="inlineStr">
        <is>
          <t>GÄVLEBORGS LÄN</t>
        </is>
      </c>
      <c r="E1671" t="inlineStr">
        <is>
          <t>BOLLNÄS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20192-2026</t>
        </is>
      </c>
      <c r="B1672" s="1" t="n">
        <v>46139.37245370371</v>
      </c>
      <c r="C1672" s="1" t="n">
        <v>46184</v>
      </c>
      <c r="D1672" t="inlineStr">
        <is>
          <t>GÄVLEBORGS LÄN</t>
        </is>
      </c>
      <c r="E1672" t="inlineStr">
        <is>
          <t>BOLLNÄS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44625-2023</t>
        </is>
      </c>
      <c r="B1673" s="1" t="n">
        <v>45189</v>
      </c>
      <c r="C1673" s="1" t="n">
        <v>46184</v>
      </c>
      <c r="D1673" t="inlineStr">
        <is>
          <t>GÄVLEBORGS LÄN</t>
        </is>
      </c>
      <c r="E1673" t="inlineStr">
        <is>
          <t>BOLLNÄS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8914-2026</t>
        </is>
      </c>
      <c r="B1674" s="1" t="n">
        <v>46069</v>
      </c>
      <c r="C1674" s="1" t="n">
        <v>46184</v>
      </c>
      <c r="D1674" t="inlineStr">
        <is>
          <t>GÄVLEBORGS LÄN</t>
        </is>
      </c>
      <c r="E1674" t="inlineStr">
        <is>
          <t>BOLLNÄS</t>
        </is>
      </c>
      <c r="G1674" t="n">
        <v>37.3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15519-2026</t>
        </is>
      </c>
      <c r="B1675" s="1" t="n">
        <v>46106.47232638889</v>
      </c>
      <c r="C1675" s="1" t="n">
        <v>46184</v>
      </c>
      <c r="D1675" t="inlineStr">
        <is>
          <t>GÄVLEBORGS LÄN</t>
        </is>
      </c>
      <c r="E1675" t="inlineStr">
        <is>
          <t>BOLLNÄS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20308-2026</t>
        </is>
      </c>
      <c r="B1676" s="1" t="n">
        <v>46139.58361111111</v>
      </c>
      <c r="C1676" s="1" t="n">
        <v>46184</v>
      </c>
      <c r="D1676" t="inlineStr">
        <is>
          <t>GÄVLEBORGS LÄN</t>
        </is>
      </c>
      <c r="E1676" t="inlineStr">
        <is>
          <t>BOLLNÄS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20361-2026</t>
        </is>
      </c>
      <c r="B1677" s="1" t="n">
        <v>46139.66560185186</v>
      </c>
      <c r="C1677" s="1" t="n">
        <v>46184</v>
      </c>
      <c r="D1677" t="inlineStr">
        <is>
          <t>GÄVLEBORGS LÄN</t>
        </is>
      </c>
      <c r="E1677" t="inlineStr">
        <is>
          <t>BOLLNÄS</t>
        </is>
      </c>
      <c r="G1677" t="n">
        <v>9.300000000000001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22305-2026</t>
        </is>
      </c>
      <c r="B1678" s="1" t="n">
        <v>46154</v>
      </c>
      <c r="C1678" s="1" t="n">
        <v>46184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61065-2023</t>
        </is>
      </c>
      <c r="B1679" s="1" t="n">
        <v>45261.61618055555</v>
      </c>
      <c r="C1679" s="1" t="n">
        <v>46184</v>
      </c>
      <c r="D1679" t="inlineStr">
        <is>
          <t>GÄVLEBORGS LÄN</t>
        </is>
      </c>
      <c r="E1679" t="inlineStr">
        <is>
          <t>BOLLNÄS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9555-2026</t>
        </is>
      </c>
      <c r="B1680" s="1" t="n">
        <v>46071</v>
      </c>
      <c r="C1680" s="1" t="n">
        <v>46184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323-2026</t>
        </is>
      </c>
      <c r="B1681" s="1" t="n">
        <v>46027</v>
      </c>
      <c r="C1681" s="1" t="n">
        <v>46184</v>
      </c>
      <c r="D1681" t="inlineStr">
        <is>
          <t>GÄVLEBORGS LÄN</t>
        </is>
      </c>
      <c r="E1681" t="inlineStr">
        <is>
          <t>BOLLNÄS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20257-2026</t>
        </is>
      </c>
      <c r="B1682" s="1" t="n">
        <v>46139</v>
      </c>
      <c r="C1682" s="1" t="n">
        <v>46184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20153-2026</t>
        </is>
      </c>
      <c r="B1683" s="1" t="n">
        <v>46138</v>
      </c>
      <c r="C1683" s="1" t="n">
        <v>46184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3319-2026</t>
        </is>
      </c>
      <c r="B1684" s="1" t="n">
        <v>46041.6997337963</v>
      </c>
      <c r="C1684" s="1" t="n">
        <v>46184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2390-2026</t>
        </is>
      </c>
      <c r="B1685" s="1" t="n">
        <v>46034</v>
      </c>
      <c r="C1685" s="1" t="n">
        <v>46184</v>
      </c>
      <c r="D1685" t="inlineStr">
        <is>
          <t>GÄVLEBORGS LÄN</t>
        </is>
      </c>
      <c r="E1685" t="inlineStr">
        <is>
          <t>BOLLNÄS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11164-2026</t>
        </is>
      </c>
      <c r="B1686" s="1" t="n">
        <v>46080.34565972222</v>
      </c>
      <c r="C1686" s="1" t="n">
        <v>46184</v>
      </c>
      <c r="D1686" t="inlineStr">
        <is>
          <t>GÄVLEBORGS LÄN</t>
        </is>
      </c>
      <c r="E1686" t="inlineStr">
        <is>
          <t>BOLLNÄS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10204-2026</t>
        </is>
      </c>
      <c r="B1687" s="1" t="n">
        <v>46076.47613425926</v>
      </c>
      <c r="C1687" s="1" t="n">
        <v>46184</v>
      </c>
      <c r="D1687" t="inlineStr">
        <is>
          <t>GÄVLEBORGS LÄN</t>
        </is>
      </c>
      <c r="E1687" t="inlineStr">
        <is>
          <t>BOLLNÄS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9697-2025</t>
        </is>
      </c>
      <c r="B1688" s="1" t="n">
        <v>45716.37329861111</v>
      </c>
      <c r="C1688" s="1" t="n">
        <v>46184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12243-2026</t>
        </is>
      </c>
      <c r="B1689" s="1" t="n">
        <v>46087</v>
      </c>
      <c r="C1689" s="1" t="n">
        <v>46184</v>
      </c>
      <c r="D1689" t="inlineStr">
        <is>
          <t>GÄVLEBORGS LÄN</t>
        </is>
      </c>
      <c r="E1689" t="inlineStr">
        <is>
          <t>BOLLNÄS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19959-2026</t>
        </is>
      </c>
      <c r="B1690" s="1" t="n">
        <v>46136</v>
      </c>
      <c r="C1690" s="1" t="n">
        <v>46184</v>
      </c>
      <c r="D1690" t="inlineStr">
        <is>
          <t>GÄVLEBORGS LÄN</t>
        </is>
      </c>
      <c r="E1690" t="inlineStr">
        <is>
          <t>BOLLNÄS</t>
        </is>
      </c>
      <c r="F1690" t="inlineStr">
        <is>
          <t>Bergvik skog väst AB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24037-2026</t>
        </is>
      </c>
      <c r="B1691" s="1" t="n">
        <v>46167</v>
      </c>
      <c r="C1691" s="1" t="n">
        <v>46184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7339-2026</t>
        </is>
      </c>
      <c r="B1692" s="1" t="n">
        <v>46058.88850694444</v>
      </c>
      <c r="C1692" s="1" t="n">
        <v>46184</v>
      </c>
      <c r="D1692" t="inlineStr">
        <is>
          <t>GÄVLEBORGS LÄN</t>
        </is>
      </c>
      <c r="E1692" t="inlineStr">
        <is>
          <t>BOLLNÄS</t>
        </is>
      </c>
      <c r="G1692" t="n">
        <v>12.1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14783-2026</t>
        </is>
      </c>
      <c r="B1693" s="1" t="n">
        <v>46101.66121527777</v>
      </c>
      <c r="C1693" s="1" t="n">
        <v>46184</v>
      </c>
      <c r="D1693" t="inlineStr">
        <is>
          <t>GÄVLEBORGS LÄN</t>
        </is>
      </c>
      <c r="E1693" t="inlineStr">
        <is>
          <t>BOLLNÄS</t>
        </is>
      </c>
      <c r="G1693" t="n">
        <v>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59729-2022</t>
        </is>
      </c>
      <c r="B1694" s="1" t="n">
        <v>44908</v>
      </c>
      <c r="C1694" s="1" t="n">
        <v>46184</v>
      </c>
      <c r="D1694" t="inlineStr">
        <is>
          <t>GÄVLEBORGS LÄN</t>
        </is>
      </c>
      <c r="E1694" t="inlineStr">
        <is>
          <t>BOLLNÄS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2811-2026</t>
        </is>
      </c>
      <c r="B1695" s="1" t="n">
        <v>46038.41928240741</v>
      </c>
      <c r="C1695" s="1" t="n">
        <v>46184</v>
      </c>
      <c r="D1695" t="inlineStr">
        <is>
          <t>GÄVLEBORGS LÄN</t>
        </is>
      </c>
      <c r="E1695" t="inlineStr">
        <is>
          <t>BOLLNÄS</t>
        </is>
      </c>
      <c r="G1695" t="n">
        <v>8.6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38937-2023</t>
        </is>
      </c>
      <c r="B1696" s="1" t="n">
        <v>45163</v>
      </c>
      <c r="C1696" s="1" t="n">
        <v>46184</v>
      </c>
      <c r="D1696" t="inlineStr">
        <is>
          <t>GÄVLEBORGS LÄN</t>
        </is>
      </c>
      <c r="E1696" t="inlineStr">
        <is>
          <t>BOLLNÄS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6052-2026</t>
        </is>
      </c>
      <c r="B1697" s="1" t="n">
        <v>46052.63516203704</v>
      </c>
      <c r="C1697" s="1" t="n">
        <v>46184</v>
      </c>
      <c r="D1697" t="inlineStr">
        <is>
          <t>GÄVLEBORGS LÄN</t>
        </is>
      </c>
      <c r="E1697" t="inlineStr">
        <is>
          <t>BOLLNÄS</t>
        </is>
      </c>
      <c r="G1697" t="n">
        <v>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6850-2026</t>
        </is>
      </c>
      <c r="B1698" s="1" t="n">
        <v>46057.43195601852</v>
      </c>
      <c r="C1698" s="1" t="n">
        <v>46184</v>
      </c>
      <c r="D1698" t="inlineStr">
        <is>
          <t>GÄVLEBORGS LÄN</t>
        </is>
      </c>
      <c r="E1698" t="inlineStr">
        <is>
          <t>BOLLNÄS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26069-2026</t>
        </is>
      </c>
      <c r="B1699" s="1" t="n">
        <v>46181.61159722223</v>
      </c>
      <c r="C1699" s="1" t="n">
        <v>46184</v>
      </c>
      <c r="D1699" t="inlineStr">
        <is>
          <t>GÄVLEBORGS LÄN</t>
        </is>
      </c>
      <c r="E1699" t="inlineStr">
        <is>
          <t>BOLLNÄS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9517-2026</t>
        </is>
      </c>
      <c r="B1700" s="1" t="n">
        <v>46071.59618055556</v>
      </c>
      <c r="C1700" s="1" t="n">
        <v>46184</v>
      </c>
      <c r="D1700" t="inlineStr">
        <is>
          <t>GÄVLEBORGS LÄN</t>
        </is>
      </c>
      <c r="E1700" t="inlineStr">
        <is>
          <t>BOLLNÄS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7878-2026</t>
        </is>
      </c>
      <c r="B1701" s="1" t="n">
        <v>46063.26592592592</v>
      </c>
      <c r="C1701" s="1" t="n">
        <v>46184</v>
      </c>
      <c r="D1701" t="inlineStr">
        <is>
          <t>GÄVLEBORGS LÄN</t>
        </is>
      </c>
      <c r="E1701" t="inlineStr">
        <is>
          <t>BOLLNÄS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20086-2026</t>
        </is>
      </c>
      <c r="B1702" s="1" t="n">
        <v>46136</v>
      </c>
      <c r="C1702" s="1" t="n">
        <v>46184</v>
      </c>
      <c r="D1702" t="inlineStr">
        <is>
          <t>GÄVLEBORGS LÄN</t>
        </is>
      </c>
      <c r="E1702" t="inlineStr">
        <is>
          <t>BOLLNÄS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9359-2026</t>
        </is>
      </c>
      <c r="B1703" s="1" t="n">
        <v>46070.72490740741</v>
      </c>
      <c r="C1703" s="1" t="n">
        <v>46184</v>
      </c>
      <c r="D1703" t="inlineStr">
        <is>
          <t>GÄVLEBORGS LÄN</t>
        </is>
      </c>
      <c r="E1703" t="inlineStr">
        <is>
          <t>BOLLNÄS</t>
        </is>
      </c>
      <c r="G1703" t="n">
        <v>17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15858-2026</t>
        </is>
      </c>
      <c r="B1704" s="1" t="n">
        <v>46107</v>
      </c>
      <c r="C1704" s="1" t="n">
        <v>46184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6.4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26066-2026</t>
        </is>
      </c>
      <c r="B1705" s="1" t="n">
        <v>46181.60800925926</v>
      </c>
      <c r="C1705" s="1" t="n">
        <v>46184</v>
      </c>
      <c r="D1705" t="inlineStr">
        <is>
          <t>GÄVLEBORGS LÄN</t>
        </is>
      </c>
      <c r="E1705" t="inlineStr">
        <is>
          <t>BOLLNÄS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3096-2026</t>
        </is>
      </c>
      <c r="B1706" s="1" t="n">
        <v>46041.24655092593</v>
      </c>
      <c r="C1706" s="1" t="n">
        <v>46184</v>
      </c>
      <c r="D1706" t="inlineStr">
        <is>
          <t>GÄVLEBORGS LÄN</t>
        </is>
      </c>
      <c r="E1706" t="inlineStr">
        <is>
          <t>BOLLNÄS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20282-2026</t>
        </is>
      </c>
      <c r="B1707" s="1" t="n">
        <v>46139.54280092593</v>
      </c>
      <c r="C1707" s="1" t="n">
        <v>46184</v>
      </c>
      <c r="D1707" t="inlineStr">
        <is>
          <t>GÄVLEBORGS LÄN</t>
        </is>
      </c>
      <c r="E1707" t="inlineStr">
        <is>
          <t>BOLLNÄS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51797-2023</t>
        </is>
      </c>
      <c r="B1708" s="1" t="n">
        <v>45222</v>
      </c>
      <c r="C1708" s="1" t="n">
        <v>46184</v>
      </c>
      <c r="D1708" t="inlineStr">
        <is>
          <t>GÄVLEBORGS LÄN</t>
        </is>
      </c>
      <c r="E1708" t="inlineStr">
        <is>
          <t>BOLLNÄS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15147-2023</t>
        </is>
      </c>
      <c r="B1709" s="1" t="n">
        <v>45016</v>
      </c>
      <c r="C1709" s="1" t="n">
        <v>46184</v>
      </c>
      <c r="D1709" t="inlineStr">
        <is>
          <t>GÄVLEBORGS LÄN</t>
        </is>
      </c>
      <c r="E1709" t="inlineStr">
        <is>
          <t>BOLLNÄS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19623-2026</t>
        </is>
      </c>
      <c r="B1710" s="1" t="n">
        <v>46134</v>
      </c>
      <c r="C1710" s="1" t="n">
        <v>46184</v>
      </c>
      <c r="D1710" t="inlineStr">
        <is>
          <t>GÄVLEBORGS LÄN</t>
        </is>
      </c>
      <c r="E1710" t="inlineStr">
        <is>
          <t>BOLLNÄS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14623-2023</t>
        </is>
      </c>
      <c r="B1711" s="1" t="n">
        <v>45013.65927083333</v>
      </c>
      <c r="C1711" s="1" t="n">
        <v>46184</v>
      </c>
      <c r="D1711" t="inlineStr">
        <is>
          <t>GÄVLEBORGS LÄN</t>
        </is>
      </c>
      <c r="E1711" t="inlineStr">
        <is>
          <t>BOLLNÄS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4908-2026</t>
        </is>
      </c>
      <c r="B1712" s="1" t="n">
        <v>46048.70473379629</v>
      </c>
      <c r="C1712" s="1" t="n">
        <v>46184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5876-2026</t>
        </is>
      </c>
      <c r="B1713" s="1" t="n">
        <v>46052</v>
      </c>
      <c r="C1713" s="1" t="n">
        <v>46184</v>
      </c>
      <c r="D1713" t="inlineStr">
        <is>
          <t>GÄVLEBORGS LÄN</t>
        </is>
      </c>
      <c r="E1713" t="inlineStr">
        <is>
          <t>BOLLNÄS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15946-2026</t>
        </is>
      </c>
      <c r="B1714" s="1" t="n">
        <v>46107.74146990741</v>
      </c>
      <c r="C1714" s="1" t="n">
        <v>46184</v>
      </c>
      <c r="D1714" t="inlineStr">
        <is>
          <t>GÄVLEBORGS LÄN</t>
        </is>
      </c>
      <c r="E1714" t="inlineStr">
        <is>
          <t>BOLLNÄS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7309-2026</t>
        </is>
      </c>
      <c r="B1715" s="1" t="n">
        <v>46058.66096064815</v>
      </c>
      <c r="C1715" s="1" t="n">
        <v>46184</v>
      </c>
      <c r="D1715" t="inlineStr">
        <is>
          <t>GÄVLEBORGS LÄN</t>
        </is>
      </c>
      <c r="E1715" t="inlineStr">
        <is>
          <t>BOLLNÄS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1047-2026</t>
        </is>
      </c>
      <c r="B1716" s="1" t="n">
        <v>46030</v>
      </c>
      <c r="C1716" s="1" t="n">
        <v>46184</v>
      </c>
      <c r="D1716" t="inlineStr">
        <is>
          <t>GÄVLEBORGS LÄN</t>
        </is>
      </c>
      <c r="E1716" t="inlineStr">
        <is>
          <t>BOLLNÄS</t>
        </is>
      </c>
      <c r="G1716" t="n">
        <v>32.1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4945-2026</t>
        </is>
      </c>
      <c r="B1717" s="1" t="n">
        <v>46049.2528587963</v>
      </c>
      <c r="C1717" s="1" t="n">
        <v>46184</v>
      </c>
      <c r="D1717" t="inlineStr">
        <is>
          <t>GÄVLEBORGS LÄN</t>
        </is>
      </c>
      <c r="E1717" t="inlineStr">
        <is>
          <t>BOLLNÄS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7144-2026</t>
        </is>
      </c>
      <c r="B1718" s="1" t="n">
        <v>46058.42159722222</v>
      </c>
      <c r="C1718" s="1" t="n">
        <v>46184</v>
      </c>
      <c r="D1718" t="inlineStr">
        <is>
          <t>GÄVLEBORGS LÄN</t>
        </is>
      </c>
      <c r="E1718" t="inlineStr">
        <is>
          <t>BOLLNÄS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850-2026</t>
        </is>
      </c>
      <c r="B1719" s="1" t="n">
        <v>46030.39200231482</v>
      </c>
      <c r="C1719" s="1" t="n">
        <v>46184</v>
      </c>
      <c r="D1719" t="inlineStr">
        <is>
          <t>GÄVLEBORGS LÄN</t>
        </is>
      </c>
      <c r="E1719" t="inlineStr">
        <is>
          <t>BOLLNÄS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1988-2025</t>
        </is>
      </c>
      <c r="B1720" s="1" t="n">
        <v>45672.40888888889</v>
      </c>
      <c r="C1720" s="1" t="n">
        <v>46184</v>
      </c>
      <c r="D1720" t="inlineStr">
        <is>
          <t>GÄVLEBORGS LÄN</t>
        </is>
      </c>
      <c r="E1720" t="inlineStr">
        <is>
          <t>BOLLNÄS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2006-2025</t>
        </is>
      </c>
      <c r="B1721" s="1" t="n">
        <v>45672.45166666667</v>
      </c>
      <c r="C1721" s="1" t="n">
        <v>46184</v>
      </c>
      <c r="D1721" t="inlineStr">
        <is>
          <t>GÄVLEBORGS LÄN</t>
        </is>
      </c>
      <c r="E1721" t="inlineStr">
        <is>
          <t>BOLLNÄS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8528-2026</t>
        </is>
      </c>
      <c r="B1722" s="1" t="n">
        <v>46065.59579861111</v>
      </c>
      <c r="C1722" s="1" t="n">
        <v>46184</v>
      </c>
      <c r="D1722" t="inlineStr">
        <is>
          <t>GÄVLEBORGS LÄN</t>
        </is>
      </c>
      <c r="E1722" t="inlineStr">
        <is>
          <t>BOLLNÄS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6257-2026</t>
        </is>
      </c>
      <c r="B1723" s="1" t="n">
        <v>46055.47626157408</v>
      </c>
      <c r="C1723" s="1" t="n">
        <v>46184</v>
      </c>
      <c r="D1723" t="inlineStr">
        <is>
          <t>GÄVLEBORGS LÄN</t>
        </is>
      </c>
      <c r="E1723" t="inlineStr">
        <is>
          <t>BOLLNÄS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29715-2024</t>
        </is>
      </c>
      <c r="B1724" s="1" t="n">
        <v>45485.35292824074</v>
      </c>
      <c r="C1724" s="1" t="n">
        <v>46184</v>
      </c>
      <c r="D1724" t="inlineStr">
        <is>
          <t>GÄVLEBORGS LÄN</t>
        </is>
      </c>
      <c r="E1724" t="inlineStr">
        <is>
          <t>BOLLNÄS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4621-2026</t>
        </is>
      </c>
      <c r="B1725" s="1" t="n">
        <v>46048.37596064815</v>
      </c>
      <c r="C1725" s="1" t="n">
        <v>46184</v>
      </c>
      <c r="D1725" t="inlineStr">
        <is>
          <t>GÄVLEBORGS LÄN</t>
        </is>
      </c>
      <c r="E1725" t="inlineStr">
        <is>
          <t>BOLLNÄS</t>
        </is>
      </c>
      <c r="G1725" t="n">
        <v>6.2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644-2026</t>
        </is>
      </c>
      <c r="B1726" s="1" t="n">
        <v>46029</v>
      </c>
      <c r="C1726" s="1" t="n">
        <v>46184</v>
      </c>
      <c r="D1726" t="inlineStr">
        <is>
          <t>GÄVLEBORGS LÄN</t>
        </is>
      </c>
      <c r="E1726" t="inlineStr">
        <is>
          <t>BOLLNÄS</t>
        </is>
      </c>
      <c r="G1726" t="n">
        <v>24.2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49931-2023</t>
        </is>
      </c>
      <c r="B1727" s="1" t="n">
        <v>45215</v>
      </c>
      <c r="C1727" s="1" t="n">
        <v>46184</v>
      </c>
      <c r="D1727" t="inlineStr">
        <is>
          <t>GÄVLEBORGS LÄN</t>
        </is>
      </c>
      <c r="E1727" t="inlineStr">
        <is>
          <t>BOLLNÄS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8560-2026</t>
        </is>
      </c>
      <c r="B1728" s="1" t="n">
        <v>46065</v>
      </c>
      <c r="C1728" s="1" t="n">
        <v>46184</v>
      </c>
      <c r="D1728" t="inlineStr">
        <is>
          <t>GÄVLEBORGS LÄN</t>
        </is>
      </c>
      <c r="E1728" t="inlineStr">
        <is>
          <t>BOLLNÄS</t>
        </is>
      </c>
      <c r="G1728" t="n">
        <v>8.4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4617-2026</t>
        </is>
      </c>
      <c r="B1729" s="1" t="n">
        <v>46048.37231481481</v>
      </c>
      <c r="C1729" s="1" t="n">
        <v>46184</v>
      </c>
      <c r="D1729" t="inlineStr">
        <is>
          <t>GÄVLEBORGS LÄN</t>
        </is>
      </c>
      <c r="E1729" t="inlineStr">
        <is>
          <t>BOLLNÄS</t>
        </is>
      </c>
      <c r="G1729" t="n">
        <v>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19643-2026</t>
        </is>
      </c>
      <c r="B1730" s="1" t="n">
        <v>46134</v>
      </c>
      <c r="C1730" s="1" t="n">
        <v>46184</v>
      </c>
      <c r="D1730" t="inlineStr">
        <is>
          <t>GÄVLEBORGS LÄN</t>
        </is>
      </c>
      <c r="E1730" t="inlineStr">
        <is>
          <t>BOLLNÄS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25632-2022</t>
        </is>
      </c>
      <c r="B1731" s="1" t="n">
        <v>44732.92746527777</v>
      </c>
      <c r="C1731" s="1" t="n">
        <v>46184</v>
      </c>
      <c r="D1731" t="inlineStr">
        <is>
          <t>GÄVLEBORGS LÄN</t>
        </is>
      </c>
      <c r="E1731" t="inlineStr">
        <is>
          <t>BOLLNÄS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6025-2026</t>
        </is>
      </c>
      <c r="B1732" s="1" t="n">
        <v>46052.60608796297</v>
      </c>
      <c r="C1732" s="1" t="n">
        <v>46184</v>
      </c>
      <c r="D1732" t="inlineStr">
        <is>
          <t>GÄVLEBORGS LÄN</t>
        </is>
      </c>
      <c r="E1732" t="inlineStr">
        <is>
          <t>BOLLNÄS</t>
        </is>
      </c>
      <c r="G1732" t="n">
        <v>34.4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3489-2026</t>
        </is>
      </c>
      <c r="B1733" s="1" t="n">
        <v>46042</v>
      </c>
      <c r="C1733" s="1" t="n">
        <v>46184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29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51666-2022</t>
        </is>
      </c>
      <c r="B1734" s="1" t="n">
        <v>44872.42103009259</v>
      </c>
      <c r="C1734" s="1" t="n">
        <v>46184</v>
      </c>
      <c r="D1734" t="inlineStr">
        <is>
          <t>GÄVLEBORGS LÄN</t>
        </is>
      </c>
      <c r="E1734" t="inlineStr">
        <is>
          <t>BOLLNÄS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28179-2023</t>
        </is>
      </c>
      <c r="B1735" s="1" t="n">
        <v>45099.53201388889</v>
      </c>
      <c r="C1735" s="1" t="n">
        <v>46184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24742-2024</t>
        </is>
      </c>
      <c r="B1736" s="1" t="n">
        <v>45460.66289351852</v>
      </c>
      <c r="C1736" s="1" t="n">
        <v>46184</v>
      </c>
      <c r="D1736" t="inlineStr">
        <is>
          <t>GÄVLEBORGS LÄN</t>
        </is>
      </c>
      <c r="E1736" t="inlineStr">
        <is>
          <t>BOLLNÄS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25497-2026</t>
        </is>
      </c>
      <c r="B1737" s="1" t="n">
        <v>46177</v>
      </c>
      <c r="C1737" s="1" t="n">
        <v>46184</v>
      </c>
      <c r="D1737" t="inlineStr">
        <is>
          <t>GÄVLEBORGS LÄN</t>
        </is>
      </c>
      <c r="E1737" t="inlineStr">
        <is>
          <t>BOLLNÄS</t>
        </is>
      </c>
      <c r="G1737" t="n">
        <v>6.5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20252-2026</t>
        </is>
      </c>
      <c r="B1738" s="1" t="n">
        <v>46139.48202546296</v>
      </c>
      <c r="C1738" s="1" t="n">
        <v>46184</v>
      </c>
      <c r="D1738" t="inlineStr">
        <is>
          <t>GÄVLEBORGS LÄN</t>
        </is>
      </c>
      <c r="E1738" t="inlineStr">
        <is>
          <t>BOLLNÄS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7408-2026</t>
        </is>
      </c>
      <c r="B1739" s="1" t="n">
        <v>46059.40171296296</v>
      </c>
      <c r="C1739" s="1" t="n">
        <v>46184</v>
      </c>
      <c r="D1739" t="inlineStr">
        <is>
          <t>GÄVLEBORGS LÄN</t>
        </is>
      </c>
      <c r="E1739" t="inlineStr">
        <is>
          <t>BOLLNÄS</t>
        </is>
      </c>
      <c r="G1739" t="n">
        <v>10.8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49993-2024</t>
        </is>
      </c>
      <c r="B1740" s="1" t="n">
        <v>45597.84851851852</v>
      </c>
      <c r="C1740" s="1" t="n">
        <v>46184</v>
      </c>
      <c r="D1740" t="inlineStr">
        <is>
          <t>GÄVLEBORGS LÄN</t>
        </is>
      </c>
      <c r="E1740" t="inlineStr">
        <is>
          <t>BOLLNÄS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57546-2023</t>
        </is>
      </c>
      <c r="B1741" s="1" t="n">
        <v>45246</v>
      </c>
      <c r="C1741" s="1" t="n">
        <v>46184</v>
      </c>
      <c r="D1741" t="inlineStr">
        <is>
          <t>GÄVLEBORGS LÄN</t>
        </is>
      </c>
      <c r="E1741" t="inlineStr">
        <is>
          <t>BOLLNÄS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10447-2026</t>
        </is>
      </c>
      <c r="B1742" s="1" t="n">
        <v>46077.43527777777</v>
      </c>
      <c r="C1742" s="1" t="n">
        <v>46184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15355-2025</t>
        </is>
      </c>
      <c r="B1743" s="1" t="n">
        <v>45747.3884375</v>
      </c>
      <c r="C1743" s="1" t="n">
        <v>46184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5995-2026</t>
        </is>
      </c>
      <c r="B1744" s="1" t="n">
        <v>46052.5744212963</v>
      </c>
      <c r="C1744" s="1" t="n">
        <v>46184</v>
      </c>
      <c r="D1744" t="inlineStr">
        <is>
          <t>GÄVLEBORGS LÄN</t>
        </is>
      </c>
      <c r="E1744" t="inlineStr">
        <is>
          <t>BOLLNÄS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24034-2026</t>
        </is>
      </c>
      <c r="B1745" s="1" t="n">
        <v>46167</v>
      </c>
      <c r="C1745" s="1" t="n">
        <v>46184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18438-2024</t>
        </is>
      </c>
      <c r="B1746" s="1" t="n">
        <v>45425.44804398148</v>
      </c>
      <c r="C1746" s="1" t="n">
        <v>46184</v>
      </c>
      <c r="D1746" t="inlineStr">
        <is>
          <t>GÄVLEBORGS LÄN</t>
        </is>
      </c>
      <c r="E1746" t="inlineStr">
        <is>
          <t>BOLLNÄS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45598-2024</t>
        </is>
      </c>
      <c r="B1747" s="1" t="n">
        <v>45579</v>
      </c>
      <c r="C1747" s="1" t="n">
        <v>46184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Kommuner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20026-2026</t>
        </is>
      </c>
      <c r="B1748" s="1" t="n">
        <v>46136.54824074074</v>
      </c>
      <c r="C1748" s="1" t="n">
        <v>46184</v>
      </c>
      <c r="D1748" t="inlineStr">
        <is>
          <t>GÄVLEBORGS LÄN</t>
        </is>
      </c>
      <c r="E1748" t="inlineStr">
        <is>
          <t>BOLLNÄS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20228-2026</t>
        </is>
      </c>
      <c r="B1749" s="1" t="n">
        <v>46139.45240740741</v>
      </c>
      <c r="C1749" s="1" t="n">
        <v>46184</v>
      </c>
      <c r="D1749" t="inlineStr">
        <is>
          <t>GÄVLEBORGS LÄN</t>
        </is>
      </c>
      <c r="E1749" t="inlineStr">
        <is>
          <t>BOLLNÄS</t>
        </is>
      </c>
      <c r="G1749" t="n">
        <v>13.5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20247-2026</t>
        </is>
      </c>
      <c r="B1750" s="1" t="n">
        <v>46139</v>
      </c>
      <c r="C1750" s="1" t="n">
        <v>46184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63877-2025</t>
        </is>
      </c>
      <c r="B1751" s="1" t="n">
        <v>46020</v>
      </c>
      <c r="C1751" s="1" t="n">
        <v>46184</v>
      </c>
      <c r="D1751" t="inlineStr">
        <is>
          <t>GÄVLEBORGS LÄN</t>
        </is>
      </c>
      <c r="E1751" t="inlineStr">
        <is>
          <t>BOLLNÄS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12595-2026</t>
        </is>
      </c>
      <c r="B1752" s="1" t="n">
        <v>46090.91140046297</v>
      </c>
      <c r="C1752" s="1" t="n">
        <v>46184</v>
      </c>
      <c r="D1752" t="inlineStr">
        <is>
          <t>GÄVLEBORGS LÄN</t>
        </is>
      </c>
      <c r="E1752" t="inlineStr">
        <is>
          <t>BOLLNÄS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4291-2026</t>
        </is>
      </c>
      <c r="B1753" s="1" t="n">
        <v>46045</v>
      </c>
      <c r="C1753" s="1" t="n">
        <v>46184</v>
      </c>
      <c r="D1753" t="inlineStr">
        <is>
          <t>GÄVLEBORGS LÄN</t>
        </is>
      </c>
      <c r="E1753" t="inlineStr">
        <is>
          <t>BOLLNÄS</t>
        </is>
      </c>
      <c r="G1753" t="n">
        <v>14.4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20177-2026</t>
        </is>
      </c>
      <c r="B1754" s="1" t="n">
        <v>46139.35946759259</v>
      </c>
      <c r="C1754" s="1" t="n">
        <v>46184</v>
      </c>
      <c r="D1754" t="inlineStr">
        <is>
          <t>GÄVLEBORGS LÄN</t>
        </is>
      </c>
      <c r="E1754" t="inlineStr">
        <is>
          <t>BOLLNÄS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9528-2026</t>
        </is>
      </c>
      <c r="B1755" s="1" t="n">
        <v>46071.60604166667</v>
      </c>
      <c r="C1755" s="1" t="n">
        <v>46184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14979-2026</t>
        </is>
      </c>
      <c r="B1756" s="1" t="n">
        <v>46104.57554398148</v>
      </c>
      <c r="C1756" s="1" t="n">
        <v>46184</v>
      </c>
      <c r="D1756" t="inlineStr">
        <is>
          <t>GÄVLEBORGS LÄN</t>
        </is>
      </c>
      <c r="E1756" t="inlineStr">
        <is>
          <t>BOLLNÄS</t>
        </is>
      </c>
      <c r="G1756" t="n">
        <v>25.1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20024-2026</t>
        </is>
      </c>
      <c r="B1757" s="1" t="n">
        <v>46136.54539351852</v>
      </c>
      <c r="C1757" s="1" t="n">
        <v>46184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16935-2026</t>
        </is>
      </c>
      <c r="B1758" s="1" t="n">
        <v>46113</v>
      </c>
      <c r="C1758" s="1" t="n">
        <v>46184</v>
      </c>
      <c r="D1758" t="inlineStr">
        <is>
          <t>GÄVLEBORGS LÄN</t>
        </is>
      </c>
      <c r="E1758" t="inlineStr">
        <is>
          <t>BOLLNÄS</t>
        </is>
      </c>
      <c r="G1758" t="n">
        <v>10.1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28477-2025</t>
        </is>
      </c>
      <c r="B1759" s="1" t="n">
        <v>45819.44628472222</v>
      </c>
      <c r="C1759" s="1" t="n">
        <v>46184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20285-2026</t>
        </is>
      </c>
      <c r="B1760" s="1" t="n">
        <v>46139.54483796296</v>
      </c>
      <c r="C1760" s="1" t="n">
        <v>46184</v>
      </c>
      <c r="D1760" t="inlineStr">
        <is>
          <t>GÄVLEBORGS LÄN</t>
        </is>
      </c>
      <c r="E1760" t="inlineStr">
        <is>
          <t>BOLLNÄS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20287-2026</t>
        </is>
      </c>
      <c r="B1761" s="1" t="n">
        <v>46139.54623842592</v>
      </c>
      <c r="C1761" s="1" t="n">
        <v>46184</v>
      </c>
      <c r="D1761" t="inlineStr">
        <is>
          <t>GÄVLEBORGS LÄN</t>
        </is>
      </c>
      <c r="E1761" t="inlineStr">
        <is>
          <t>BOLLNÄS</t>
        </is>
      </c>
      <c r="G1761" t="n">
        <v>6.9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6251-2026</t>
        </is>
      </c>
      <c r="B1762" s="1" t="n">
        <v>46055.4719212963</v>
      </c>
      <c r="C1762" s="1" t="n">
        <v>46184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20030-2026</t>
        </is>
      </c>
      <c r="B1763" s="1" t="n">
        <v>46136.5504050926</v>
      </c>
      <c r="C1763" s="1" t="n">
        <v>46184</v>
      </c>
      <c r="D1763" t="inlineStr">
        <is>
          <t>GÄVLEBORGS LÄN</t>
        </is>
      </c>
      <c r="E1763" t="inlineStr">
        <is>
          <t>BOLLNÄS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12342-2026</t>
        </is>
      </c>
      <c r="B1764" s="1" t="n">
        <v>46087.66733796296</v>
      </c>
      <c r="C1764" s="1" t="n">
        <v>46184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20028-2026</t>
        </is>
      </c>
      <c r="B1765" s="1" t="n">
        <v>46136.54943287037</v>
      </c>
      <c r="C1765" s="1" t="n">
        <v>46184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6430-2026</t>
        </is>
      </c>
      <c r="B1766" s="1" t="n">
        <v>46055</v>
      </c>
      <c r="C1766" s="1" t="n">
        <v>46184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8.6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840-2026</t>
        </is>
      </c>
      <c r="B1767" s="1" t="n">
        <v>46030.37694444445</v>
      </c>
      <c r="C1767" s="1" t="n">
        <v>46184</v>
      </c>
      <c r="D1767" t="inlineStr">
        <is>
          <t>GÄVLEBORGS LÄN</t>
        </is>
      </c>
      <c r="E1767" t="inlineStr">
        <is>
          <t>BOLLNÄS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11335-2026</t>
        </is>
      </c>
      <c r="B1768" s="1" t="n">
        <v>46082.41400462963</v>
      </c>
      <c r="C1768" s="1" t="n">
        <v>46184</v>
      </c>
      <c r="D1768" t="inlineStr">
        <is>
          <t>GÄVLEBORGS LÄN</t>
        </is>
      </c>
      <c r="E1768" t="inlineStr">
        <is>
          <t>BOLLNÄS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20042-2026</t>
        </is>
      </c>
      <c r="B1769" s="1" t="n">
        <v>46136</v>
      </c>
      <c r="C1769" s="1" t="n">
        <v>46184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16628-2026</t>
        </is>
      </c>
      <c r="B1770" s="1" t="n">
        <v>46112</v>
      </c>
      <c r="C1770" s="1" t="n">
        <v>46184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16660-2026</t>
        </is>
      </c>
      <c r="B1771" s="1" t="n">
        <v>46112</v>
      </c>
      <c r="C1771" s="1" t="n">
        <v>46184</v>
      </c>
      <c r="D1771" t="inlineStr">
        <is>
          <t>GÄVLEBORGS LÄN</t>
        </is>
      </c>
      <c r="E1771" t="inlineStr">
        <is>
          <t>BOLLNÄS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2996-2026</t>
        </is>
      </c>
      <c r="B1772" s="1" t="n">
        <v>46038</v>
      </c>
      <c r="C1772" s="1" t="n">
        <v>46184</v>
      </c>
      <c r="D1772" t="inlineStr">
        <is>
          <t>GÄVLEBORGS LÄN</t>
        </is>
      </c>
      <c r="E1772" t="inlineStr">
        <is>
          <t>BOLLNÄS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1647-2026</t>
        </is>
      </c>
      <c r="B1773" s="1" t="n">
        <v>46034</v>
      </c>
      <c r="C1773" s="1" t="n">
        <v>46184</v>
      </c>
      <c r="D1773" t="inlineStr">
        <is>
          <t>GÄVLEBORGS LÄN</t>
        </is>
      </c>
      <c r="E1773" t="inlineStr">
        <is>
          <t>BOLLNÄS</t>
        </is>
      </c>
      <c r="G1773" t="n">
        <v>6.1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3908-2026</t>
        </is>
      </c>
      <c r="B1774" s="1" t="n">
        <v>46043.70530092593</v>
      </c>
      <c r="C1774" s="1" t="n">
        <v>46184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252-2026</t>
        </is>
      </c>
      <c r="B1775" s="1" t="n">
        <v>46027</v>
      </c>
      <c r="C1775" s="1" t="n">
        <v>46184</v>
      </c>
      <c r="D1775" t="inlineStr">
        <is>
          <t>GÄVLEBORGS LÄN</t>
        </is>
      </c>
      <c r="E1775" t="inlineStr">
        <is>
          <t>BOLLNÄS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1172-2026</t>
        </is>
      </c>
      <c r="B1776" s="1" t="n">
        <v>46031</v>
      </c>
      <c r="C1776" s="1" t="n">
        <v>46184</v>
      </c>
      <c r="D1776" t="inlineStr">
        <is>
          <t>GÄVLEBORGS LÄN</t>
        </is>
      </c>
      <c r="E1776" t="inlineStr">
        <is>
          <t>BOLLNÄS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4039-2026</t>
        </is>
      </c>
      <c r="B1777" s="1" t="n">
        <v>46044</v>
      </c>
      <c r="C1777" s="1" t="n">
        <v>46184</v>
      </c>
      <c r="D1777" t="inlineStr">
        <is>
          <t>GÄVLEBORGS LÄN</t>
        </is>
      </c>
      <c r="E1777" t="inlineStr">
        <is>
          <t>BOLLNÄS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510-2026</t>
        </is>
      </c>
      <c r="B1778" s="1" t="n">
        <v>46029</v>
      </c>
      <c r="C1778" s="1" t="n">
        <v>46184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14256-2026</t>
        </is>
      </c>
      <c r="B1779" s="1" t="n">
        <v>46099.62702546296</v>
      </c>
      <c r="C1779" s="1" t="n">
        <v>46184</v>
      </c>
      <c r="D1779" t="inlineStr">
        <is>
          <t>GÄVLEBORGS LÄN</t>
        </is>
      </c>
      <c r="E1779" t="inlineStr">
        <is>
          <t>BOLLNÄS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14262-2026</t>
        </is>
      </c>
      <c r="B1780" s="1" t="n">
        <v>46099</v>
      </c>
      <c r="C1780" s="1" t="n">
        <v>46184</v>
      </c>
      <c r="D1780" t="inlineStr">
        <is>
          <t>GÄVLEBORGS LÄN</t>
        </is>
      </c>
      <c r="E1780" t="inlineStr">
        <is>
          <t>BOLLNÄS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2311-2024</t>
        </is>
      </c>
      <c r="B1781" s="1" t="n">
        <v>45310</v>
      </c>
      <c r="C1781" s="1" t="n">
        <v>46184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Övriga statliga verk och myndigheter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5999-2026</t>
        </is>
      </c>
      <c r="B1782" s="1" t="n">
        <v>46052</v>
      </c>
      <c r="C1782" s="1" t="n">
        <v>46184</v>
      </c>
      <c r="D1782" t="inlineStr">
        <is>
          <t>GÄVLEBORGS LÄN</t>
        </is>
      </c>
      <c r="E1782" t="inlineStr">
        <is>
          <t>BOLLNÄS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11656-2026</t>
        </is>
      </c>
      <c r="B1783" s="1" t="n">
        <v>46084.53690972222</v>
      </c>
      <c r="C1783" s="1" t="n">
        <v>46184</v>
      </c>
      <c r="D1783" t="inlineStr">
        <is>
          <t>GÄVLEBORGS LÄN</t>
        </is>
      </c>
      <c r="E1783" t="inlineStr">
        <is>
          <t>BOLLNÄS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13878-2026</t>
        </is>
      </c>
      <c r="B1784" s="1" t="n">
        <v>46098</v>
      </c>
      <c r="C1784" s="1" t="n">
        <v>46184</v>
      </c>
      <c r="D1784" t="inlineStr">
        <is>
          <t>GÄVLEBORGS LÄN</t>
        </is>
      </c>
      <c r="E1784" t="inlineStr">
        <is>
          <t>BOLLNÄS</t>
        </is>
      </c>
      <c r="G1784" t="n">
        <v>8.699999999999999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20227-2026</t>
        </is>
      </c>
      <c r="B1785" s="1" t="n">
        <v>46139.45105324074</v>
      </c>
      <c r="C1785" s="1" t="n">
        <v>46184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öst AB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19921-2026</t>
        </is>
      </c>
      <c r="B1786" s="1" t="n">
        <v>46136.36048611111</v>
      </c>
      <c r="C1786" s="1" t="n">
        <v>46184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öst AB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14050-2023</t>
        </is>
      </c>
      <c r="B1787" s="1" t="n">
        <v>45008</v>
      </c>
      <c r="C1787" s="1" t="n">
        <v>46184</v>
      </c>
      <c r="D1787" t="inlineStr">
        <is>
          <t>GÄVLEBORGS LÄN</t>
        </is>
      </c>
      <c r="E1787" t="inlineStr">
        <is>
          <t>BOLLNÄS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31385-2023</t>
        </is>
      </c>
      <c r="B1788" s="1" t="n">
        <v>45114</v>
      </c>
      <c r="C1788" s="1" t="n">
        <v>46184</v>
      </c>
      <c r="D1788" t="inlineStr">
        <is>
          <t>GÄVLEBORGS LÄN</t>
        </is>
      </c>
      <c r="E1788" t="inlineStr">
        <is>
          <t>BOLLNÄS</t>
        </is>
      </c>
      <c r="G1788" t="n">
        <v>6.9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3322-2026</t>
        </is>
      </c>
      <c r="B1789" s="1" t="n">
        <v>46041</v>
      </c>
      <c r="C1789" s="1" t="n">
        <v>46184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13807-2026</t>
        </is>
      </c>
      <c r="B1790" s="1" t="n">
        <v>46098.27775462963</v>
      </c>
      <c r="C1790" s="1" t="n">
        <v>46184</v>
      </c>
      <c r="D1790" t="inlineStr">
        <is>
          <t>GÄVLEBORGS LÄN</t>
        </is>
      </c>
      <c r="E1790" t="inlineStr">
        <is>
          <t>BOLLNÄS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16564-2026</t>
        </is>
      </c>
      <c r="B1791" s="1" t="n">
        <v>46112</v>
      </c>
      <c r="C1791" s="1" t="n">
        <v>46184</v>
      </c>
      <c r="D1791" t="inlineStr">
        <is>
          <t>GÄVLEBORGS LÄN</t>
        </is>
      </c>
      <c r="E1791" t="inlineStr">
        <is>
          <t>BOLLNÄS</t>
        </is>
      </c>
      <c r="G1791" t="n">
        <v>3.7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10198-2026</t>
        </is>
      </c>
      <c r="B1792" s="1" t="n">
        <v>46076</v>
      </c>
      <c r="C1792" s="1" t="n">
        <v>46184</v>
      </c>
      <c r="D1792" t="inlineStr">
        <is>
          <t>GÄVLEBORGS LÄN</t>
        </is>
      </c>
      <c r="E1792" t="inlineStr">
        <is>
          <t>BOLLNÄS</t>
        </is>
      </c>
      <c r="G1792" t="n">
        <v>15.9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26041-2026</t>
        </is>
      </c>
      <c r="B1793" s="1" t="n">
        <v>46181.55699074074</v>
      </c>
      <c r="C1793" s="1" t="n">
        <v>46184</v>
      </c>
      <c r="D1793" t="inlineStr">
        <is>
          <t>GÄVLEBORGS LÄN</t>
        </is>
      </c>
      <c r="E1793" t="inlineStr">
        <is>
          <t>BOLLNÄS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11989-2026</t>
        </is>
      </c>
      <c r="B1794" s="1" t="n">
        <v>46085</v>
      </c>
      <c r="C1794" s="1" t="n">
        <v>46184</v>
      </c>
      <c r="D1794" t="inlineStr">
        <is>
          <t>GÄVLEBORGS LÄN</t>
        </is>
      </c>
      <c r="E1794" t="inlineStr">
        <is>
          <t>BOLLNÄS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8906-2026</t>
        </is>
      </c>
      <c r="B1795" s="1" t="n">
        <v>46069</v>
      </c>
      <c r="C1795" s="1" t="n">
        <v>46184</v>
      </c>
      <c r="D1795" t="inlineStr">
        <is>
          <t>GÄVLEBORGS LÄN</t>
        </is>
      </c>
      <c r="E1795" t="inlineStr">
        <is>
          <t>BOLLNÄS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5147-2026</t>
        </is>
      </c>
      <c r="B1796" s="1" t="n">
        <v>46049.61094907407</v>
      </c>
      <c r="C1796" s="1" t="n">
        <v>46184</v>
      </c>
      <c r="D1796" t="inlineStr">
        <is>
          <t>GÄVLEBORGS LÄN</t>
        </is>
      </c>
      <c r="E1796" t="inlineStr">
        <is>
          <t>BOLLNÄS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255-2026</t>
        </is>
      </c>
      <c r="B1797" s="1" t="n">
        <v>46027</v>
      </c>
      <c r="C1797" s="1" t="n">
        <v>46184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61220-2022</t>
        </is>
      </c>
      <c r="B1798" s="1" t="n">
        <v>44915.55640046296</v>
      </c>
      <c r="C1798" s="1" t="n">
        <v>46184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20154-2026</t>
        </is>
      </c>
      <c r="B1799" s="1" t="n">
        <v>46138</v>
      </c>
      <c r="C1799" s="1" t="n">
        <v>46184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20263-2026</t>
        </is>
      </c>
      <c r="B1800" s="1" t="n">
        <v>46139.49690972222</v>
      </c>
      <c r="C1800" s="1" t="n">
        <v>46184</v>
      </c>
      <c r="D1800" t="inlineStr">
        <is>
          <t>GÄVLEBORGS LÄN</t>
        </is>
      </c>
      <c r="E1800" t="inlineStr">
        <is>
          <t>BOLLNÄS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40653-2023</t>
        </is>
      </c>
      <c r="B1801" s="1" t="n">
        <v>45169</v>
      </c>
      <c r="C1801" s="1" t="n">
        <v>46184</v>
      </c>
      <c r="D1801" t="inlineStr">
        <is>
          <t>GÄVLEBORGS LÄN</t>
        </is>
      </c>
      <c r="E1801" t="inlineStr">
        <is>
          <t>BOLLNÄS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3451-2026</t>
        </is>
      </c>
      <c r="B1802" s="1" t="n">
        <v>46042</v>
      </c>
      <c r="C1802" s="1" t="n">
        <v>46184</v>
      </c>
      <c r="D1802" t="inlineStr">
        <is>
          <t>GÄVLEBORGS LÄN</t>
        </is>
      </c>
      <c r="E1802" t="inlineStr">
        <is>
          <t>BOLLNÄS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2404-2026</t>
        </is>
      </c>
      <c r="B1803" s="1" t="n">
        <v>46036.69736111111</v>
      </c>
      <c r="C1803" s="1" t="n">
        <v>46184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2064-2026</t>
        </is>
      </c>
      <c r="B1804" s="1" t="n">
        <v>46035</v>
      </c>
      <c r="C1804" s="1" t="n">
        <v>46184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22.7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8916-2026</t>
        </is>
      </c>
      <c r="B1805" s="1" t="n">
        <v>46069.31414351852</v>
      </c>
      <c r="C1805" s="1" t="n">
        <v>46184</v>
      </c>
      <c r="D1805" t="inlineStr">
        <is>
          <t>GÄVLEBORGS LÄN</t>
        </is>
      </c>
      <c r="E1805" t="inlineStr">
        <is>
          <t>BOLLNÄS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29777-2025</t>
        </is>
      </c>
      <c r="B1806" s="1" t="n">
        <v>45825.64113425926</v>
      </c>
      <c r="C1806" s="1" t="n">
        <v>46184</v>
      </c>
      <c r="D1806" t="inlineStr">
        <is>
          <t>GÄVLEBORGS LÄN</t>
        </is>
      </c>
      <c r="E1806" t="inlineStr">
        <is>
          <t>BOLLNÄS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20219-2026</t>
        </is>
      </c>
      <c r="B1807" s="1" t="n">
        <v>46139.43606481481</v>
      </c>
      <c r="C1807" s="1" t="n">
        <v>46184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Bergvik skog öst AB</t>
        </is>
      </c>
      <c r="G1807" t="n">
        <v>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20283-2026</t>
        </is>
      </c>
      <c r="B1808" s="1" t="n">
        <v>46139.54359953704</v>
      </c>
      <c r="C1808" s="1" t="n">
        <v>46184</v>
      </c>
      <c r="D1808" t="inlineStr">
        <is>
          <t>GÄVLEBORGS LÄN</t>
        </is>
      </c>
      <c r="E1808" t="inlineStr">
        <is>
          <t>BOLLNÄS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20292-2026</t>
        </is>
      </c>
      <c r="B1809" s="1" t="n">
        <v>46139.55296296296</v>
      </c>
      <c r="C1809" s="1" t="n">
        <v>46184</v>
      </c>
      <c r="D1809" t="inlineStr">
        <is>
          <t>GÄVLEBORGS LÄN</t>
        </is>
      </c>
      <c r="E1809" t="inlineStr">
        <is>
          <t>BOLLNÄS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1199-2026</t>
        </is>
      </c>
      <c r="B1810" s="1" t="n">
        <v>46031</v>
      </c>
      <c r="C1810" s="1" t="n">
        <v>46184</v>
      </c>
      <c r="D1810" t="inlineStr">
        <is>
          <t>GÄVLEBORGS LÄN</t>
        </is>
      </c>
      <c r="E1810" t="inlineStr">
        <is>
          <t>BOLLNÄS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23930-2025</t>
        </is>
      </c>
      <c r="B1811" s="1" t="n">
        <v>45795.6452662037</v>
      </c>
      <c r="C1811" s="1" t="n">
        <v>46184</v>
      </c>
      <c r="D1811" t="inlineStr">
        <is>
          <t>GÄVLEBORGS LÄN</t>
        </is>
      </c>
      <c r="E1811" t="inlineStr">
        <is>
          <t>BOLLNÄS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33086-2022</t>
        </is>
      </c>
      <c r="B1812" s="1" t="n">
        <v>44785.455</v>
      </c>
      <c r="C1812" s="1" t="n">
        <v>46184</v>
      </c>
      <c r="D1812" t="inlineStr">
        <is>
          <t>GÄVLEBORGS LÄN</t>
        </is>
      </c>
      <c r="E1812" t="inlineStr">
        <is>
          <t>BOLLNÄS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20180-2026</t>
        </is>
      </c>
      <c r="B1813" s="1" t="n">
        <v>46139.36141203704</v>
      </c>
      <c r="C1813" s="1" t="n">
        <v>46184</v>
      </c>
      <c r="D1813" t="inlineStr">
        <is>
          <t>GÄVLEBORGS LÄN</t>
        </is>
      </c>
      <c r="E1813" t="inlineStr">
        <is>
          <t>BOLLNÄS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20236-2026</t>
        </is>
      </c>
      <c r="B1814" s="1" t="n">
        <v>46139.46402777778</v>
      </c>
      <c r="C1814" s="1" t="n">
        <v>46184</v>
      </c>
      <c r="D1814" t="inlineStr">
        <is>
          <t>GÄVLEBORGS LÄN</t>
        </is>
      </c>
      <c r="E1814" t="inlineStr">
        <is>
          <t>BOLLNÄS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26065-2026</t>
        </is>
      </c>
      <c r="B1815" s="1" t="n">
        <v>46181.60700231481</v>
      </c>
      <c r="C1815" s="1" t="n">
        <v>46184</v>
      </c>
      <c r="D1815" t="inlineStr">
        <is>
          <t>GÄVLEBORGS LÄN</t>
        </is>
      </c>
      <c r="E1815" t="inlineStr">
        <is>
          <t>BOLLNÄS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595-2025</t>
        </is>
      </c>
      <c r="B1816" s="1" t="n">
        <v>45664.58971064815</v>
      </c>
      <c r="C1816" s="1" t="n">
        <v>46184</v>
      </c>
      <c r="D1816" t="inlineStr">
        <is>
          <t>GÄVLEBORGS LÄN</t>
        </is>
      </c>
      <c r="E1816" t="inlineStr">
        <is>
          <t>BOLLNÄS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25177-2023</t>
        </is>
      </c>
      <c r="B1817" s="1" t="n">
        <v>45086.51684027778</v>
      </c>
      <c r="C1817" s="1" t="n">
        <v>46184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Sveaskog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37983-2025</t>
        </is>
      </c>
      <c r="B1818" s="1" t="n">
        <v>45881.69613425926</v>
      </c>
      <c r="C1818" s="1" t="n">
        <v>46184</v>
      </c>
      <c r="D1818" t="inlineStr">
        <is>
          <t>GÄVLEBORGS LÄN</t>
        </is>
      </c>
      <c r="E1818" t="inlineStr">
        <is>
          <t>BOLLNÄS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7576-2026</t>
        </is>
      </c>
      <c r="B1819" s="1" t="n">
        <v>46061.40879629629</v>
      </c>
      <c r="C1819" s="1" t="n">
        <v>46184</v>
      </c>
      <c r="D1819" t="inlineStr">
        <is>
          <t>GÄVLEBORGS LÄN</t>
        </is>
      </c>
      <c r="E1819" t="inlineStr">
        <is>
          <t>BOLLNÄS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2643-2026</t>
        </is>
      </c>
      <c r="B1820" s="1" t="n">
        <v>46037.62107638889</v>
      </c>
      <c r="C1820" s="1" t="n">
        <v>46184</v>
      </c>
      <c r="D1820" t="inlineStr">
        <is>
          <t>GÄVLEBORGS LÄN</t>
        </is>
      </c>
      <c r="E1820" t="inlineStr">
        <is>
          <t>BOLLNÄS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8008-2026</t>
        </is>
      </c>
      <c r="B1821" s="1" t="n">
        <v>46063</v>
      </c>
      <c r="C1821" s="1" t="n">
        <v>46184</v>
      </c>
      <c r="D1821" t="inlineStr">
        <is>
          <t>GÄVLEBORGS LÄN</t>
        </is>
      </c>
      <c r="E1821" t="inlineStr">
        <is>
          <t>BOLLNÄS</t>
        </is>
      </c>
      <c r="G1821" t="n">
        <v>14.6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8902-2026</t>
        </is>
      </c>
      <c r="B1822" s="1" t="n">
        <v>46068.77114583334</v>
      </c>
      <c r="C1822" s="1" t="n">
        <v>46184</v>
      </c>
      <c r="D1822" t="inlineStr">
        <is>
          <t>GÄVLEBORGS LÄN</t>
        </is>
      </c>
      <c r="E1822" t="inlineStr">
        <is>
          <t>BOLLNÄS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19919-2026</t>
        </is>
      </c>
      <c r="B1823" s="1" t="n">
        <v>46136.3561574074</v>
      </c>
      <c r="C1823" s="1" t="n">
        <v>46184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öst AB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19486-2026</t>
        </is>
      </c>
      <c r="B1824" s="1" t="n">
        <v>46134</v>
      </c>
      <c r="C1824" s="1" t="n">
        <v>46184</v>
      </c>
      <c r="D1824" t="inlineStr">
        <is>
          <t>GÄVLEBORGS LÄN</t>
        </is>
      </c>
      <c r="E1824" t="inlineStr">
        <is>
          <t>BOLLNÄS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19926-2026</t>
        </is>
      </c>
      <c r="B1825" s="1" t="n">
        <v>46136</v>
      </c>
      <c r="C1825" s="1" t="n">
        <v>46184</v>
      </c>
      <c r="D1825" t="inlineStr">
        <is>
          <t>GÄVLEBORGS LÄN</t>
        </is>
      </c>
      <c r="E1825" t="inlineStr">
        <is>
          <t>BOLLNÄS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19969-2026</t>
        </is>
      </c>
      <c r="B1826" s="1" t="n">
        <v>46136</v>
      </c>
      <c r="C1826" s="1" t="n">
        <v>46184</v>
      </c>
      <c r="D1826" t="inlineStr">
        <is>
          <t>GÄVLEBORGS LÄN</t>
        </is>
      </c>
      <c r="E1826" t="inlineStr">
        <is>
          <t>BOLLNÄS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63862-2023</t>
        </is>
      </c>
      <c r="B1827" s="1" t="n">
        <v>45278.49693287037</v>
      </c>
      <c r="C1827" s="1" t="n">
        <v>46184</v>
      </c>
      <c r="D1827" t="inlineStr">
        <is>
          <t>GÄVLEBORGS LÄN</t>
        </is>
      </c>
      <c r="E1827" t="inlineStr">
        <is>
          <t>BOLLNÄS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20189-2026</t>
        </is>
      </c>
      <c r="B1828" s="1" t="n">
        <v>46139.37150462963</v>
      </c>
      <c r="C1828" s="1" t="n">
        <v>46184</v>
      </c>
      <c r="D1828" t="inlineStr">
        <is>
          <t>GÄVLEBORGS LÄN</t>
        </is>
      </c>
      <c r="E1828" t="inlineStr">
        <is>
          <t>BOLLNÄS</t>
        </is>
      </c>
      <c r="G1828" t="n">
        <v>11.7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20268-2026</t>
        </is>
      </c>
      <c r="B1829" s="1" t="n">
        <v>46139.51104166666</v>
      </c>
      <c r="C1829" s="1" t="n">
        <v>46184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Kyrkan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20271-2026</t>
        </is>
      </c>
      <c r="B1830" s="1" t="n">
        <v>46139.51938657407</v>
      </c>
      <c r="C1830" s="1" t="n">
        <v>46184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Kyrkan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24035-2026</t>
        </is>
      </c>
      <c r="B1831" s="1" t="n">
        <v>46167</v>
      </c>
      <c r="C1831" s="1" t="n">
        <v>46184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14.6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24039-2026</t>
        </is>
      </c>
      <c r="B1832" s="1" t="n">
        <v>46167</v>
      </c>
      <c r="C1832" s="1" t="n">
        <v>46184</v>
      </c>
      <c r="D1832" t="inlineStr">
        <is>
          <t>GÄVLEBORGS LÄN</t>
        </is>
      </c>
      <c r="E1832" t="inlineStr">
        <is>
          <t>BOLLNÄS</t>
        </is>
      </c>
      <c r="F1832" t="inlineStr">
        <is>
          <t>Bergvik skog väst AB</t>
        </is>
      </c>
      <c r="G1832" t="n">
        <v>27.5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5577-2026</t>
        </is>
      </c>
      <c r="B1833" s="1" t="n">
        <v>46051.28708333334</v>
      </c>
      <c r="C1833" s="1" t="n">
        <v>46184</v>
      </c>
      <c r="D1833" t="inlineStr">
        <is>
          <t>GÄVLEBORGS LÄN</t>
        </is>
      </c>
      <c r="E1833" t="inlineStr">
        <is>
          <t>BOLLNÄS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8594-2026</t>
        </is>
      </c>
      <c r="B1834" s="1" t="n">
        <v>46065</v>
      </c>
      <c r="C1834" s="1" t="n">
        <v>46184</v>
      </c>
      <c r="D1834" t="inlineStr">
        <is>
          <t>GÄVLEBORGS LÄN</t>
        </is>
      </c>
      <c r="E1834" t="inlineStr">
        <is>
          <t>BOLLNÄS</t>
        </is>
      </c>
      <c r="G1834" t="n">
        <v>17.2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9667-2026</t>
        </is>
      </c>
      <c r="B1835" s="1" t="n">
        <v>46072.36858796296</v>
      </c>
      <c r="C1835" s="1" t="n">
        <v>46184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26039-2026</t>
        </is>
      </c>
      <c r="B1836" s="1" t="n">
        <v>46181.54434027777</v>
      </c>
      <c r="C1836" s="1" t="n">
        <v>46184</v>
      </c>
      <c r="D1836" t="inlineStr">
        <is>
          <t>GÄVLEBORGS LÄN</t>
        </is>
      </c>
      <c r="E1836" t="inlineStr">
        <is>
          <t>BOLLNÄS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20060-2026</t>
        </is>
      </c>
      <c r="B1837" s="1" t="n">
        <v>46136</v>
      </c>
      <c r="C1837" s="1" t="n">
        <v>46184</v>
      </c>
      <c r="D1837" t="inlineStr">
        <is>
          <t>GÄVLEBORGS LÄN</t>
        </is>
      </c>
      <c r="E1837" t="inlineStr">
        <is>
          <t>BOLLNÄS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26531-2023</t>
        </is>
      </c>
      <c r="B1838" s="1" t="n">
        <v>45092.57606481481</v>
      </c>
      <c r="C1838" s="1" t="n">
        <v>46184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3353-2026</t>
        </is>
      </c>
      <c r="B1839" s="1" t="n">
        <v>46042.24451388889</v>
      </c>
      <c r="C1839" s="1" t="n">
        <v>46184</v>
      </c>
      <c r="D1839" t="inlineStr">
        <is>
          <t>GÄVLEBORGS LÄN</t>
        </is>
      </c>
      <c r="E1839" t="inlineStr">
        <is>
          <t>BOLLNÄS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543-2026</t>
        </is>
      </c>
      <c r="B1840" s="1" t="n">
        <v>46029.45841435185</v>
      </c>
      <c r="C1840" s="1" t="n">
        <v>46184</v>
      </c>
      <c r="D1840" t="inlineStr">
        <is>
          <t>GÄVLEBORGS LÄN</t>
        </is>
      </c>
      <c r="E1840" t="inlineStr">
        <is>
          <t>BOLLNÄS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15826-2026</t>
        </is>
      </c>
      <c r="B1841" s="1" t="n">
        <v>46107</v>
      </c>
      <c r="C1841" s="1" t="n">
        <v>46184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20222-2026</t>
        </is>
      </c>
      <c r="B1842" s="1" t="n">
        <v>46139.44053240741</v>
      </c>
      <c r="C1842" s="1" t="n">
        <v>46184</v>
      </c>
      <c r="D1842" t="inlineStr">
        <is>
          <t>GÄVLEBORGS LÄN</t>
        </is>
      </c>
      <c r="E1842" t="inlineStr">
        <is>
          <t>BOLLNÄS</t>
        </is>
      </c>
      <c r="G1842" t="n">
        <v>18.3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16936-2026</t>
        </is>
      </c>
      <c r="B1843" s="1" t="n">
        <v>46113</v>
      </c>
      <c r="C1843" s="1" t="n">
        <v>46184</v>
      </c>
      <c r="D1843" t="inlineStr">
        <is>
          <t>GÄVLEBORGS LÄN</t>
        </is>
      </c>
      <c r="E1843" t="inlineStr">
        <is>
          <t>BOLLNÄS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13808-2026</t>
        </is>
      </c>
      <c r="B1844" s="1" t="n">
        <v>46098.28721064814</v>
      </c>
      <c r="C1844" s="1" t="n">
        <v>46184</v>
      </c>
      <c r="D1844" t="inlineStr">
        <is>
          <t>GÄVLEBORGS LÄN</t>
        </is>
      </c>
      <c r="E1844" t="inlineStr">
        <is>
          <t>BOLLNÄS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825-2026</t>
        </is>
      </c>
      <c r="B1845" s="1" t="n">
        <v>46030</v>
      </c>
      <c r="C1845" s="1" t="n">
        <v>46184</v>
      </c>
      <c r="D1845" t="inlineStr">
        <is>
          <t>GÄVLEBORGS LÄN</t>
        </is>
      </c>
      <c r="E1845" t="inlineStr">
        <is>
          <t>BOLLNÄS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20186-2026</t>
        </is>
      </c>
      <c r="B1846" s="1" t="n">
        <v>46139.36732638889</v>
      </c>
      <c r="C1846" s="1" t="n">
        <v>46184</v>
      </c>
      <c r="D1846" t="inlineStr">
        <is>
          <t>GÄVLEBORGS LÄN</t>
        </is>
      </c>
      <c r="E1846" t="inlineStr">
        <is>
          <t>BOLLNÄS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6783-2026</t>
        </is>
      </c>
      <c r="B1847" s="1" t="n">
        <v>46057.31099537037</v>
      </c>
      <c r="C1847" s="1" t="n">
        <v>46184</v>
      </c>
      <c r="D1847" t="inlineStr">
        <is>
          <t>GÄVLEBORGS LÄN</t>
        </is>
      </c>
      <c r="E1847" t="inlineStr">
        <is>
          <t>BOLLNÄS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2361-2026</t>
        </is>
      </c>
      <c r="B1848" s="1" t="n">
        <v>46036.63957175926</v>
      </c>
      <c r="C1848" s="1" t="n">
        <v>46184</v>
      </c>
      <c r="D1848" t="inlineStr">
        <is>
          <t>GÄVLEBORGS LÄN</t>
        </is>
      </c>
      <c r="E1848" t="inlineStr">
        <is>
          <t>BOLLNÄS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20087-2026</t>
        </is>
      </c>
      <c r="B1849" s="1" t="n">
        <v>46136</v>
      </c>
      <c r="C1849" s="1" t="n">
        <v>46184</v>
      </c>
      <c r="D1849" t="inlineStr">
        <is>
          <t>GÄVLEBORGS LÄN</t>
        </is>
      </c>
      <c r="E1849" t="inlineStr">
        <is>
          <t>BOLLNÄS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20176-2026</t>
        </is>
      </c>
      <c r="B1850" s="1" t="n">
        <v>46139.3587962963</v>
      </c>
      <c r="C1850" s="1" t="n">
        <v>46184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Kyrkan</t>
        </is>
      </c>
      <c r="G1850" t="n">
        <v>4.7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10243-2025</t>
        </is>
      </c>
      <c r="B1851" s="1" t="n">
        <v>45720.3500462963</v>
      </c>
      <c r="C1851" s="1" t="n">
        <v>46184</v>
      </c>
      <c r="D1851" t="inlineStr">
        <is>
          <t>GÄVLEBORGS LÄN</t>
        </is>
      </c>
      <c r="E1851" t="inlineStr">
        <is>
          <t>BOLLNÄS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1672-2026</t>
        </is>
      </c>
      <c r="B1852" s="1" t="n">
        <v>46034.568125</v>
      </c>
      <c r="C1852" s="1" t="n">
        <v>46184</v>
      </c>
      <c r="D1852" t="inlineStr">
        <is>
          <t>GÄVLEBORGS LÄN</t>
        </is>
      </c>
      <c r="E1852" t="inlineStr">
        <is>
          <t>BOLLNÄS</t>
        </is>
      </c>
      <c r="G1852" t="n">
        <v>5.4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4300-2026</t>
        </is>
      </c>
      <c r="B1853" s="1" t="n">
        <v>46045.425625</v>
      </c>
      <c r="C1853" s="1" t="n">
        <v>46184</v>
      </c>
      <c r="D1853" t="inlineStr">
        <is>
          <t>GÄVLEBORGS LÄN</t>
        </is>
      </c>
      <c r="E1853" t="inlineStr">
        <is>
          <t>BOLLNÄS</t>
        </is>
      </c>
      <c r="G1853" t="n">
        <v>8.699999999999999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9873-2026</t>
        </is>
      </c>
      <c r="B1854" s="1" t="n">
        <v>46073.30528935185</v>
      </c>
      <c r="C1854" s="1" t="n">
        <v>46184</v>
      </c>
      <c r="D1854" t="inlineStr">
        <is>
          <t>GÄVLEBORGS LÄN</t>
        </is>
      </c>
      <c r="E1854" t="inlineStr">
        <is>
          <t>BOLLNÄS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36594-2023</t>
        </is>
      </c>
      <c r="B1855" s="1" t="n">
        <v>45153</v>
      </c>
      <c r="C1855" s="1" t="n">
        <v>46184</v>
      </c>
      <c r="D1855" t="inlineStr">
        <is>
          <t>GÄVLEBORGS LÄN</t>
        </is>
      </c>
      <c r="E1855" t="inlineStr">
        <is>
          <t>BOLLNÄS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16944-2026</t>
        </is>
      </c>
      <c r="B1856" s="1" t="n">
        <v>46113.77391203704</v>
      </c>
      <c r="C1856" s="1" t="n">
        <v>46184</v>
      </c>
      <c r="D1856" t="inlineStr">
        <is>
          <t>GÄVLEBORGS LÄN</t>
        </is>
      </c>
      <c r="E1856" t="inlineStr">
        <is>
          <t>BOLLNÄS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1615-2026</t>
        </is>
      </c>
      <c r="B1857" s="1" t="n">
        <v>46034.47021990741</v>
      </c>
      <c r="C1857" s="1" t="n">
        <v>46184</v>
      </c>
      <c r="D1857" t="inlineStr">
        <is>
          <t>GÄVLEBORGS LÄN</t>
        </is>
      </c>
      <c r="E1857" t="inlineStr">
        <is>
          <t>BOLLNÄS</t>
        </is>
      </c>
      <c r="G1857" t="n">
        <v>7.2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19908-2026</t>
        </is>
      </c>
      <c r="B1858" s="1" t="n">
        <v>46136</v>
      </c>
      <c r="C1858" s="1" t="n">
        <v>46184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6479-2026</t>
        </is>
      </c>
      <c r="B1859" s="1" t="n">
        <v>46056</v>
      </c>
      <c r="C1859" s="1" t="n">
        <v>46184</v>
      </c>
      <c r="D1859" t="inlineStr">
        <is>
          <t>GÄVLEBORGS LÄN</t>
        </is>
      </c>
      <c r="E1859" t="inlineStr">
        <is>
          <t>BOLLNÄS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20264-2026</t>
        </is>
      </c>
      <c r="B1860" s="1" t="n">
        <v>46139.49767361111</v>
      </c>
      <c r="C1860" s="1" t="n">
        <v>46184</v>
      </c>
      <c r="D1860" t="inlineStr">
        <is>
          <t>GÄVLEBORGS LÄN</t>
        </is>
      </c>
      <c r="E1860" t="inlineStr">
        <is>
          <t>BOLLNÄS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63936-2025</t>
        </is>
      </c>
      <c r="B1861" s="1" t="n">
        <v>46020</v>
      </c>
      <c r="C1861" s="1" t="n">
        <v>46184</v>
      </c>
      <c r="D1861" t="inlineStr">
        <is>
          <t>GÄVLEBORGS LÄN</t>
        </is>
      </c>
      <c r="E1861" t="inlineStr">
        <is>
          <t>BOLLNÄS</t>
        </is>
      </c>
      <c r="G1861" t="n">
        <v>48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23095-2026</t>
        </is>
      </c>
      <c r="B1862" s="1" t="n">
        <v>46161.5581712963</v>
      </c>
      <c r="C1862" s="1" t="n">
        <v>46184</v>
      </c>
      <c r="D1862" t="inlineStr">
        <is>
          <t>GÄVLEBORGS LÄN</t>
        </is>
      </c>
      <c r="E1862" t="inlineStr">
        <is>
          <t>BOLLNÄS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6782-2026</t>
        </is>
      </c>
      <c r="B1863" s="1" t="n">
        <v>46057.3058912037</v>
      </c>
      <c r="C1863" s="1" t="n">
        <v>46184</v>
      </c>
      <c r="D1863" t="inlineStr">
        <is>
          <t>GÄVLEBORGS LÄN</t>
        </is>
      </c>
      <c r="E1863" t="inlineStr">
        <is>
          <t>BOLLNÄS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26068-2026</t>
        </is>
      </c>
      <c r="B1864" s="1" t="n">
        <v>46181.6105787037</v>
      </c>
      <c r="C1864" s="1" t="n">
        <v>46184</v>
      </c>
      <c r="D1864" t="inlineStr">
        <is>
          <t>GÄVLEBORGS LÄN</t>
        </is>
      </c>
      <c r="E1864" t="inlineStr">
        <is>
          <t>BOLLNÄS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64043-2025</t>
        </is>
      </c>
      <c r="B1865" s="1" t="n">
        <v>46021.55554398148</v>
      </c>
      <c r="C1865" s="1" t="n">
        <v>46184</v>
      </c>
      <c r="D1865" t="inlineStr">
        <is>
          <t>GÄVLEBORGS LÄN</t>
        </is>
      </c>
      <c r="E1865" t="inlineStr">
        <is>
          <t>BOLLNÄS</t>
        </is>
      </c>
      <c r="G1865" t="n">
        <v>17.6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20611-2026</t>
        </is>
      </c>
      <c r="B1866" s="1" t="n">
        <v>46140.70759259259</v>
      </c>
      <c r="C1866" s="1" t="n">
        <v>46184</v>
      </c>
      <c r="D1866" t="inlineStr">
        <is>
          <t>GÄVLEBORGS LÄN</t>
        </is>
      </c>
      <c r="E1866" t="inlineStr">
        <is>
          <t>BOLLNÄS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14870-2026</t>
        </is>
      </c>
      <c r="B1867" s="1" t="n">
        <v>46104.4362962963</v>
      </c>
      <c r="C1867" s="1" t="n">
        <v>46184</v>
      </c>
      <c r="D1867" t="inlineStr">
        <is>
          <t>GÄVLEBORGS LÄN</t>
        </is>
      </c>
      <c r="E1867" t="inlineStr">
        <is>
          <t>BOLLNÄS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8268-2026</t>
        </is>
      </c>
      <c r="B1868" s="1" t="n">
        <v>46064.54471064815</v>
      </c>
      <c r="C1868" s="1" t="n">
        <v>46184</v>
      </c>
      <c r="D1868" t="inlineStr">
        <is>
          <t>GÄVLEBORGS LÄN</t>
        </is>
      </c>
      <c r="E1868" t="inlineStr">
        <is>
          <t>BOLLNÄS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13613-2026</t>
        </is>
      </c>
      <c r="B1869" s="1" t="n">
        <v>46097.33965277778</v>
      </c>
      <c r="C1869" s="1" t="n">
        <v>46184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Kyrkan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14371-2026</t>
        </is>
      </c>
      <c r="B1870" s="1" t="n">
        <v>46100.36709490741</v>
      </c>
      <c r="C1870" s="1" t="n">
        <v>46184</v>
      </c>
      <c r="D1870" t="inlineStr">
        <is>
          <t>GÄVLEBORGS LÄN</t>
        </is>
      </c>
      <c r="E1870" t="inlineStr">
        <is>
          <t>BOLLNÄS</t>
        </is>
      </c>
      <c r="G1870" t="n">
        <v>22.8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69613-2021</t>
        </is>
      </c>
      <c r="B1871" s="1" t="n">
        <v>44532</v>
      </c>
      <c r="C1871" s="1" t="n">
        <v>46184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58716-2023</t>
        </is>
      </c>
      <c r="B1872" s="1" t="n">
        <v>45251</v>
      </c>
      <c r="C1872" s="1" t="n">
        <v>46184</v>
      </c>
      <c r="D1872" t="inlineStr">
        <is>
          <t>GÄVLEBORGS LÄN</t>
        </is>
      </c>
      <c r="E1872" t="inlineStr">
        <is>
          <t>BOLLNÄS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11293-2026</t>
        </is>
      </c>
      <c r="B1873" s="1" t="n">
        <v>46080.61508101852</v>
      </c>
      <c r="C1873" s="1" t="n">
        <v>46184</v>
      </c>
      <c r="D1873" t="inlineStr">
        <is>
          <t>GÄVLEBORGS LÄN</t>
        </is>
      </c>
      <c r="E1873" t="inlineStr">
        <is>
          <t>BOLLNÄS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1674-2026</t>
        </is>
      </c>
      <c r="B1874" s="1" t="n">
        <v>46034.56940972222</v>
      </c>
      <c r="C1874" s="1" t="n">
        <v>46184</v>
      </c>
      <c r="D1874" t="inlineStr">
        <is>
          <t>GÄVLEBORGS LÄN</t>
        </is>
      </c>
      <c r="E1874" t="inlineStr">
        <is>
          <t>BOLLNÄS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4986-2026</t>
        </is>
      </c>
      <c r="B1875" s="1" t="n">
        <v>46049.38732638889</v>
      </c>
      <c r="C1875" s="1" t="n">
        <v>46184</v>
      </c>
      <c r="D1875" t="inlineStr">
        <is>
          <t>GÄVLEBORGS LÄN</t>
        </is>
      </c>
      <c r="E1875" t="inlineStr">
        <is>
          <t>BOLLNÄS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15687-2026</t>
        </is>
      </c>
      <c r="B1876" s="1" t="n">
        <v>46107</v>
      </c>
      <c r="C1876" s="1" t="n">
        <v>46184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27.1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6096-2026</t>
        </is>
      </c>
      <c r="B1877" s="1" t="n">
        <v>46052</v>
      </c>
      <c r="C1877" s="1" t="n">
        <v>46184</v>
      </c>
      <c r="D1877" t="inlineStr">
        <is>
          <t>GÄVLEBORGS LÄN</t>
        </is>
      </c>
      <c r="E1877" t="inlineStr">
        <is>
          <t>BOLLNÄS</t>
        </is>
      </c>
      <c r="G1877" t="n">
        <v>16.8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20483-2026</t>
        </is>
      </c>
      <c r="B1878" s="1" t="n">
        <v>46140</v>
      </c>
      <c r="C1878" s="1" t="n">
        <v>46184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8580-2026</t>
        </is>
      </c>
      <c r="B1879" s="1" t="n">
        <v>46065</v>
      </c>
      <c r="C1879" s="1" t="n">
        <v>46184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7841-2026</t>
        </is>
      </c>
      <c r="B1880" s="1" t="n">
        <v>46062.65070601852</v>
      </c>
      <c r="C1880" s="1" t="n">
        <v>46184</v>
      </c>
      <c r="D1880" t="inlineStr">
        <is>
          <t>GÄVLEBORGS LÄN</t>
        </is>
      </c>
      <c r="E1880" t="inlineStr">
        <is>
          <t>BOLLNÄS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3893-2026</t>
        </is>
      </c>
      <c r="B1881" s="1" t="n">
        <v>46043</v>
      </c>
      <c r="C1881" s="1" t="n">
        <v>46184</v>
      </c>
      <c r="D1881" t="inlineStr">
        <is>
          <t>GÄVLEBORGS LÄN</t>
        </is>
      </c>
      <c r="E1881" t="inlineStr">
        <is>
          <t>BOLLNÄS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11545-2026</t>
        </is>
      </c>
      <c r="B1882" s="1" t="n">
        <v>46084.23214120371</v>
      </c>
      <c r="C1882" s="1" t="n">
        <v>46184</v>
      </c>
      <c r="D1882" t="inlineStr">
        <is>
          <t>GÄVLEBORGS LÄN</t>
        </is>
      </c>
      <c r="E1882" t="inlineStr">
        <is>
          <t>BOLLNÄS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13034-2026</t>
        </is>
      </c>
      <c r="B1883" s="1" t="n">
        <v>46093.20652777778</v>
      </c>
      <c r="C1883" s="1" t="n">
        <v>46184</v>
      </c>
      <c r="D1883" t="inlineStr">
        <is>
          <t>GÄVLEBORGS LÄN</t>
        </is>
      </c>
      <c r="E1883" t="inlineStr">
        <is>
          <t>BOLLNÄS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9254-2026</t>
        </is>
      </c>
      <c r="B1884" s="1" t="n">
        <v>46070</v>
      </c>
      <c r="C1884" s="1" t="n">
        <v>46184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väst AB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10904-2026</t>
        </is>
      </c>
      <c r="B1885" s="1" t="n">
        <v>46079.27765046297</v>
      </c>
      <c r="C1885" s="1" t="n">
        <v>46184</v>
      </c>
      <c r="D1885" t="inlineStr">
        <is>
          <t>GÄVLEBORGS LÄN</t>
        </is>
      </c>
      <c r="E1885" t="inlineStr">
        <is>
          <t>BOLLNÄS</t>
        </is>
      </c>
      <c r="F1885" t="inlineStr">
        <is>
          <t>Bergvik skog väst AB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26558-2026</t>
        </is>
      </c>
      <c r="B1886" s="1" t="n">
        <v>46183.63951388889</v>
      </c>
      <c r="C1886" s="1" t="n">
        <v>46184</v>
      </c>
      <c r="D1886" t="inlineStr">
        <is>
          <t>GÄVLEBORGS LÄN</t>
        </is>
      </c>
      <c r="E1886" t="inlineStr">
        <is>
          <t>BOLLNÄS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20038-2026</t>
        </is>
      </c>
      <c r="B1887" s="1" t="n">
        <v>46136</v>
      </c>
      <c r="C1887" s="1" t="n">
        <v>46184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öst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13150-2026</t>
        </is>
      </c>
      <c r="B1888" s="1" t="n">
        <v>46093</v>
      </c>
      <c r="C1888" s="1" t="n">
        <v>46184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Sveaskog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5178-2026</t>
        </is>
      </c>
      <c r="B1889" s="1" t="n">
        <v>46049.6525925926</v>
      </c>
      <c r="C1889" s="1" t="n">
        <v>46184</v>
      </c>
      <c r="D1889" t="inlineStr">
        <is>
          <t>GÄVLEBORGS LÄN</t>
        </is>
      </c>
      <c r="E1889" t="inlineStr">
        <is>
          <t>BOLLNÄS</t>
        </is>
      </c>
      <c r="G1889" t="n">
        <v>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14611-2026</t>
        </is>
      </c>
      <c r="B1890" s="1" t="n">
        <v>46101.3672337963</v>
      </c>
      <c r="C1890" s="1" t="n">
        <v>46184</v>
      </c>
      <c r="D1890" t="inlineStr">
        <is>
          <t>GÄVLEBORGS LÄN</t>
        </is>
      </c>
      <c r="E1890" t="inlineStr">
        <is>
          <t>BOLLNÄS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13296-2026</t>
        </is>
      </c>
      <c r="B1891" s="1" t="n">
        <v>46094</v>
      </c>
      <c r="C1891" s="1" t="n">
        <v>46184</v>
      </c>
      <c r="D1891" t="inlineStr">
        <is>
          <t>GÄVLEBORGS LÄN</t>
        </is>
      </c>
      <c r="E1891" t="inlineStr">
        <is>
          <t>BOLLNÄS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58753-2021</t>
        </is>
      </c>
      <c r="B1892" s="1" t="n">
        <v>44489</v>
      </c>
      <c r="C1892" s="1" t="n">
        <v>46184</v>
      </c>
      <c r="D1892" t="inlineStr">
        <is>
          <t>GÄVLEBORGS LÄN</t>
        </is>
      </c>
      <c r="E1892" t="inlineStr">
        <is>
          <t>BOLLNÄS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5551-2026</t>
        </is>
      </c>
      <c r="B1893" s="1" t="n">
        <v>46050.72208333333</v>
      </c>
      <c r="C1893" s="1" t="n">
        <v>46184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Kyrkan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4500-2026</t>
        </is>
      </c>
      <c r="B1894" s="1" t="n">
        <v>46045</v>
      </c>
      <c r="C1894" s="1" t="n">
        <v>46184</v>
      </c>
      <c r="D1894" t="inlineStr">
        <is>
          <t>GÄVLEBORGS LÄN</t>
        </is>
      </c>
      <c r="E1894" t="inlineStr">
        <is>
          <t>BOLLNÄS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10225-2026</t>
        </is>
      </c>
      <c r="B1895" s="1" t="n">
        <v>46076.5090162037</v>
      </c>
      <c r="C1895" s="1" t="n">
        <v>46184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10228-2026</t>
        </is>
      </c>
      <c r="B1896" s="1" t="n">
        <v>46076.52788194444</v>
      </c>
      <c r="C1896" s="1" t="n">
        <v>46184</v>
      </c>
      <c r="D1896" t="inlineStr">
        <is>
          <t>GÄVLEBORGS LÄN</t>
        </is>
      </c>
      <c r="E1896" t="inlineStr">
        <is>
          <t>BOLLNÄS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14271-2026</t>
        </is>
      </c>
      <c r="B1897" s="1" t="n">
        <v>46099</v>
      </c>
      <c r="C1897" s="1" t="n">
        <v>46184</v>
      </c>
      <c r="D1897" t="inlineStr">
        <is>
          <t>GÄVLEBORGS LÄN</t>
        </is>
      </c>
      <c r="E1897" t="inlineStr">
        <is>
          <t>BOLLNÄS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4458-2026</t>
        </is>
      </c>
      <c r="B1898" s="1" t="n">
        <v>46045</v>
      </c>
      <c r="C1898" s="1" t="n">
        <v>46184</v>
      </c>
      <c r="D1898" t="inlineStr">
        <is>
          <t>GÄVLEBORGS LÄN</t>
        </is>
      </c>
      <c r="E1898" t="inlineStr">
        <is>
          <t>BOLLNÄS</t>
        </is>
      </c>
      <c r="G1898" t="n">
        <v>4.6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10394-2026</t>
        </is>
      </c>
      <c r="B1899" s="1" t="n">
        <v>46077.3055787037</v>
      </c>
      <c r="C1899" s="1" t="n">
        <v>46184</v>
      </c>
      <c r="D1899" t="inlineStr">
        <is>
          <t>GÄVLEBORGS LÄN</t>
        </is>
      </c>
      <c r="E1899" t="inlineStr">
        <is>
          <t>BOLLNÄS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3105-2026</t>
        </is>
      </c>
      <c r="B1900" s="1" t="n">
        <v>46041</v>
      </c>
      <c r="C1900" s="1" t="n">
        <v>46184</v>
      </c>
      <c r="D1900" t="inlineStr">
        <is>
          <t>GÄVLEBORGS LÄN</t>
        </is>
      </c>
      <c r="E1900" t="inlineStr">
        <is>
          <t>BOLLNÄS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5806-2022</t>
        </is>
      </c>
      <c r="B1901" s="1" t="n">
        <v>44596.5728125</v>
      </c>
      <c r="C1901" s="1" t="n">
        <v>46184</v>
      </c>
      <c r="D1901" t="inlineStr">
        <is>
          <t>GÄVLEBORGS LÄN</t>
        </is>
      </c>
      <c r="E1901" t="inlineStr">
        <is>
          <t>BOLLNÄS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48307-2023</t>
        </is>
      </c>
      <c r="B1902" s="1" t="n">
        <v>45205.58381944444</v>
      </c>
      <c r="C1902" s="1" t="n">
        <v>46184</v>
      </c>
      <c r="D1902" t="inlineStr">
        <is>
          <t>GÄVLEBORGS LÄN</t>
        </is>
      </c>
      <c r="E1902" t="inlineStr">
        <is>
          <t>BOLLNÄS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6476-2026</t>
        </is>
      </c>
      <c r="B1903" s="1" t="n">
        <v>46056</v>
      </c>
      <c r="C1903" s="1" t="n">
        <v>46184</v>
      </c>
      <c r="D1903" t="inlineStr">
        <is>
          <t>GÄVLEBORGS LÄN</t>
        </is>
      </c>
      <c r="E1903" t="inlineStr">
        <is>
          <t>BOLLNÄS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6491-2026</t>
        </is>
      </c>
      <c r="B1904" s="1" t="n">
        <v>46056</v>
      </c>
      <c r="C1904" s="1" t="n">
        <v>46184</v>
      </c>
      <c r="D1904" t="inlineStr">
        <is>
          <t>GÄVLEBORGS LÄN</t>
        </is>
      </c>
      <c r="E1904" t="inlineStr">
        <is>
          <t>BOLLNÄS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4960-2026</t>
        </is>
      </c>
      <c r="B1905" s="1" t="n">
        <v>46049.30726851852</v>
      </c>
      <c r="C1905" s="1" t="n">
        <v>46184</v>
      </c>
      <c r="D1905" t="inlineStr">
        <is>
          <t>GÄVLEBORGS LÄN</t>
        </is>
      </c>
      <c r="E1905" t="inlineStr">
        <is>
          <t>BOLLNÄS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4737-2026</t>
        </is>
      </c>
      <c r="B1906" s="1" t="n">
        <v>46048.48995370371</v>
      </c>
      <c r="C1906" s="1" t="n">
        <v>46184</v>
      </c>
      <c r="D1906" t="inlineStr">
        <is>
          <t>GÄVLEBORGS LÄN</t>
        </is>
      </c>
      <c r="E1906" t="inlineStr">
        <is>
          <t>BOLLNÄS</t>
        </is>
      </c>
      <c r="G1906" t="n">
        <v>18.3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12945-2026</t>
        </is>
      </c>
      <c r="B1907" s="1" t="n">
        <v>46092.62686342592</v>
      </c>
      <c r="C1907" s="1" t="n">
        <v>46184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20620-2026</t>
        </is>
      </c>
      <c r="B1908" s="1" t="n">
        <v>46141</v>
      </c>
      <c r="C1908" s="1" t="n">
        <v>46184</v>
      </c>
      <c r="D1908" t="inlineStr">
        <is>
          <t>GÄVLEBORGS LÄN</t>
        </is>
      </c>
      <c r="E1908" t="inlineStr">
        <is>
          <t>BOLLNÄS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8308-2024</t>
        </is>
      </c>
      <c r="B1909" s="1" t="n">
        <v>45352</v>
      </c>
      <c r="C1909" s="1" t="n">
        <v>46184</v>
      </c>
      <c r="D1909" t="inlineStr">
        <is>
          <t>GÄVLEBORGS LÄN</t>
        </is>
      </c>
      <c r="E1909" t="inlineStr">
        <is>
          <t>BOLLNÄS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20678-2026</t>
        </is>
      </c>
      <c r="B1910" s="1" t="n">
        <v>46141</v>
      </c>
      <c r="C1910" s="1" t="n">
        <v>46184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20720-2026</t>
        </is>
      </c>
      <c r="B1911" s="1" t="n">
        <v>46141.53449074074</v>
      </c>
      <c r="C1911" s="1" t="n">
        <v>46184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Kyrkan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20724-2026</t>
        </is>
      </c>
      <c r="B1912" s="1" t="n">
        <v>46141.54942129629</v>
      </c>
      <c r="C1912" s="1" t="n">
        <v>46184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Kyrkan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45639-2023</t>
        </is>
      </c>
      <c r="B1913" s="1" t="n">
        <v>45194.68771990741</v>
      </c>
      <c r="C1913" s="1" t="n">
        <v>46184</v>
      </c>
      <c r="D1913" t="inlineStr">
        <is>
          <t>GÄVLEBORGS LÄN</t>
        </is>
      </c>
      <c r="E1913" t="inlineStr">
        <is>
          <t>BOLLNÄS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15812-2026</t>
        </is>
      </c>
      <c r="B1914" s="1" t="n">
        <v>46107</v>
      </c>
      <c r="C1914" s="1" t="n">
        <v>46184</v>
      </c>
      <c r="D1914" t="inlineStr">
        <is>
          <t>GÄVLEBORGS LÄN</t>
        </is>
      </c>
      <c r="E1914" t="inlineStr">
        <is>
          <t>BOLLNÄS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11519-2026</t>
        </is>
      </c>
      <c r="B1915" s="1" t="n">
        <v>46083.66590277778</v>
      </c>
      <c r="C1915" s="1" t="n">
        <v>46184</v>
      </c>
      <c r="D1915" t="inlineStr">
        <is>
          <t>GÄVLEBORGS LÄN</t>
        </is>
      </c>
      <c r="E1915" t="inlineStr">
        <is>
          <t>BOLLNÄS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20485-2026</t>
        </is>
      </c>
      <c r="B1916" s="1" t="n">
        <v>46140.48819444444</v>
      </c>
      <c r="C1916" s="1" t="n">
        <v>46184</v>
      </c>
      <c r="D1916" t="inlineStr">
        <is>
          <t>GÄVLEBORGS LÄN</t>
        </is>
      </c>
      <c r="E1916" t="inlineStr">
        <is>
          <t>BOLLNÄS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4828-2026</t>
        </is>
      </c>
      <c r="B1917" s="1" t="n">
        <v>46048.59762731481</v>
      </c>
      <c r="C1917" s="1" t="n">
        <v>46184</v>
      </c>
      <c r="D1917" t="inlineStr">
        <is>
          <t>GÄVLEBORGS LÄN</t>
        </is>
      </c>
      <c r="E1917" t="inlineStr">
        <is>
          <t>BOLLNÄS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10824-2026</t>
        </is>
      </c>
      <c r="B1918" s="1" t="n">
        <v>46078.62105324074</v>
      </c>
      <c r="C1918" s="1" t="n">
        <v>46184</v>
      </c>
      <c r="D1918" t="inlineStr">
        <is>
          <t>GÄVLEBORGS LÄN</t>
        </is>
      </c>
      <c r="E1918" t="inlineStr">
        <is>
          <t>BOLLNÄS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3898-2026</t>
        </is>
      </c>
      <c r="B1919" s="1" t="n">
        <v>46043</v>
      </c>
      <c r="C1919" s="1" t="n">
        <v>46184</v>
      </c>
      <c r="D1919" t="inlineStr">
        <is>
          <t>GÄVLEBORGS LÄN</t>
        </is>
      </c>
      <c r="E1919" t="inlineStr">
        <is>
          <t>BOLLNÄS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29769-2023</t>
        </is>
      </c>
      <c r="B1920" s="1" t="n">
        <v>45107</v>
      </c>
      <c r="C1920" s="1" t="n">
        <v>46184</v>
      </c>
      <c r="D1920" t="inlineStr">
        <is>
          <t>GÄVLEBORGS LÄN</t>
        </is>
      </c>
      <c r="E1920" t="inlineStr">
        <is>
          <t>BOLLNÄS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20547-2026</t>
        </is>
      </c>
      <c r="B1921" s="1" t="n">
        <v>46140.58459490741</v>
      </c>
      <c r="C1921" s="1" t="n">
        <v>46184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20548-2026</t>
        </is>
      </c>
      <c r="B1922" s="1" t="n">
        <v>46140.58533564815</v>
      </c>
      <c r="C1922" s="1" t="n">
        <v>46184</v>
      </c>
      <c r="D1922" t="inlineStr">
        <is>
          <t>GÄVLEBORGS LÄN</t>
        </is>
      </c>
      <c r="E1922" t="inlineStr">
        <is>
          <t>BOLLNÄS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20609-2026</t>
        </is>
      </c>
      <c r="B1923" s="1" t="n">
        <v>46140</v>
      </c>
      <c r="C1923" s="1" t="n">
        <v>46184</v>
      </c>
      <c r="D1923" t="inlineStr">
        <is>
          <t>GÄVLEBORGS LÄN</t>
        </is>
      </c>
      <c r="E1923" t="inlineStr">
        <is>
          <t>BOLLNÄS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617-2025</t>
        </is>
      </c>
      <c r="B1924" s="1" t="n">
        <v>45664.60994212963</v>
      </c>
      <c r="C1924" s="1" t="n">
        <v>46184</v>
      </c>
      <c r="D1924" t="inlineStr">
        <is>
          <t>GÄVLEBORGS LÄN</t>
        </is>
      </c>
      <c r="E1924" t="inlineStr">
        <is>
          <t>BOLLNÄS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12239-2026</t>
        </is>
      </c>
      <c r="B1925" s="1" t="n">
        <v>46087</v>
      </c>
      <c r="C1925" s="1" t="n">
        <v>46184</v>
      </c>
      <c r="D1925" t="inlineStr">
        <is>
          <t>GÄVLEBORGS LÄN</t>
        </is>
      </c>
      <c r="E1925" t="inlineStr">
        <is>
          <t>BOLLNÄS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17061-2026</t>
        </is>
      </c>
      <c r="B1926" s="1" t="n">
        <v>46114</v>
      </c>
      <c r="C1926" s="1" t="n">
        <v>46184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14632-2026</t>
        </is>
      </c>
      <c r="B1927" s="1" t="n">
        <v>46101.40135416666</v>
      </c>
      <c r="C1927" s="1" t="n">
        <v>46184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Kyrkan</t>
        </is>
      </c>
      <c r="G1927" t="n">
        <v>8.1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8204-2026</t>
        </is>
      </c>
      <c r="B1928" s="1" t="n">
        <v>46064.44618055555</v>
      </c>
      <c r="C1928" s="1" t="n">
        <v>46184</v>
      </c>
      <c r="D1928" t="inlineStr">
        <is>
          <t>GÄVLEBORGS LÄN</t>
        </is>
      </c>
      <c r="E1928" t="inlineStr">
        <is>
          <t>BOLLNÄS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47438-2023</t>
        </is>
      </c>
      <c r="B1929" s="1" t="n">
        <v>45202</v>
      </c>
      <c r="C1929" s="1" t="n">
        <v>46184</v>
      </c>
      <c r="D1929" t="inlineStr">
        <is>
          <t>GÄVLEBORGS LÄN</t>
        </is>
      </c>
      <c r="E1929" t="inlineStr">
        <is>
          <t>BOLLNÄS</t>
        </is>
      </c>
      <c r="G1929" t="n">
        <v>9.1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651-2026</t>
        </is>
      </c>
      <c r="B1930" s="1" t="n">
        <v>46029</v>
      </c>
      <c r="C1930" s="1" t="n">
        <v>46184</v>
      </c>
      <c r="D1930" t="inlineStr">
        <is>
          <t>GÄVLEBORGS LÄN</t>
        </is>
      </c>
      <c r="E1930" t="inlineStr">
        <is>
          <t>BOLLNÄS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26192-2026</t>
        </is>
      </c>
      <c r="B1931" s="1" t="n">
        <v>46182.36939814815</v>
      </c>
      <c r="C1931" s="1" t="n">
        <v>46184</v>
      </c>
      <c r="D1931" t="inlineStr">
        <is>
          <t>GÄVLEBORGS LÄN</t>
        </is>
      </c>
      <c r="E1931" t="inlineStr">
        <is>
          <t>BOLLNÄS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26194-2026</t>
        </is>
      </c>
      <c r="B1932" s="1" t="n">
        <v>46182.37325231481</v>
      </c>
      <c r="C1932" s="1" t="n">
        <v>46184</v>
      </c>
      <c r="D1932" t="inlineStr">
        <is>
          <t>GÄVLEBORGS LÄN</t>
        </is>
      </c>
      <c r="E1932" t="inlineStr">
        <is>
          <t>BOLLNÄS</t>
        </is>
      </c>
      <c r="G1932" t="n">
        <v>5.5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13238-2026</t>
        </is>
      </c>
      <c r="B1933" s="1" t="n">
        <v>46093.64040509259</v>
      </c>
      <c r="C1933" s="1" t="n">
        <v>46184</v>
      </c>
      <c r="D1933" t="inlineStr">
        <is>
          <t>GÄVLEBORGS LÄN</t>
        </is>
      </c>
      <c r="E1933" t="inlineStr">
        <is>
          <t>BOLLNÄS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9495-2026</t>
        </is>
      </c>
      <c r="B1934" s="1" t="n">
        <v>46071</v>
      </c>
      <c r="C1934" s="1" t="n">
        <v>46184</v>
      </c>
      <c r="D1934" t="inlineStr">
        <is>
          <t>GÄVLEBORGS LÄN</t>
        </is>
      </c>
      <c r="E1934" t="inlineStr">
        <is>
          <t>BOLLNÄS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4295-2026</t>
        </is>
      </c>
      <c r="B1935" s="1" t="n">
        <v>46045</v>
      </c>
      <c r="C1935" s="1" t="n">
        <v>46184</v>
      </c>
      <c r="D1935" t="inlineStr">
        <is>
          <t>GÄVLEBORGS LÄN</t>
        </is>
      </c>
      <c r="E1935" t="inlineStr">
        <is>
          <t>BOLLNÄS</t>
        </is>
      </c>
      <c r="G1935" t="n">
        <v>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2276-2026</t>
        </is>
      </c>
      <c r="B1936" s="1" t="n">
        <v>46036.57439814815</v>
      </c>
      <c r="C1936" s="1" t="n">
        <v>46184</v>
      </c>
      <c r="D1936" t="inlineStr">
        <is>
          <t>GÄVLEBORGS LÄN</t>
        </is>
      </c>
      <c r="E1936" t="inlineStr">
        <is>
          <t>BOLLNÄS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11344-2026</t>
        </is>
      </c>
      <c r="B1937" s="1" t="n">
        <v>46082</v>
      </c>
      <c r="C1937" s="1" t="n">
        <v>46184</v>
      </c>
      <c r="D1937" t="inlineStr">
        <is>
          <t>GÄVLEBORGS LÄN</t>
        </is>
      </c>
      <c r="E1937" t="inlineStr">
        <is>
          <t>BOLLNÄS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26231-2026</t>
        </is>
      </c>
      <c r="B1938" s="1" t="n">
        <v>46182.48258101852</v>
      </c>
      <c r="C1938" s="1" t="n">
        <v>46184</v>
      </c>
      <c r="D1938" t="inlineStr">
        <is>
          <t>GÄVLEBORGS LÄN</t>
        </is>
      </c>
      <c r="E1938" t="inlineStr">
        <is>
          <t>BOLLNÄS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20422-2026</t>
        </is>
      </c>
      <c r="B1939" s="1" t="n">
        <v>46140</v>
      </c>
      <c r="C1939" s="1" t="n">
        <v>46184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20426-2026</t>
        </is>
      </c>
      <c r="B1940" s="1" t="n">
        <v>46140</v>
      </c>
      <c r="C1940" s="1" t="n">
        <v>46184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20826-2026</t>
        </is>
      </c>
      <c r="B1941" s="1" t="n">
        <v>46141</v>
      </c>
      <c r="C1941" s="1" t="n">
        <v>46184</v>
      </c>
      <c r="D1941" t="inlineStr">
        <is>
          <t>GÄVLEBORGS LÄN</t>
        </is>
      </c>
      <c r="E1941" t="inlineStr">
        <is>
          <t>BOLLNÄS</t>
        </is>
      </c>
      <c r="F1941" t="inlineStr">
        <is>
          <t>Bergvik skog väst AB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20829-2026</t>
        </is>
      </c>
      <c r="B1942" s="1" t="n">
        <v>46141</v>
      </c>
      <c r="C1942" s="1" t="n">
        <v>46184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13041-2026</t>
        </is>
      </c>
      <c r="B1943" s="1" t="n">
        <v>46093</v>
      </c>
      <c r="C1943" s="1" t="n">
        <v>46184</v>
      </c>
      <c r="D1943" t="inlineStr">
        <is>
          <t>GÄVLEBORGS LÄN</t>
        </is>
      </c>
      <c r="E1943" t="inlineStr">
        <is>
          <t>BOLLNÄS</t>
        </is>
      </c>
      <c r="G1943" t="n">
        <v>7.6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9506-2026</t>
        </is>
      </c>
      <c r="B1944" s="1" t="n">
        <v>46071</v>
      </c>
      <c r="C1944" s="1" t="n">
        <v>46184</v>
      </c>
      <c r="D1944" t="inlineStr">
        <is>
          <t>GÄVLEBORGS LÄN</t>
        </is>
      </c>
      <c r="E1944" t="inlineStr">
        <is>
          <t>BOLLNÄS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20531-2026</t>
        </is>
      </c>
      <c r="B1945" s="1" t="n">
        <v>46140</v>
      </c>
      <c r="C1945" s="1" t="n">
        <v>46184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20731-2026</t>
        </is>
      </c>
      <c r="B1946" s="1" t="n">
        <v>46141</v>
      </c>
      <c r="C1946" s="1" t="n">
        <v>46184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Kyrkan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8844-2026</t>
        </is>
      </c>
      <c r="B1947" s="1" t="n">
        <v>46066.64739583333</v>
      </c>
      <c r="C1947" s="1" t="n">
        <v>46184</v>
      </c>
      <c r="D1947" t="inlineStr">
        <is>
          <t>GÄVLEBORGS LÄN</t>
        </is>
      </c>
      <c r="E1947" t="inlineStr">
        <is>
          <t>BOLLNÄS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9719-2026</t>
        </is>
      </c>
      <c r="B1948" s="1" t="n">
        <v>46072.44953703704</v>
      </c>
      <c r="C1948" s="1" t="n">
        <v>46184</v>
      </c>
      <c r="D1948" t="inlineStr">
        <is>
          <t>GÄVLEBORGS LÄN</t>
        </is>
      </c>
      <c r="E1948" t="inlineStr">
        <is>
          <t>BOLLNÄS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6330-2026</t>
        </is>
      </c>
      <c r="B1949" s="1" t="n">
        <v>46055</v>
      </c>
      <c r="C1949" s="1" t="n">
        <v>46184</v>
      </c>
      <c r="D1949" t="inlineStr">
        <is>
          <t>GÄVLEBORGS LÄN</t>
        </is>
      </c>
      <c r="E1949" t="inlineStr">
        <is>
          <t>BOLLNÄS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6457-2026</t>
        </is>
      </c>
      <c r="B1950" s="1" t="n">
        <v>46056.26053240741</v>
      </c>
      <c r="C1950" s="1" t="n">
        <v>46184</v>
      </c>
      <c r="D1950" t="inlineStr">
        <is>
          <t>GÄVLEBORGS LÄN</t>
        </is>
      </c>
      <c r="E1950" t="inlineStr">
        <is>
          <t>BOLLNÄS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9801-2026</t>
        </is>
      </c>
      <c r="B1951" s="1" t="n">
        <v>46072</v>
      </c>
      <c r="C1951" s="1" t="n">
        <v>46184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Sveaskog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4770-2026</t>
        </is>
      </c>
      <c r="B1952" s="1" t="n">
        <v>46048.54542824074</v>
      </c>
      <c r="C1952" s="1" t="n">
        <v>46184</v>
      </c>
      <c r="D1952" t="inlineStr">
        <is>
          <t>GÄVLEBORGS LÄN</t>
        </is>
      </c>
      <c r="E1952" t="inlineStr">
        <is>
          <t>BOLLNÄS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5653-2026</t>
        </is>
      </c>
      <c r="B1953" s="1" t="n">
        <v>46051.43722222222</v>
      </c>
      <c r="C1953" s="1" t="n">
        <v>46184</v>
      </c>
      <c r="D1953" t="inlineStr">
        <is>
          <t>GÄVLEBORGS LÄN</t>
        </is>
      </c>
      <c r="E1953" t="inlineStr">
        <is>
          <t>BOLLNÄS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20412-2026</t>
        </is>
      </c>
      <c r="B1954" s="1" t="n">
        <v>46140</v>
      </c>
      <c r="C1954" s="1" t="n">
        <v>46184</v>
      </c>
      <c r="D1954" t="inlineStr">
        <is>
          <t>GÄVLEBORGS LÄN</t>
        </is>
      </c>
      <c r="E1954" t="inlineStr">
        <is>
          <t>BOLLNÄS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20451-2026</t>
        </is>
      </c>
      <c r="B1955" s="1" t="n">
        <v>46140</v>
      </c>
      <c r="C1955" s="1" t="n">
        <v>46184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8045-2026</t>
        </is>
      </c>
      <c r="B1956" s="1" t="n">
        <v>46063</v>
      </c>
      <c r="C1956" s="1" t="n">
        <v>46184</v>
      </c>
      <c r="D1956" t="inlineStr">
        <is>
          <t>GÄVLEBORGS LÄN</t>
        </is>
      </c>
      <c r="E1956" t="inlineStr">
        <is>
          <t>BOLLNÄS</t>
        </is>
      </c>
      <c r="G1956" t="n">
        <v>25.1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13071-2026</t>
        </is>
      </c>
      <c r="B1957" s="1" t="n">
        <v>46093.36606481481</v>
      </c>
      <c r="C1957" s="1" t="n">
        <v>46184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15814-2026</t>
        </is>
      </c>
      <c r="B1958" s="1" t="n">
        <v>46107</v>
      </c>
      <c r="C1958" s="1" t="n">
        <v>46184</v>
      </c>
      <c r="D1958" t="inlineStr">
        <is>
          <t>GÄVLEBORGS LÄN</t>
        </is>
      </c>
      <c r="E1958" t="inlineStr">
        <is>
          <t>BOLLNÄS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12659-2026</t>
        </is>
      </c>
      <c r="B1959" s="1" t="n">
        <v>46091.49458333333</v>
      </c>
      <c r="C1959" s="1" t="n">
        <v>46184</v>
      </c>
      <c r="D1959" t="inlineStr">
        <is>
          <t>GÄVLEBORGS LÄN</t>
        </is>
      </c>
      <c r="E1959" t="inlineStr">
        <is>
          <t>BOLLNÄS</t>
        </is>
      </c>
      <c r="G1959" t="n">
        <v>8.699999999999999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20827-2026</t>
        </is>
      </c>
      <c r="B1960" s="1" t="n">
        <v>46141</v>
      </c>
      <c r="C1960" s="1" t="n">
        <v>46184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24551-2024</t>
        </is>
      </c>
      <c r="B1961" s="1" t="n">
        <v>45460.40803240741</v>
      </c>
      <c r="C1961" s="1" t="n">
        <v>46184</v>
      </c>
      <c r="D1961" t="inlineStr">
        <is>
          <t>GÄVLEBORGS LÄN</t>
        </is>
      </c>
      <c r="E1961" t="inlineStr">
        <is>
          <t>BOLLNÄS</t>
        </is>
      </c>
      <c r="G1961" t="n">
        <v>6.8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12451-2023</t>
        </is>
      </c>
      <c r="B1962" s="1" t="n">
        <v>44999.57931712963</v>
      </c>
      <c r="C1962" s="1" t="n">
        <v>46184</v>
      </c>
      <c r="D1962" t="inlineStr">
        <is>
          <t>GÄVLEBORGS LÄN</t>
        </is>
      </c>
      <c r="E1962" t="inlineStr">
        <is>
          <t>BOLLNÄS</t>
        </is>
      </c>
      <c r="G1962" t="n">
        <v>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20679-2026</t>
        </is>
      </c>
      <c r="B1963" s="1" t="n">
        <v>46141</v>
      </c>
      <c r="C1963" s="1" t="n">
        <v>46184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6405-2026</t>
        </is>
      </c>
      <c r="B1964" s="1" t="n">
        <v>46055</v>
      </c>
      <c r="C1964" s="1" t="n">
        <v>46184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9.699999999999999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14615-2026</t>
        </is>
      </c>
      <c r="B1965" s="1" t="n">
        <v>46101.37422453704</v>
      </c>
      <c r="C1965" s="1" t="n">
        <v>46184</v>
      </c>
      <c r="D1965" t="inlineStr">
        <is>
          <t>GÄVLEBORGS LÄN</t>
        </is>
      </c>
      <c r="E1965" t="inlineStr">
        <is>
          <t>BOLLNÄS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42306-2023</t>
        </is>
      </c>
      <c r="B1966" s="1" t="n">
        <v>45180.45332175926</v>
      </c>
      <c r="C1966" s="1" t="n">
        <v>46184</v>
      </c>
      <c r="D1966" t="inlineStr">
        <is>
          <t>GÄVLEBORGS LÄN</t>
        </is>
      </c>
      <c r="E1966" t="inlineStr">
        <is>
          <t>BOLLNÄS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15163-2026</t>
        </is>
      </c>
      <c r="B1967" s="1" t="n">
        <v>46105</v>
      </c>
      <c r="C1967" s="1" t="n">
        <v>46184</v>
      </c>
      <c r="D1967" t="inlineStr">
        <is>
          <t>GÄVLEBORGS LÄN</t>
        </is>
      </c>
      <c r="E1967" t="inlineStr">
        <is>
          <t>BOLLNÄS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10486-2024</t>
        </is>
      </c>
      <c r="B1968" s="1" t="n">
        <v>45366</v>
      </c>
      <c r="C1968" s="1" t="n">
        <v>46184</v>
      </c>
      <c r="D1968" t="inlineStr">
        <is>
          <t>GÄVLEBORGS LÄN</t>
        </is>
      </c>
      <c r="E1968" t="inlineStr">
        <is>
          <t>BOLLNÄS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12643-2026</t>
        </is>
      </c>
      <c r="B1969" s="1" t="n">
        <v>46091.47094907407</v>
      </c>
      <c r="C1969" s="1" t="n">
        <v>46184</v>
      </c>
      <c r="D1969" t="inlineStr">
        <is>
          <t>GÄVLEBORGS LÄN</t>
        </is>
      </c>
      <c r="E1969" t="inlineStr">
        <is>
          <t>BOLLNÄS</t>
        </is>
      </c>
      <c r="G1969" t="n">
        <v>13.9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9216-2026</t>
        </is>
      </c>
      <c r="B1970" s="1" t="n">
        <v>46070</v>
      </c>
      <c r="C1970" s="1" t="n">
        <v>46184</v>
      </c>
      <c r="D1970" t="inlineStr">
        <is>
          <t>GÄVLEBORGS LÄN</t>
        </is>
      </c>
      <c r="E1970" t="inlineStr">
        <is>
          <t>BOLLNÄS</t>
        </is>
      </c>
      <c r="G1970" t="n">
        <v>6.8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19392-2026</t>
        </is>
      </c>
      <c r="B1971" s="1" t="n">
        <v>46133</v>
      </c>
      <c r="C1971" s="1" t="n">
        <v>46184</v>
      </c>
      <c r="D1971" t="inlineStr">
        <is>
          <t>GÄVLEBORGS LÄN</t>
        </is>
      </c>
      <c r="E1971" t="inlineStr">
        <is>
          <t>BOLLNÄS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728-2026</t>
        </is>
      </c>
      <c r="B1972" s="1" t="n">
        <v>46029</v>
      </c>
      <c r="C1972" s="1" t="n">
        <v>46184</v>
      </c>
      <c r="D1972" t="inlineStr">
        <is>
          <t>GÄVLEBORGS LÄN</t>
        </is>
      </c>
      <c r="E1972" t="inlineStr">
        <is>
          <t>BOLLNÄS</t>
        </is>
      </c>
      <c r="G1972" t="n">
        <v>12.9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26214-2026</t>
        </is>
      </c>
      <c r="B1973" s="1" t="n">
        <v>46182.44170138889</v>
      </c>
      <c r="C1973" s="1" t="n">
        <v>46184</v>
      </c>
      <c r="D1973" t="inlineStr">
        <is>
          <t>GÄVLEBORGS LÄN</t>
        </is>
      </c>
      <c r="E1973" t="inlineStr">
        <is>
          <t>BOLLNÄS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2910-2026</t>
        </is>
      </c>
      <c r="B1974" s="1" t="n">
        <v>46038.56599537037</v>
      </c>
      <c r="C1974" s="1" t="n">
        <v>46184</v>
      </c>
      <c r="D1974" t="inlineStr">
        <is>
          <t>GÄVLEBORGS LÄN</t>
        </is>
      </c>
      <c r="E1974" t="inlineStr">
        <is>
          <t>BOLLNÄS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27202-2024</t>
        </is>
      </c>
      <c r="B1975" s="1" t="n">
        <v>45471.6062962963</v>
      </c>
      <c r="C1975" s="1" t="n">
        <v>46184</v>
      </c>
      <c r="D1975" t="inlineStr">
        <is>
          <t>GÄVLEBORGS LÄN</t>
        </is>
      </c>
      <c r="E1975" t="inlineStr">
        <is>
          <t>BOLLNÄS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1389-2026</t>
        </is>
      </c>
      <c r="B1976" s="1" t="n">
        <v>46031.62846064815</v>
      </c>
      <c r="C1976" s="1" t="n">
        <v>46184</v>
      </c>
      <c r="D1976" t="inlineStr">
        <is>
          <t>GÄVLEBORGS LÄN</t>
        </is>
      </c>
      <c r="E1976" t="inlineStr">
        <is>
          <t>BOLLNÄS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13862-2026</t>
        </is>
      </c>
      <c r="B1977" s="1" t="n">
        <v>46098</v>
      </c>
      <c r="C1977" s="1" t="n">
        <v>46184</v>
      </c>
      <c r="D1977" t="inlineStr">
        <is>
          <t>GÄVLEBORGS LÄN</t>
        </is>
      </c>
      <c r="E1977" t="inlineStr">
        <is>
          <t>BOLLNÄS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5996-2026</t>
        </is>
      </c>
      <c r="B1978" s="1" t="n">
        <v>46052.57585648148</v>
      </c>
      <c r="C1978" s="1" t="n">
        <v>46184</v>
      </c>
      <c r="D1978" t="inlineStr">
        <is>
          <t>GÄVLEBORGS LÄN</t>
        </is>
      </c>
      <c r="E1978" t="inlineStr">
        <is>
          <t>BOLLNÄS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20828-2026</t>
        </is>
      </c>
      <c r="B1979" s="1" t="n">
        <v>46141</v>
      </c>
      <c r="C1979" s="1" t="n">
        <v>46184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5072-2026</t>
        </is>
      </c>
      <c r="B1980" s="1" t="n">
        <v>46049.50644675926</v>
      </c>
      <c r="C1980" s="1" t="n">
        <v>46184</v>
      </c>
      <c r="D1980" t="inlineStr">
        <is>
          <t>GÄVLEBORGS LÄN</t>
        </is>
      </c>
      <c r="E1980" t="inlineStr">
        <is>
          <t>BOLLNÄS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15447-2026</t>
        </is>
      </c>
      <c r="B1981" s="1" t="n">
        <v>46106</v>
      </c>
      <c r="C1981" s="1" t="n">
        <v>46184</v>
      </c>
      <c r="D1981" t="inlineStr">
        <is>
          <t>GÄVLEBORGS LÄN</t>
        </is>
      </c>
      <c r="E1981" t="inlineStr">
        <is>
          <t>BOLLNÄS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5869-2026</t>
        </is>
      </c>
      <c r="B1982" s="1" t="n">
        <v>46052.36837962963</v>
      </c>
      <c r="C1982" s="1" t="n">
        <v>46184</v>
      </c>
      <c r="D1982" t="inlineStr">
        <is>
          <t>GÄVLEBORGS LÄN</t>
        </is>
      </c>
      <c r="E1982" t="inlineStr">
        <is>
          <t>BOLLNÄS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16051-2026</t>
        </is>
      </c>
      <c r="B1983" s="1" t="n">
        <v>46108.48439814815</v>
      </c>
      <c r="C1983" s="1" t="n">
        <v>46184</v>
      </c>
      <c r="D1983" t="inlineStr">
        <is>
          <t>GÄVLEBORGS LÄN</t>
        </is>
      </c>
      <c r="E1983" t="inlineStr">
        <is>
          <t>BOLLNÄS</t>
        </is>
      </c>
      <c r="G1983" t="n">
        <v>14.9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20726-2026</t>
        </is>
      </c>
      <c r="B1984" s="1" t="n">
        <v>46141.55061342593</v>
      </c>
      <c r="C1984" s="1" t="n">
        <v>46184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Kyrkan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20766-2026</t>
        </is>
      </c>
      <c r="B1985" s="1" t="n">
        <v>46141.61009259259</v>
      </c>
      <c r="C1985" s="1" t="n">
        <v>46184</v>
      </c>
      <c r="D1985" t="inlineStr">
        <is>
          <t>GÄVLEBORGS LÄN</t>
        </is>
      </c>
      <c r="E1985" t="inlineStr">
        <is>
          <t>BOLLNÄS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22554-2026</t>
        </is>
      </c>
      <c r="B1986" s="1" t="n">
        <v>46155</v>
      </c>
      <c r="C1986" s="1" t="n">
        <v>46184</v>
      </c>
      <c r="D1986" t="inlineStr">
        <is>
          <t>GÄVLEBORGS LÄN</t>
        </is>
      </c>
      <c r="E1986" t="inlineStr">
        <is>
          <t>BOLLNÄS</t>
        </is>
      </c>
      <c r="G1986" t="n">
        <v>29.4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5355-2026</t>
        </is>
      </c>
      <c r="B1987" s="1" t="n">
        <v>46050.44456018518</v>
      </c>
      <c r="C1987" s="1" t="n">
        <v>46184</v>
      </c>
      <c r="D1987" t="inlineStr">
        <is>
          <t>GÄVLEBORGS LÄN</t>
        </is>
      </c>
      <c r="E1987" t="inlineStr">
        <is>
          <t>BOLLNÄS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9755-2026</t>
        </is>
      </c>
      <c r="B1988" s="1" t="n">
        <v>46072.54751157408</v>
      </c>
      <c r="C1988" s="1" t="n">
        <v>46184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Sveaskog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2748-2026</t>
        </is>
      </c>
      <c r="B1989" s="1" t="n">
        <v>46038.31841435185</v>
      </c>
      <c r="C1989" s="1" t="n">
        <v>46184</v>
      </c>
      <c r="D1989" t="inlineStr">
        <is>
          <t>GÄVLEBORGS LÄN</t>
        </is>
      </c>
      <c r="E1989" t="inlineStr">
        <is>
          <t>BOLLNÄS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8966-2026</t>
        </is>
      </c>
      <c r="B1990" s="1" t="n">
        <v>46069.42616898148</v>
      </c>
      <c r="C1990" s="1" t="n">
        <v>46184</v>
      </c>
      <c r="D1990" t="inlineStr">
        <is>
          <t>GÄVLEBORGS LÄN</t>
        </is>
      </c>
      <c r="E1990" t="inlineStr">
        <is>
          <t>BOLLNÄS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2513-2026</t>
        </is>
      </c>
      <c r="B1991" s="1" t="n">
        <v>46037.41994212963</v>
      </c>
      <c r="C1991" s="1" t="n">
        <v>46184</v>
      </c>
      <c r="D1991" t="inlineStr">
        <is>
          <t>GÄVLEBORGS LÄN</t>
        </is>
      </c>
      <c r="E1991" t="inlineStr">
        <is>
          <t>BOLLNÄS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40453-2024</t>
        </is>
      </c>
      <c r="B1992" s="1" t="n">
        <v>45555.49383101852</v>
      </c>
      <c r="C1992" s="1" t="n">
        <v>46184</v>
      </c>
      <c r="D1992" t="inlineStr">
        <is>
          <t>GÄVLEBORGS LÄN</t>
        </is>
      </c>
      <c r="E1992" t="inlineStr">
        <is>
          <t>BOLLNÄS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15514-2026</t>
        </is>
      </c>
      <c r="B1993" s="1" t="n">
        <v>46106.46924768519</v>
      </c>
      <c r="C1993" s="1" t="n">
        <v>46184</v>
      </c>
      <c r="D1993" t="inlineStr">
        <is>
          <t>GÄVLEBORGS LÄN</t>
        </is>
      </c>
      <c r="E1993" t="inlineStr">
        <is>
          <t>BOLLNÄS</t>
        </is>
      </c>
      <c r="G1993" t="n">
        <v>7.5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20668-2026</t>
        </is>
      </c>
      <c r="B1994" s="1" t="n">
        <v>46141</v>
      </c>
      <c r="C1994" s="1" t="n">
        <v>46184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20780-2026</t>
        </is>
      </c>
      <c r="B1995" s="1" t="n">
        <v>46141</v>
      </c>
      <c r="C1995" s="1" t="n">
        <v>46184</v>
      </c>
      <c r="D1995" t="inlineStr">
        <is>
          <t>GÄVLEBORGS LÄN</t>
        </is>
      </c>
      <c r="E1995" t="inlineStr">
        <is>
          <t>BOLLNÄS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26247-2026</t>
        </is>
      </c>
      <c r="B1996" s="1" t="n">
        <v>46182.50155092592</v>
      </c>
      <c r="C1996" s="1" t="n">
        <v>46184</v>
      </c>
      <c r="D1996" t="inlineStr">
        <is>
          <t>GÄVLEBORGS LÄN</t>
        </is>
      </c>
      <c r="E1996" t="inlineStr">
        <is>
          <t>BOLLNÄS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21009-2022</t>
        </is>
      </c>
      <c r="B1997" s="1" t="n">
        <v>44704.34877314815</v>
      </c>
      <c r="C1997" s="1" t="n">
        <v>46184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26528-2026</t>
        </is>
      </c>
      <c r="B1998" s="1" t="n">
        <v>46183.59390046296</v>
      </c>
      <c r="C1998" s="1" t="n">
        <v>46184</v>
      </c>
      <c r="D1998" t="inlineStr">
        <is>
          <t>GÄVLEBORGS LÄN</t>
        </is>
      </c>
      <c r="E1998" t="inlineStr">
        <is>
          <t>BOLLNÄS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13625-2026</t>
        </is>
      </c>
      <c r="B1999" s="1" t="n">
        <v>46097.36298611111</v>
      </c>
      <c r="C1999" s="1" t="n">
        <v>46184</v>
      </c>
      <c r="D1999" t="inlineStr">
        <is>
          <t>GÄVLEBORGS LÄN</t>
        </is>
      </c>
      <c r="E1999" t="inlineStr">
        <is>
          <t>BOLLNÄS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20413-2026</t>
        </is>
      </c>
      <c r="B2000" s="1" t="n">
        <v>46140</v>
      </c>
      <c r="C2000" s="1" t="n">
        <v>46184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väst AB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250-2026</t>
        </is>
      </c>
      <c r="B2001" s="1" t="n">
        <v>46027</v>
      </c>
      <c r="C2001" s="1" t="n">
        <v>46184</v>
      </c>
      <c r="D2001" t="inlineStr">
        <is>
          <t>GÄVLEBORGS LÄN</t>
        </is>
      </c>
      <c r="E2001" t="inlineStr">
        <is>
          <t>BOLLNÄS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20767-2026</t>
        </is>
      </c>
      <c r="B2002" s="1" t="n">
        <v>46141</v>
      </c>
      <c r="C2002" s="1" t="n">
        <v>46184</v>
      </c>
      <c r="D2002" t="inlineStr">
        <is>
          <t>GÄVLEBORGS LÄN</t>
        </is>
      </c>
      <c r="E2002" t="inlineStr">
        <is>
          <t>BOLLNÄS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20768-2026</t>
        </is>
      </c>
      <c r="B2003" s="1" t="n">
        <v>46141</v>
      </c>
      <c r="C2003" s="1" t="n">
        <v>46184</v>
      </c>
      <c r="D2003" t="inlineStr">
        <is>
          <t>GÄVLEBORGS LÄN</t>
        </is>
      </c>
      <c r="E2003" t="inlineStr">
        <is>
          <t>BOLLNÄS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20770-2026</t>
        </is>
      </c>
      <c r="B2004" s="1" t="n">
        <v>46141</v>
      </c>
      <c r="C2004" s="1" t="n">
        <v>46184</v>
      </c>
      <c r="D2004" t="inlineStr">
        <is>
          <t>GÄVLEBORGS LÄN</t>
        </is>
      </c>
      <c r="E2004" t="inlineStr">
        <is>
          <t>BOLLNÄS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12372-2026</t>
        </is>
      </c>
      <c r="B2005" s="1" t="n">
        <v>46090.22494212963</v>
      </c>
      <c r="C2005" s="1" t="n">
        <v>46184</v>
      </c>
      <c r="D2005" t="inlineStr">
        <is>
          <t>GÄVLEBORGS LÄN</t>
        </is>
      </c>
      <c r="E2005" t="inlineStr">
        <is>
          <t>BOLLNÄS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51952-2023</t>
        </is>
      </c>
      <c r="B2006" s="1" t="n">
        <v>45223.53648148148</v>
      </c>
      <c r="C2006" s="1" t="n">
        <v>46184</v>
      </c>
      <c r="D2006" t="inlineStr">
        <is>
          <t>GÄVLEBORGS LÄN</t>
        </is>
      </c>
      <c r="E2006" t="inlineStr">
        <is>
          <t>BOLLNÄS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11139-2026</t>
        </is>
      </c>
      <c r="B2007" s="1" t="n">
        <v>46079.81462962963</v>
      </c>
      <c r="C2007" s="1" t="n">
        <v>46184</v>
      </c>
      <c r="D2007" t="inlineStr">
        <is>
          <t>GÄVLEBORGS LÄN</t>
        </is>
      </c>
      <c r="E2007" t="inlineStr">
        <is>
          <t>BOLLNÄS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20447-2026</t>
        </is>
      </c>
      <c r="B2008" s="1" t="n">
        <v>46140</v>
      </c>
      <c r="C2008" s="1" t="n">
        <v>46184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8148-2026</t>
        </is>
      </c>
      <c r="B2009" s="1" t="n">
        <v>46064.35201388889</v>
      </c>
      <c r="C2009" s="1" t="n">
        <v>46184</v>
      </c>
      <c r="D2009" t="inlineStr">
        <is>
          <t>GÄVLEBORGS LÄN</t>
        </is>
      </c>
      <c r="E2009" t="inlineStr">
        <is>
          <t>BOLLNÄS</t>
        </is>
      </c>
      <c r="G2009" t="n">
        <v>23.9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8185-2026</t>
        </is>
      </c>
      <c r="B2010" s="1" t="n">
        <v>46064.4212962963</v>
      </c>
      <c r="C2010" s="1" t="n">
        <v>46184</v>
      </c>
      <c r="D2010" t="inlineStr">
        <is>
          <t>GÄVLEBORGS LÄN</t>
        </is>
      </c>
      <c r="E2010" t="inlineStr">
        <is>
          <t>BOLLNÄS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13914-2026</t>
        </is>
      </c>
      <c r="B2011" s="1" t="n">
        <v>46098</v>
      </c>
      <c r="C2011" s="1" t="n">
        <v>46184</v>
      </c>
      <c r="D2011" t="inlineStr">
        <is>
          <t>GÄVLEBORGS LÄN</t>
        </is>
      </c>
      <c r="E2011" t="inlineStr">
        <is>
          <t>BOLLNÄS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12014-2026</t>
        </is>
      </c>
      <c r="B2012" s="1" t="n">
        <v>46085.69798611111</v>
      </c>
      <c r="C2012" s="1" t="n">
        <v>46184</v>
      </c>
      <c r="D2012" t="inlineStr">
        <is>
          <t>GÄVLEBORGS LÄN</t>
        </is>
      </c>
      <c r="E2012" t="inlineStr">
        <is>
          <t>BOLLNÄS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12142-2026</t>
        </is>
      </c>
      <c r="B2013" s="1" t="n">
        <v>46086</v>
      </c>
      <c r="C2013" s="1" t="n">
        <v>46184</v>
      </c>
      <c r="D2013" t="inlineStr">
        <is>
          <t>GÄVLEBORGS LÄN</t>
        </is>
      </c>
      <c r="E2013" t="inlineStr">
        <is>
          <t>BOLLNÄS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8938-2026</t>
        </is>
      </c>
      <c r="B2014" s="1" t="n">
        <v>46069</v>
      </c>
      <c r="C2014" s="1" t="n">
        <v>46184</v>
      </c>
      <c r="D2014" t="inlineStr">
        <is>
          <t>GÄVLEBORGS LÄN</t>
        </is>
      </c>
      <c r="E2014" t="inlineStr">
        <is>
          <t>BOLLNÄS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9731-2026</t>
        </is>
      </c>
      <c r="B2015" s="1" t="n">
        <v>46072</v>
      </c>
      <c r="C2015" s="1" t="n">
        <v>46184</v>
      </c>
      <c r="D2015" t="inlineStr">
        <is>
          <t>GÄVLEBORGS LÄN</t>
        </is>
      </c>
      <c r="E2015" t="inlineStr">
        <is>
          <t>BOLLNÄS</t>
        </is>
      </c>
      <c r="G2015" t="n">
        <v>13.7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10978-2026</t>
        </is>
      </c>
      <c r="B2016" s="1" t="n">
        <v>46079</v>
      </c>
      <c r="C2016" s="1" t="n">
        <v>46184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24-2026</t>
        </is>
      </c>
      <c r="B2017" s="1" t="n">
        <v>46024</v>
      </c>
      <c r="C2017" s="1" t="n">
        <v>46184</v>
      </c>
      <c r="D2017" t="inlineStr">
        <is>
          <t>GÄVLEBORGS LÄN</t>
        </is>
      </c>
      <c r="E2017" t="inlineStr">
        <is>
          <t>BOLLNÄS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20486-2026</t>
        </is>
      </c>
      <c r="B2018" s="1" t="n">
        <v>46140.48925925926</v>
      </c>
      <c r="C2018" s="1" t="n">
        <v>46184</v>
      </c>
      <c r="D2018" t="inlineStr">
        <is>
          <t>GÄVLEBORGS LÄN</t>
        </is>
      </c>
      <c r="E2018" t="inlineStr">
        <is>
          <t>BOLLNÄS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10213-2026</t>
        </is>
      </c>
      <c r="B2019" s="1" t="n">
        <v>46076.48890046297</v>
      </c>
      <c r="C2019" s="1" t="n">
        <v>46184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10727-2026</t>
        </is>
      </c>
      <c r="B2020" s="1" t="n">
        <v>46078.47508101852</v>
      </c>
      <c r="C2020" s="1" t="n">
        <v>46184</v>
      </c>
      <c r="D2020" t="inlineStr">
        <is>
          <t>GÄVLEBORGS LÄN</t>
        </is>
      </c>
      <c r="E2020" t="inlineStr">
        <is>
          <t>BOLLNÄS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10805-2026</t>
        </is>
      </c>
      <c r="B2021" s="1" t="n">
        <v>46078</v>
      </c>
      <c r="C2021" s="1" t="n">
        <v>46184</v>
      </c>
      <c r="D2021" t="inlineStr">
        <is>
          <t>GÄVLEBORGS LÄN</t>
        </is>
      </c>
      <c r="E2021" t="inlineStr">
        <is>
          <t>BOLLNÄS</t>
        </is>
      </c>
      <c r="G2021" t="n">
        <v>9.6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15374-2026</t>
        </is>
      </c>
      <c r="B2022" s="1" t="n">
        <v>46106.30268518518</v>
      </c>
      <c r="C2022" s="1" t="n">
        <v>46184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Kyrkan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15391-2026</t>
        </is>
      </c>
      <c r="B2023" s="1" t="n">
        <v>46106</v>
      </c>
      <c r="C2023" s="1" t="n">
        <v>46184</v>
      </c>
      <c r="D2023" t="inlineStr">
        <is>
          <t>GÄVLEBORGS LÄN</t>
        </is>
      </c>
      <c r="E2023" t="inlineStr">
        <is>
          <t>BOLLNÄS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2292-2026</t>
        </is>
      </c>
      <c r="B2024" s="1" t="n">
        <v>46036</v>
      </c>
      <c r="C2024" s="1" t="n">
        <v>46184</v>
      </c>
      <c r="D2024" t="inlineStr">
        <is>
          <t>GÄVLEBORGS LÄN</t>
        </is>
      </c>
      <c r="E2024" t="inlineStr">
        <is>
          <t>BOLLNÄS</t>
        </is>
      </c>
      <c r="G2024" t="n">
        <v>13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28080-2024</t>
        </is>
      </c>
      <c r="B2025" s="1" t="n">
        <v>45476.58725694445</v>
      </c>
      <c r="C2025" s="1" t="n">
        <v>46184</v>
      </c>
      <c r="D2025" t="inlineStr">
        <is>
          <t>GÄVLEBORGS LÄN</t>
        </is>
      </c>
      <c r="E2025" t="inlineStr">
        <is>
          <t>BOLLNÄS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11546-2026</t>
        </is>
      </c>
      <c r="B2026" s="1" t="n">
        <v>46084.24528935185</v>
      </c>
      <c r="C2026" s="1" t="n">
        <v>46184</v>
      </c>
      <c r="D2026" t="inlineStr">
        <is>
          <t>GÄVLEBORGS LÄN</t>
        </is>
      </c>
      <c r="E2026" t="inlineStr">
        <is>
          <t>BOLLNÄS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34250-2024</t>
        </is>
      </c>
      <c r="B2027" s="1" t="n">
        <v>45524.58820601852</v>
      </c>
      <c r="C2027" s="1" t="n">
        <v>46184</v>
      </c>
      <c r="D2027" t="inlineStr">
        <is>
          <t>GÄVLEBORGS LÄN</t>
        </is>
      </c>
      <c r="E2027" t="inlineStr">
        <is>
          <t>BOLLNÄS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54511-2024</t>
        </is>
      </c>
      <c r="B2028" s="1" t="n">
        <v>45617</v>
      </c>
      <c r="C2028" s="1" t="n">
        <v>46184</v>
      </c>
      <c r="D2028" t="inlineStr">
        <is>
          <t>GÄVLEBORGS LÄN</t>
        </is>
      </c>
      <c r="E2028" t="inlineStr">
        <is>
          <t>BOLLNÄS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58431-2021</t>
        </is>
      </c>
      <c r="B2029" s="1" t="n">
        <v>44488</v>
      </c>
      <c r="C2029" s="1" t="n">
        <v>46184</v>
      </c>
      <c r="D2029" t="inlineStr">
        <is>
          <t>GÄVLEBORGS LÄN</t>
        </is>
      </c>
      <c r="E2029" t="inlineStr">
        <is>
          <t>BOLLNÄS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27152-2024</t>
        </is>
      </c>
      <c r="B2030" s="1" t="n">
        <v>45471.56072916667</v>
      </c>
      <c r="C2030" s="1" t="n">
        <v>46184</v>
      </c>
      <c r="D2030" t="inlineStr">
        <is>
          <t>GÄVLEBORGS LÄN</t>
        </is>
      </c>
      <c r="E2030" t="inlineStr">
        <is>
          <t>BOLLNÄS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29241-2022</t>
        </is>
      </c>
      <c r="B2031" s="1" t="n">
        <v>44750.61899305556</v>
      </c>
      <c r="C2031" s="1" t="n">
        <v>46184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27612-2024</t>
        </is>
      </c>
      <c r="B2032" s="1" t="n">
        <v>45474.7375925926</v>
      </c>
      <c r="C2032" s="1" t="n">
        <v>46184</v>
      </c>
      <c r="D2032" t="inlineStr">
        <is>
          <t>GÄVLEBORGS LÄN</t>
        </is>
      </c>
      <c r="E2032" t="inlineStr">
        <is>
          <t>BOLLNÄS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10606-2024</t>
        </is>
      </c>
      <c r="B2033" s="1" t="n">
        <v>45366.96065972222</v>
      </c>
      <c r="C2033" s="1" t="n">
        <v>46184</v>
      </c>
      <c r="D2033" t="inlineStr">
        <is>
          <t>GÄVLEBORGS LÄN</t>
        </is>
      </c>
      <c r="E2033" t="inlineStr">
        <is>
          <t>BOLLNÄS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14913-2025</t>
        </is>
      </c>
      <c r="B2034" s="1" t="n">
        <v>45743.52796296297</v>
      </c>
      <c r="C2034" s="1" t="n">
        <v>46184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9.199999999999999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48007-2022</t>
        </is>
      </c>
      <c r="B2035" s="1" t="n">
        <v>44855.65891203703</v>
      </c>
      <c r="C2035" s="1" t="n">
        <v>46184</v>
      </c>
      <c r="D2035" t="inlineStr">
        <is>
          <t>GÄVLEBORGS LÄN</t>
        </is>
      </c>
      <c r="E2035" t="inlineStr">
        <is>
          <t>BOLLNÄS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36087-2023</t>
        </is>
      </c>
      <c r="B2036" s="1" t="n">
        <v>45149</v>
      </c>
      <c r="C2036" s="1" t="n">
        <v>46184</v>
      </c>
      <c r="D2036" t="inlineStr">
        <is>
          <t>GÄVLEBORGS LÄN</t>
        </is>
      </c>
      <c r="E2036" t="inlineStr">
        <is>
          <t>BOLLNÄS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30067-2023</t>
        </is>
      </c>
      <c r="B2037" s="1" t="n">
        <v>45110.42435185185</v>
      </c>
      <c r="C2037" s="1" t="n">
        <v>46184</v>
      </c>
      <c r="D2037" t="inlineStr">
        <is>
          <t>GÄVLEBORGS LÄN</t>
        </is>
      </c>
      <c r="E2037" t="inlineStr">
        <is>
          <t>BOLLNÄS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60884-2022</t>
        </is>
      </c>
      <c r="B2038" s="1" t="n">
        <v>44914.56515046296</v>
      </c>
      <c r="C2038" s="1" t="n">
        <v>46184</v>
      </c>
      <c r="D2038" t="inlineStr">
        <is>
          <t>GÄVLEBORGS LÄN</t>
        </is>
      </c>
      <c r="E2038" t="inlineStr">
        <is>
          <t>BOLLNÄS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11956-2023</t>
        </is>
      </c>
      <c r="B2039" s="1" t="n">
        <v>44995.54887731482</v>
      </c>
      <c r="C2039" s="1" t="n">
        <v>46184</v>
      </c>
      <c r="D2039" t="inlineStr">
        <is>
          <t>GÄVLEBORGS LÄN</t>
        </is>
      </c>
      <c r="E2039" t="inlineStr">
        <is>
          <t>BOLLNÄS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48301-2023</t>
        </is>
      </c>
      <c r="B2040" s="1" t="n">
        <v>45205</v>
      </c>
      <c r="C2040" s="1" t="n">
        <v>46184</v>
      </c>
      <c r="D2040" t="inlineStr">
        <is>
          <t>GÄVLEBORGS LÄN</t>
        </is>
      </c>
      <c r="E2040" t="inlineStr">
        <is>
          <t>BOLLNÄS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71657-2021</t>
        </is>
      </c>
      <c r="B2041" s="1" t="n">
        <v>44543.37199074074</v>
      </c>
      <c r="C2041" s="1" t="n">
        <v>46184</v>
      </c>
      <c r="D2041" t="inlineStr">
        <is>
          <t>GÄVLEBORGS LÄN</t>
        </is>
      </c>
      <c r="E2041" t="inlineStr">
        <is>
          <t>BOLLNÄS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23365-2024</t>
        </is>
      </c>
      <c r="B2042" s="1" t="n">
        <v>45453.54730324074</v>
      </c>
      <c r="C2042" s="1" t="n">
        <v>46184</v>
      </c>
      <c r="D2042" t="inlineStr">
        <is>
          <t>GÄVLEBORGS LÄN</t>
        </is>
      </c>
      <c r="E2042" t="inlineStr">
        <is>
          <t>BOLLNÄS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20876-2024</t>
        </is>
      </c>
      <c r="B2043" s="1" t="n">
        <v>45439.44590277778</v>
      </c>
      <c r="C2043" s="1" t="n">
        <v>46184</v>
      </c>
      <c r="D2043" t="inlineStr">
        <is>
          <t>GÄVLEBORGS LÄN</t>
        </is>
      </c>
      <c r="E2043" t="inlineStr">
        <is>
          <t>BOLLNÄS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15150-2023</t>
        </is>
      </c>
      <c r="B2044" s="1" t="n">
        <v>45016</v>
      </c>
      <c r="C2044" s="1" t="n">
        <v>46184</v>
      </c>
      <c r="D2044" t="inlineStr">
        <is>
          <t>GÄVLEBORGS LÄN</t>
        </is>
      </c>
      <c r="E2044" t="inlineStr">
        <is>
          <t>BOLLNÄS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2297-2024</t>
        </is>
      </c>
      <c r="B2045" s="1" t="n">
        <v>45310.43618055555</v>
      </c>
      <c r="C2045" s="1" t="n">
        <v>46184</v>
      </c>
      <c r="D2045" t="inlineStr">
        <is>
          <t>GÄVLEBORGS LÄN</t>
        </is>
      </c>
      <c r="E2045" t="inlineStr">
        <is>
          <t>BOLLNÄS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23118-2024</t>
        </is>
      </c>
      <c r="B2046" s="1" t="n">
        <v>45450</v>
      </c>
      <c r="C2046" s="1" t="n">
        <v>46184</v>
      </c>
      <c r="D2046" t="inlineStr">
        <is>
          <t>GÄVLEBORGS LÄN</t>
        </is>
      </c>
      <c r="E2046" t="inlineStr">
        <is>
          <t>BOLLNÄS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20284-2025</t>
        </is>
      </c>
      <c r="B2047" s="1" t="n">
        <v>45774.50434027778</v>
      </c>
      <c r="C2047" s="1" t="n">
        <v>46184</v>
      </c>
      <c r="D2047" t="inlineStr">
        <is>
          <t>GÄVLEBORGS LÄN</t>
        </is>
      </c>
      <c r="E2047" t="inlineStr">
        <is>
          <t>BOLLNÄS</t>
        </is>
      </c>
      <c r="F2047" t="inlineStr">
        <is>
          <t>Bergvik skog väst AB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60743-2024</t>
        </is>
      </c>
      <c r="B2048" s="1" t="n">
        <v>45644.55494212963</v>
      </c>
      <c r="C2048" s="1" t="n">
        <v>46184</v>
      </c>
      <c r="D2048" t="inlineStr">
        <is>
          <t>GÄVLEBORGS LÄN</t>
        </is>
      </c>
      <c r="E2048" t="inlineStr">
        <is>
          <t>BOLLNÄS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10021-2025</t>
        </is>
      </c>
      <c r="B2049" s="1" t="n">
        <v>45719</v>
      </c>
      <c r="C2049" s="1" t="n">
        <v>46184</v>
      </c>
      <c r="D2049" t="inlineStr">
        <is>
          <t>GÄVLEBORGS LÄN</t>
        </is>
      </c>
      <c r="E2049" t="inlineStr">
        <is>
          <t>BOLLNÄS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59636-2024</t>
        </is>
      </c>
      <c r="B2050" s="1" t="n">
        <v>45639.25746527778</v>
      </c>
      <c r="C2050" s="1" t="n">
        <v>46184</v>
      </c>
      <c r="D2050" t="inlineStr">
        <is>
          <t>GÄVLEBORGS LÄN</t>
        </is>
      </c>
      <c r="E2050" t="inlineStr">
        <is>
          <t>BOLLNÄS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44177-2022</t>
        </is>
      </c>
      <c r="B2051" s="1" t="n">
        <v>44839</v>
      </c>
      <c r="C2051" s="1" t="n">
        <v>46184</v>
      </c>
      <c r="D2051" t="inlineStr">
        <is>
          <t>GÄVLEBORGS LÄN</t>
        </is>
      </c>
      <c r="E2051" t="inlineStr">
        <is>
          <t>BOLLNÄS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35941-2022</t>
        </is>
      </c>
      <c r="B2052" s="1" t="n">
        <v>44802.5419675926</v>
      </c>
      <c r="C2052" s="1" t="n">
        <v>46184</v>
      </c>
      <c r="D2052" t="inlineStr">
        <is>
          <t>GÄVLEBORGS LÄN</t>
        </is>
      </c>
      <c r="E2052" t="inlineStr">
        <is>
          <t>BOLLNÄS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26246-2024</t>
        </is>
      </c>
      <c r="B2053" s="1" t="n">
        <v>45468.63453703704</v>
      </c>
      <c r="C2053" s="1" t="n">
        <v>46184</v>
      </c>
      <c r="D2053" t="inlineStr">
        <is>
          <t>GÄVLEBORGS LÄN</t>
        </is>
      </c>
      <c r="E2053" t="inlineStr">
        <is>
          <t>BOLLNÄS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10118-2024</t>
        </is>
      </c>
      <c r="B2054" s="1" t="n">
        <v>45364.56001157407</v>
      </c>
      <c r="C2054" s="1" t="n">
        <v>46184</v>
      </c>
      <c r="D2054" t="inlineStr">
        <is>
          <t>GÄVLEBORGS LÄN</t>
        </is>
      </c>
      <c r="E2054" t="inlineStr">
        <is>
          <t>BOLLNÄS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10119-2024</t>
        </is>
      </c>
      <c r="B2055" s="1" t="n">
        <v>45364.56122685185</v>
      </c>
      <c r="C2055" s="1" t="n">
        <v>46184</v>
      </c>
      <c r="D2055" t="inlineStr">
        <is>
          <t>GÄVLEBORGS LÄN</t>
        </is>
      </c>
      <c r="E2055" t="inlineStr">
        <is>
          <t>BOLLNÄS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10123-2024</t>
        </is>
      </c>
      <c r="B2056" s="1" t="n">
        <v>45364.56289351852</v>
      </c>
      <c r="C2056" s="1" t="n">
        <v>46184</v>
      </c>
      <c r="D2056" t="inlineStr">
        <is>
          <t>GÄVLEBORGS LÄN</t>
        </is>
      </c>
      <c r="E2056" t="inlineStr">
        <is>
          <t>BOLLNÄS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2345-2024</t>
        </is>
      </c>
      <c r="B2057" s="1" t="n">
        <v>45310.581875</v>
      </c>
      <c r="C2057" s="1" t="n">
        <v>46184</v>
      </c>
      <c r="D2057" t="inlineStr">
        <is>
          <t>GÄVLEBORGS LÄN</t>
        </is>
      </c>
      <c r="E2057" t="inlineStr">
        <is>
          <t>BOLLNÄS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46724-2024</t>
        </is>
      </c>
      <c r="B2058" s="1" t="n">
        <v>45583.46032407408</v>
      </c>
      <c r="C2058" s="1" t="n">
        <v>46184</v>
      </c>
      <c r="D2058" t="inlineStr">
        <is>
          <t>GÄVLEBORGS LÄN</t>
        </is>
      </c>
      <c r="E2058" t="inlineStr">
        <is>
          <t>BOLLNÄS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46739-2024</t>
        </is>
      </c>
      <c r="B2059" s="1" t="n">
        <v>45583.4724074074</v>
      </c>
      <c r="C2059" s="1" t="n">
        <v>46184</v>
      </c>
      <c r="D2059" t="inlineStr">
        <is>
          <t>GÄVLEBORGS LÄN</t>
        </is>
      </c>
      <c r="E2059" t="inlineStr">
        <is>
          <t>BOLLNÄS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6755-2024</t>
        </is>
      </c>
      <c r="B2060" s="1" t="n">
        <v>45342</v>
      </c>
      <c r="C2060" s="1" t="n">
        <v>46184</v>
      </c>
      <c r="D2060" t="inlineStr">
        <is>
          <t>GÄVLEBORGS LÄN</t>
        </is>
      </c>
      <c r="E2060" t="inlineStr">
        <is>
          <t>BOLLNÄS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48308-2024</t>
        </is>
      </c>
      <c r="B2061" s="1" t="n">
        <v>45590.47798611111</v>
      </c>
      <c r="C2061" s="1" t="n">
        <v>46184</v>
      </c>
      <c r="D2061" t="inlineStr">
        <is>
          <t>GÄVLEBORGS LÄN</t>
        </is>
      </c>
      <c r="E2061" t="inlineStr">
        <is>
          <t>BOLLNÄS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6767-2025</t>
        </is>
      </c>
      <c r="B2062" s="1" t="n">
        <v>45700.63662037037</v>
      </c>
      <c r="C2062" s="1" t="n">
        <v>46184</v>
      </c>
      <c r="D2062" t="inlineStr">
        <is>
          <t>GÄVLEBORGS LÄN</t>
        </is>
      </c>
      <c r="E2062" t="inlineStr">
        <is>
          <t>BOLLNÄS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18151-2024</t>
        </is>
      </c>
      <c r="B2063" s="1" t="n">
        <v>45420.60313657407</v>
      </c>
      <c r="C2063" s="1" t="n">
        <v>46184</v>
      </c>
      <c r="D2063" t="inlineStr">
        <is>
          <t>GÄVLEBORGS LÄN</t>
        </is>
      </c>
      <c r="E2063" t="inlineStr">
        <is>
          <t>BOLLNÄS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27590-2023</t>
        </is>
      </c>
      <c r="B2064" s="1" t="n">
        <v>45097</v>
      </c>
      <c r="C2064" s="1" t="n">
        <v>46184</v>
      </c>
      <c r="D2064" t="inlineStr">
        <is>
          <t>GÄVLEBORGS LÄN</t>
        </is>
      </c>
      <c r="E2064" t="inlineStr">
        <is>
          <t>BOLLNÄS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30523-2021</t>
        </is>
      </c>
      <c r="B2065" s="1" t="n">
        <v>44364</v>
      </c>
      <c r="C2065" s="1" t="n">
        <v>46184</v>
      </c>
      <c r="D2065" t="inlineStr">
        <is>
          <t>GÄVLEBORGS LÄN</t>
        </is>
      </c>
      <c r="E2065" t="inlineStr">
        <is>
          <t>BOLLNÄS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31610-2024</t>
        </is>
      </c>
      <c r="B2066" s="1" t="n">
        <v>45506.43253472223</v>
      </c>
      <c r="C2066" s="1" t="n">
        <v>46184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Sveaskog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35071-2023</t>
        </is>
      </c>
      <c r="B2067" s="1" t="n">
        <v>45145.42189814815</v>
      </c>
      <c r="C2067" s="1" t="n">
        <v>46184</v>
      </c>
      <c r="D2067" t="inlineStr">
        <is>
          <t>GÄVLEBORGS LÄN</t>
        </is>
      </c>
      <c r="E2067" t="inlineStr">
        <is>
          <t>BOLLNÄS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6833-2023</t>
        </is>
      </c>
      <c r="B2068" s="1" t="n">
        <v>44967</v>
      </c>
      <c r="C2068" s="1" t="n">
        <v>46184</v>
      </c>
      <c r="D2068" t="inlineStr">
        <is>
          <t>GÄVLEBORGS LÄN</t>
        </is>
      </c>
      <c r="E2068" t="inlineStr">
        <is>
          <t>BOLLNÄS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42643-2024</t>
        </is>
      </c>
      <c r="B2069" s="1" t="n">
        <v>45566.28908564815</v>
      </c>
      <c r="C2069" s="1" t="n">
        <v>46184</v>
      </c>
      <c r="D2069" t="inlineStr">
        <is>
          <t>GÄVLEBORGS LÄN</t>
        </is>
      </c>
      <c r="E2069" t="inlineStr">
        <is>
          <t>BOLLNÄS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42644-2024</t>
        </is>
      </c>
      <c r="B2070" s="1" t="n">
        <v>45566.29006944445</v>
      </c>
      <c r="C2070" s="1" t="n">
        <v>46184</v>
      </c>
      <c r="D2070" t="inlineStr">
        <is>
          <t>GÄVLEBORGS LÄN</t>
        </is>
      </c>
      <c r="E2070" t="inlineStr">
        <is>
          <t>BOLLNÄS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54209-2023</t>
        </is>
      </c>
      <c r="B2071" s="1" t="n">
        <v>45232.56831018518</v>
      </c>
      <c r="C2071" s="1" t="n">
        <v>46184</v>
      </c>
      <c r="D2071" t="inlineStr">
        <is>
          <t>GÄVLEBORGS LÄN</t>
        </is>
      </c>
      <c r="E2071" t="inlineStr">
        <is>
          <t>BOLLNÄS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36607-2023</t>
        </is>
      </c>
      <c r="B2072" s="1" t="n">
        <v>45153.48958333334</v>
      </c>
      <c r="C2072" s="1" t="n">
        <v>46184</v>
      </c>
      <c r="D2072" t="inlineStr">
        <is>
          <t>GÄVLEBORGS LÄN</t>
        </is>
      </c>
      <c r="E2072" t="inlineStr">
        <is>
          <t>BOLLNÄS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26304-2022</t>
        </is>
      </c>
      <c r="B2073" s="1" t="n">
        <v>44735.58756944445</v>
      </c>
      <c r="C2073" s="1" t="n">
        <v>46184</v>
      </c>
      <c r="D2073" t="inlineStr">
        <is>
          <t>GÄVLEBORGS LÄN</t>
        </is>
      </c>
      <c r="E2073" t="inlineStr">
        <is>
          <t>BOLLNÄS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32754-2023</t>
        </is>
      </c>
      <c r="B2074" s="1" t="n">
        <v>45123</v>
      </c>
      <c r="C2074" s="1" t="n">
        <v>46184</v>
      </c>
      <c r="D2074" t="inlineStr">
        <is>
          <t>GÄVLEBORGS LÄN</t>
        </is>
      </c>
      <c r="E2074" t="inlineStr">
        <is>
          <t>BOLLNÄS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18334-2024</t>
        </is>
      </c>
      <c r="B2075" s="1" t="n">
        <v>45422.56760416667</v>
      </c>
      <c r="C2075" s="1" t="n">
        <v>46184</v>
      </c>
      <c r="D2075" t="inlineStr">
        <is>
          <t>GÄVLEBORGS LÄN</t>
        </is>
      </c>
      <c r="E2075" t="inlineStr">
        <is>
          <t>BOLLNÄS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41730-2023</t>
        </is>
      </c>
      <c r="B2076" s="1" t="n">
        <v>45176</v>
      </c>
      <c r="C2076" s="1" t="n">
        <v>46184</v>
      </c>
      <c r="D2076" t="inlineStr">
        <is>
          <t>GÄVLEBORGS LÄN</t>
        </is>
      </c>
      <c r="E2076" t="inlineStr">
        <is>
          <t>BOLLNÄS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15654-2025</t>
        </is>
      </c>
      <c r="B2077" s="1" t="n">
        <v>45748.40988425926</v>
      </c>
      <c r="C2077" s="1" t="n">
        <v>46184</v>
      </c>
      <c r="D2077" t="inlineStr">
        <is>
          <t>GÄVLEBORGS LÄN</t>
        </is>
      </c>
      <c r="E2077" t="inlineStr">
        <is>
          <t>BOLLNÄS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2667-2025</t>
        </is>
      </c>
      <c r="B2078" s="1" t="n">
        <v>45677.27587962963</v>
      </c>
      <c r="C2078" s="1" t="n">
        <v>46184</v>
      </c>
      <c r="D2078" t="inlineStr">
        <is>
          <t>GÄVLEBORGS LÄN</t>
        </is>
      </c>
      <c r="E2078" t="inlineStr">
        <is>
          <t>BOLLNÄS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22835-2024</t>
        </is>
      </c>
      <c r="B2079" s="1" t="n">
        <v>45448</v>
      </c>
      <c r="C2079" s="1" t="n">
        <v>46184</v>
      </c>
      <c r="D2079" t="inlineStr">
        <is>
          <t>GÄVLEBORGS LÄN</t>
        </is>
      </c>
      <c r="E2079" t="inlineStr">
        <is>
          <t>BOLLNÄS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61592-2022</t>
        </is>
      </c>
      <c r="B2080" s="1" t="n">
        <v>44916</v>
      </c>
      <c r="C2080" s="1" t="n">
        <v>46184</v>
      </c>
      <c r="D2080" t="inlineStr">
        <is>
          <t>GÄVLEBORGS LÄN</t>
        </is>
      </c>
      <c r="E2080" t="inlineStr">
        <is>
          <t>BOLLNÄS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7129-2025</t>
        </is>
      </c>
      <c r="B2081" s="1" t="n">
        <v>45702</v>
      </c>
      <c r="C2081" s="1" t="n">
        <v>46184</v>
      </c>
      <c r="D2081" t="inlineStr">
        <is>
          <t>GÄVLEBORGS LÄN</t>
        </is>
      </c>
      <c r="E2081" t="inlineStr">
        <is>
          <t>BOLLNÄS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55570-2024</t>
        </is>
      </c>
      <c r="B2082" s="1" t="n">
        <v>45622.5512037037</v>
      </c>
      <c r="C2082" s="1" t="n">
        <v>46184</v>
      </c>
      <c r="D2082" t="inlineStr">
        <is>
          <t>GÄVLEBORGS LÄN</t>
        </is>
      </c>
      <c r="E2082" t="inlineStr">
        <is>
          <t>BOLLNÄS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13465-2025</t>
        </is>
      </c>
      <c r="B2083" s="1" t="n">
        <v>45736.39627314815</v>
      </c>
      <c r="C2083" s="1" t="n">
        <v>46184</v>
      </c>
      <c r="D2083" t="inlineStr">
        <is>
          <t>GÄVLEBORGS LÄN</t>
        </is>
      </c>
      <c r="E2083" t="inlineStr">
        <is>
          <t>BOLLNÄS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16919-2025</t>
        </is>
      </c>
      <c r="B2084" s="1" t="n">
        <v>45755.37341435185</v>
      </c>
      <c r="C2084" s="1" t="n">
        <v>46184</v>
      </c>
      <c r="D2084" t="inlineStr">
        <is>
          <t>GÄVLEBORGS LÄN</t>
        </is>
      </c>
      <c r="E2084" t="inlineStr">
        <is>
          <t>BOLLNÄS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14986-2025</t>
        </is>
      </c>
      <c r="B2085" s="1" t="n">
        <v>45743.60083333333</v>
      </c>
      <c r="C2085" s="1" t="n">
        <v>46184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>
      <c r="A2086" t="inlineStr">
        <is>
          <t>A 59637-2024</t>
        </is>
      </c>
      <c r="B2086" s="1" t="n">
        <v>45639.27597222223</v>
      </c>
      <c r="C2086" s="1" t="n">
        <v>46184</v>
      </c>
      <c r="D2086" t="inlineStr">
        <is>
          <t>GÄVLEBORGS LÄN</t>
        </is>
      </c>
      <c r="E2086" t="inlineStr">
        <is>
          <t>BOLLNÄS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2026-06-11T09:22:24Z</dcterms:created>
  <dcterms:modified xmlns:dcterms="http://purl.org/dc/terms/" xmlns:xsi="http://www.w3.org/2001/XMLSchema-instance" xsi:type="dcterms:W3CDTF">2026-06-11T09:22:26Z</dcterms:modified>
</cp:coreProperties>
</file>