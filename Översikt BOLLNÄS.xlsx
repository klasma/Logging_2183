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45839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45839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45839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45839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45839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45839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45839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45839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45839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45839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45839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45839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45839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45839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45839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45839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45839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45839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45839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45839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45839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45839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45839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45839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18857-2023</t>
        </is>
      </c>
      <c r="B30" s="1" t="n">
        <v>45044</v>
      </c>
      <c r="C30" s="1" t="n">
        <v>45839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HYPERLINK("https://klasma.github.io/Logging_2183/artfynd/A 18857-2023 artfynd.xlsx", "A 18857-2023")</f>
        <v/>
      </c>
      <c r="T30">
        <f>HYPERLINK("https://klasma.github.io/Logging_2183/kartor/A 18857-2023 karta.png", "A 18857-2023")</f>
        <v/>
      </c>
      <c r="V30">
        <f>HYPERLINK("https://klasma.github.io/Logging_2183/klagomål/A 18857-2023 FSC-klagomål.docx", "A 18857-2023")</f>
        <v/>
      </c>
      <c r="W30">
        <f>HYPERLINK("https://klasma.github.io/Logging_2183/klagomålsmail/A 18857-2023 FSC-klagomål mail.docx", "A 18857-2023")</f>
        <v/>
      </c>
      <c r="X30">
        <f>HYPERLINK("https://klasma.github.io/Logging_2183/tillsyn/A 18857-2023 tillsynsbegäran.docx", "A 18857-2023")</f>
        <v/>
      </c>
      <c r="Y30">
        <f>HYPERLINK("https://klasma.github.io/Logging_2183/tillsynsmail/A 18857-2023 tillsynsbegäran mail.docx", "A 18857-2023")</f>
        <v/>
      </c>
      <c r="Z30">
        <f>HYPERLINK("https://klasma.github.io/Logging_2183/fåglar/A 18857-2023 prioriterade fågelarter.docx", "A 18857-2023")</f>
        <v/>
      </c>
    </row>
    <row r="31" ht="15" customHeight="1">
      <c r="A31" t="inlineStr">
        <is>
          <t>A 25802-2023</t>
        </is>
      </c>
      <c r="B31" s="1" t="n">
        <v>45090</v>
      </c>
      <c r="C31" s="1" t="n">
        <v>45839</v>
      </c>
      <c r="D31" t="inlineStr">
        <is>
          <t>GÄVLEBORGS LÄN</t>
        </is>
      </c>
      <c r="E31" t="inlineStr">
        <is>
          <t>BOLLNÄS</t>
        </is>
      </c>
      <c r="G31" t="n">
        <v>12.1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25802-2023 artfynd.xlsx", "A 25802-2023")</f>
        <v/>
      </c>
      <c r="T31">
        <f>HYPERLINK("https://klasma.github.io/Logging_2183/kartor/A 25802-2023 karta.png", "A 25802-2023")</f>
        <v/>
      </c>
      <c r="V31">
        <f>HYPERLINK("https://klasma.github.io/Logging_2183/klagomål/A 25802-2023 FSC-klagomål.docx", "A 25802-2023")</f>
        <v/>
      </c>
      <c r="W31">
        <f>HYPERLINK("https://klasma.github.io/Logging_2183/klagomålsmail/A 25802-2023 FSC-klagomål mail.docx", "A 25802-2023")</f>
        <v/>
      </c>
      <c r="X31">
        <f>HYPERLINK("https://klasma.github.io/Logging_2183/tillsyn/A 25802-2023 tillsynsbegäran.docx", "A 25802-2023")</f>
        <v/>
      </c>
      <c r="Y31">
        <f>HYPERLINK("https://klasma.github.io/Logging_2183/tillsynsmail/A 25802-2023 tillsynsbegäran mail.docx", "A 25802-2023")</f>
        <v/>
      </c>
    </row>
    <row r="32" ht="15" customHeight="1">
      <c r="A32" t="inlineStr">
        <is>
          <t>A 26929-2023</t>
        </is>
      </c>
      <c r="B32" s="1" t="n">
        <v>45093</v>
      </c>
      <c r="C32" s="1" t="n">
        <v>45839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7.6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26929-2023 artfynd.xlsx", "A 26929-2023")</f>
        <v/>
      </c>
      <c r="T32">
        <f>HYPERLINK("https://klasma.github.io/Logging_2183/kartor/A 26929-2023 karta.png", "A 26929-2023")</f>
        <v/>
      </c>
      <c r="U32">
        <f>HYPERLINK("https://klasma.github.io/Logging_2183/knärot/A 26929-2023 karta knärot.png", "A 26929-2023")</f>
        <v/>
      </c>
      <c r="V32">
        <f>HYPERLINK("https://klasma.github.io/Logging_2183/klagomål/A 26929-2023 FSC-klagomål.docx", "A 26929-2023")</f>
        <v/>
      </c>
      <c r="W32">
        <f>HYPERLINK("https://klasma.github.io/Logging_2183/klagomålsmail/A 26929-2023 FSC-klagomål mail.docx", "A 26929-2023")</f>
        <v/>
      </c>
      <c r="X32">
        <f>HYPERLINK("https://klasma.github.io/Logging_2183/tillsyn/A 26929-2023 tillsynsbegäran.docx", "A 26929-2023")</f>
        <v/>
      </c>
      <c r="Y32">
        <f>HYPERLINK("https://klasma.github.io/Logging_2183/tillsynsmail/A 26929-2023 tillsynsbegäran mail.docx", "A 26929-2023")</f>
        <v/>
      </c>
    </row>
    <row r="33" ht="15" customHeight="1">
      <c r="A33" t="inlineStr">
        <is>
          <t>A 48983-2023</t>
        </is>
      </c>
      <c r="B33" s="1" t="n">
        <v>45209</v>
      </c>
      <c r="C33" s="1" t="n">
        <v>45839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HYPERLINK("https://klasma.github.io/Logging_2183/artfynd/A 48983-2023 artfynd.xlsx", "A 48983-2023")</f>
        <v/>
      </c>
      <c r="T33">
        <f>HYPERLINK("https://klasma.github.io/Logging_2183/kartor/A 48983-2023 karta.png", "A 48983-2023")</f>
        <v/>
      </c>
      <c r="V33">
        <f>HYPERLINK("https://klasma.github.io/Logging_2183/klagomål/A 48983-2023 FSC-klagomål.docx", "A 48983-2023")</f>
        <v/>
      </c>
      <c r="W33">
        <f>HYPERLINK("https://klasma.github.io/Logging_2183/klagomålsmail/A 48983-2023 FSC-klagomål mail.docx", "A 48983-2023")</f>
        <v/>
      </c>
      <c r="X33">
        <f>HYPERLINK("https://klasma.github.io/Logging_2183/tillsyn/A 48983-2023 tillsynsbegäran.docx", "A 48983-2023")</f>
        <v/>
      </c>
      <c r="Y33">
        <f>HYPERLINK("https://klasma.github.io/Logging_2183/tillsynsmail/A 48983-2023 tillsynsbegäran mail.docx", "A 48983-2023")</f>
        <v/>
      </c>
      <c r="Z33">
        <f>HYPERLINK("https://klasma.github.io/Logging_2183/fåglar/A 48983-2023 prioriterade fågelarter.docx", "A 48983-2023")</f>
        <v/>
      </c>
    </row>
    <row r="34" ht="15" customHeight="1">
      <c r="A34" t="inlineStr">
        <is>
          <t>A 57279-2023</t>
        </is>
      </c>
      <c r="B34" s="1" t="n">
        <v>45239</v>
      </c>
      <c r="C34" s="1" t="n">
        <v>45839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HYPERLINK("https://klasma.github.io/Logging_2183/artfynd/A 57279-2023 artfynd.xlsx", "A 57279-2023")</f>
        <v/>
      </c>
      <c r="T34">
        <f>HYPERLINK("https://klasma.github.io/Logging_2183/kartor/A 57279-2023 karta.png", "A 57279-2023")</f>
        <v/>
      </c>
      <c r="V34">
        <f>HYPERLINK("https://klasma.github.io/Logging_2183/klagomål/A 57279-2023 FSC-klagomål.docx", "A 57279-2023")</f>
        <v/>
      </c>
      <c r="W34">
        <f>HYPERLINK("https://klasma.github.io/Logging_2183/klagomålsmail/A 57279-2023 FSC-klagomål mail.docx", "A 57279-2023")</f>
        <v/>
      </c>
      <c r="X34">
        <f>HYPERLINK("https://klasma.github.io/Logging_2183/tillsyn/A 57279-2023 tillsynsbegäran.docx", "A 57279-2023")</f>
        <v/>
      </c>
      <c r="Y34">
        <f>HYPERLINK("https://klasma.github.io/Logging_2183/tillsynsmail/A 57279-2023 tillsynsbegäran mail.docx", "A 57279-2023")</f>
        <v/>
      </c>
    </row>
    <row r="35" ht="15" customHeight="1">
      <c r="A35" t="inlineStr">
        <is>
          <t>A 27842-2024</t>
        </is>
      </c>
      <c r="B35" s="1" t="n">
        <v>45475</v>
      </c>
      <c r="C35" s="1" t="n">
        <v>45839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27842-2024 artfynd.xlsx", "A 27842-2024")</f>
        <v/>
      </c>
      <c r="T35">
        <f>HYPERLINK("https://klasma.github.io/Logging_2183/kartor/A 27842-2024 karta.png", "A 27842-2024")</f>
        <v/>
      </c>
      <c r="V35">
        <f>HYPERLINK("https://klasma.github.io/Logging_2183/klagomål/A 27842-2024 FSC-klagomål.docx", "A 27842-2024")</f>
        <v/>
      </c>
      <c r="W35">
        <f>HYPERLINK("https://klasma.github.io/Logging_2183/klagomålsmail/A 27842-2024 FSC-klagomål mail.docx", "A 27842-2024")</f>
        <v/>
      </c>
      <c r="X35">
        <f>HYPERLINK("https://klasma.github.io/Logging_2183/tillsyn/A 27842-2024 tillsynsbegäran.docx", "A 27842-2024")</f>
        <v/>
      </c>
      <c r="Y35">
        <f>HYPERLINK("https://klasma.github.io/Logging_2183/tillsynsmail/A 27842-2024 tillsynsbegäran mail.docx", "A 27842-2024")</f>
        <v/>
      </c>
    </row>
    <row r="36" ht="15" customHeight="1">
      <c r="A36" t="inlineStr">
        <is>
          <t>A 34475-2024</t>
        </is>
      </c>
      <c r="B36" s="1" t="n">
        <v>45525</v>
      </c>
      <c r="C36" s="1" t="n">
        <v>45839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HYPERLINK("https://klasma.github.io/Logging_2183/artfynd/A 34475-2024 artfynd.xlsx", "A 34475-2024")</f>
        <v/>
      </c>
      <c r="T36">
        <f>HYPERLINK("https://klasma.github.io/Logging_2183/kartor/A 34475-2024 karta.png", "A 34475-2024")</f>
        <v/>
      </c>
      <c r="V36">
        <f>HYPERLINK("https://klasma.github.io/Logging_2183/klagomål/A 34475-2024 FSC-klagomål.docx", "A 34475-2024")</f>
        <v/>
      </c>
      <c r="W36">
        <f>HYPERLINK("https://klasma.github.io/Logging_2183/klagomålsmail/A 34475-2024 FSC-klagomål mail.docx", "A 34475-2024")</f>
        <v/>
      </c>
      <c r="X36">
        <f>HYPERLINK("https://klasma.github.io/Logging_2183/tillsyn/A 34475-2024 tillsynsbegäran.docx", "A 34475-2024")</f>
        <v/>
      </c>
      <c r="Y36">
        <f>HYPERLINK("https://klasma.github.io/Logging_2183/tillsynsmail/A 34475-2024 tillsynsbegäran mail.docx", "A 34475-2024")</f>
        <v/>
      </c>
    </row>
    <row r="37" ht="15" customHeight="1">
      <c r="A37" t="inlineStr">
        <is>
          <t>A 38971-2024</t>
        </is>
      </c>
      <c r="B37" s="1" t="n">
        <v>45548</v>
      </c>
      <c r="C37" s="1" t="n">
        <v>45839</v>
      </c>
      <c r="D37" t="inlineStr">
        <is>
          <t>GÄVLEBORGS LÄN</t>
        </is>
      </c>
      <c r="E37" t="inlineStr">
        <is>
          <t>BOLLNÄS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HYPERLINK("https://klasma.github.io/Logging_2183/artfynd/A 38971-2024 artfynd.xlsx", "A 38971-2024")</f>
        <v/>
      </c>
      <c r="T37">
        <f>HYPERLINK("https://klasma.github.io/Logging_2183/kartor/A 38971-2024 karta.png", "A 38971-2024")</f>
        <v/>
      </c>
      <c r="V37">
        <f>HYPERLINK("https://klasma.github.io/Logging_2183/klagomål/A 38971-2024 FSC-klagomål.docx", "A 38971-2024")</f>
        <v/>
      </c>
      <c r="W37">
        <f>HYPERLINK("https://klasma.github.io/Logging_2183/klagomålsmail/A 38971-2024 FSC-klagomål mail.docx", "A 38971-2024")</f>
        <v/>
      </c>
      <c r="X37">
        <f>HYPERLINK("https://klasma.github.io/Logging_2183/tillsyn/A 38971-2024 tillsynsbegäran.docx", "A 38971-2024")</f>
        <v/>
      </c>
      <c r="Y37">
        <f>HYPERLINK("https://klasma.github.io/Logging_2183/tillsynsmail/A 38971-2024 tillsynsbegäran mail.docx", "A 38971-2024")</f>
        <v/>
      </c>
      <c r="Z37">
        <f>HYPERLINK("https://klasma.github.io/Logging_2183/fåglar/A 38971-2024 prioriterade fågelarter.docx", "A 38971-2024")</f>
        <v/>
      </c>
    </row>
    <row r="38" ht="15" customHeight="1">
      <c r="A38" t="inlineStr">
        <is>
          <t>A 47621-2024</t>
        </is>
      </c>
      <c r="B38" s="1" t="n">
        <v>45588</v>
      </c>
      <c r="C38" s="1" t="n">
        <v>45839</v>
      </c>
      <c r="D38" t="inlineStr">
        <is>
          <t>GÄVLEBORGS LÄN</t>
        </is>
      </c>
      <c r="E38" t="inlineStr">
        <is>
          <t>BOLLNÄS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Flodpärlmussla</t>
        </is>
      </c>
      <c r="S38">
        <f>HYPERLINK("https://klasma.github.io/Logging_2183/artfynd/A 47621-2024 artfynd.xlsx", "A 47621-2024")</f>
        <v/>
      </c>
      <c r="T38">
        <f>HYPERLINK("https://klasma.github.io/Logging_2183/kartor/A 47621-2024 karta.png", "A 47621-2024")</f>
        <v/>
      </c>
      <c r="V38">
        <f>HYPERLINK("https://klasma.github.io/Logging_2183/klagomål/A 47621-2024 FSC-klagomål.docx", "A 47621-2024")</f>
        <v/>
      </c>
      <c r="W38">
        <f>HYPERLINK("https://klasma.github.io/Logging_2183/klagomålsmail/A 47621-2024 FSC-klagomål mail.docx", "A 47621-2024")</f>
        <v/>
      </c>
      <c r="X38">
        <f>HYPERLINK("https://klasma.github.io/Logging_2183/tillsyn/A 47621-2024 tillsynsbegäran.docx", "A 47621-2024")</f>
        <v/>
      </c>
      <c r="Y38">
        <f>HYPERLINK("https://klasma.github.io/Logging_2183/tillsynsmail/A 47621-2024 tillsynsbegäran mail.docx", "A 47621-2024")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45839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12817-2025</t>
        </is>
      </c>
      <c r="B40" s="1" t="n">
        <v>45733</v>
      </c>
      <c r="C40" s="1" t="n">
        <v>45839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HYPERLINK("https://klasma.github.io/Logging_212183/artfynd/A 12817-2025 artfynd.xlsx", "A 12817-2025")</f>
        <v/>
      </c>
      <c r="T40">
        <f>HYPERLINK("https://klasma.github.io/Logging_212183/kartor/A 12817-2025 karta.png", "A 12817-2025")</f>
        <v/>
      </c>
      <c r="V40">
        <f>HYPERLINK("https://klasma.github.io/Logging_212183/klagomål/A 12817-2025 FSC-klagomål.docx", "A 12817-2025")</f>
        <v/>
      </c>
      <c r="W40">
        <f>HYPERLINK("https://klasma.github.io/Logging_212183/klagomålsmail/A 12817-2025 FSC-klagomål mail.docx", "A 12817-2025")</f>
        <v/>
      </c>
      <c r="X40">
        <f>HYPERLINK("https://klasma.github.io/Logging_212183/tillsyn/A 12817-2025 tillsynsbegäran.docx", "A 12817-2025")</f>
        <v/>
      </c>
      <c r="Y40">
        <f>HYPERLINK("https://klasma.github.io/Logging_212183/tillsynsmail/A 12817-2025 tillsynsbegäran mail.docx", "A 12817-2025")</f>
        <v/>
      </c>
    </row>
    <row r="41" ht="15" customHeight="1">
      <c r="A41" t="inlineStr">
        <is>
          <t>A 20047-2025</t>
        </is>
      </c>
      <c r="B41" s="1" t="n">
        <v>45772</v>
      </c>
      <c r="C41" s="1" t="n">
        <v>45839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HYPERLINK("https://klasma.github.io/Logging_212183/artfynd/A 20047-2025 artfynd.xlsx", "A 20047-2025")</f>
        <v/>
      </c>
      <c r="T41">
        <f>HYPERLINK("https://klasma.github.io/Logging_212183/kartor/A 20047-2025 karta.png", "A 20047-2025")</f>
        <v/>
      </c>
      <c r="V41">
        <f>HYPERLINK("https://klasma.github.io/Logging_212183/klagomål/A 20047-2025 FSC-klagomål.docx", "A 20047-2025")</f>
        <v/>
      </c>
      <c r="W41">
        <f>HYPERLINK("https://klasma.github.io/Logging_212183/klagomålsmail/A 20047-2025 FSC-klagomål mail.docx", "A 20047-2025")</f>
        <v/>
      </c>
      <c r="X41">
        <f>HYPERLINK("https://klasma.github.io/Logging_212183/tillsyn/A 20047-2025 tillsynsbegäran.docx", "A 20047-2025")</f>
        <v/>
      </c>
      <c r="Y41">
        <f>HYPERLINK("https://klasma.github.io/Logging_212183/tillsynsmail/A 20047-2025 tillsynsbegäran mail.docx", "A 20047-2025")</f>
        <v/>
      </c>
    </row>
    <row r="42" ht="15" customHeight="1">
      <c r="A42" t="inlineStr">
        <is>
          <t>A 18405-2019</t>
        </is>
      </c>
      <c r="B42" s="1" t="n">
        <v>43559</v>
      </c>
      <c r="C42" s="1" t="n">
        <v>45839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18667-2019</t>
        </is>
      </c>
      <c r="B43" s="1" t="n">
        <v>43560</v>
      </c>
      <c r="C43" s="1" t="n">
        <v>45839</v>
      </c>
      <c r="D43" t="inlineStr">
        <is>
          <t>GÄVLEBORGS LÄN</t>
        </is>
      </c>
      <c r="E43" t="inlineStr">
        <is>
          <t>BOLLNÄS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19004-2019</t>
        </is>
      </c>
      <c r="B44" s="1" t="n">
        <v>43563</v>
      </c>
      <c r="C44" s="1" t="n">
        <v>45839</v>
      </c>
      <c r="D44" t="inlineStr">
        <is>
          <t>GÄVLEBORGS LÄN</t>
        </is>
      </c>
      <c r="E44" t="inlineStr">
        <is>
          <t>BOLLNÄS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19161-2019</t>
        </is>
      </c>
      <c r="B45" s="1" t="n">
        <v>43564</v>
      </c>
      <c r="C45" s="1" t="n">
        <v>45839</v>
      </c>
      <c r="D45" t="inlineStr">
        <is>
          <t>GÄVLEBORGS LÄN</t>
        </is>
      </c>
      <c r="E45" t="inlineStr">
        <is>
          <t>BOLLNÄS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19908-2019</t>
        </is>
      </c>
      <c r="B46" s="1" t="n">
        <v>43567</v>
      </c>
      <c r="C46" s="1" t="n">
        <v>45839</v>
      </c>
      <c r="D46" t="inlineStr">
        <is>
          <t>GÄVLEBORGS LÄN</t>
        </is>
      </c>
      <c r="E46" t="inlineStr">
        <is>
          <t>BOLLNÄS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20413-2019</t>
        </is>
      </c>
      <c r="B47" s="1" t="n">
        <v>43571</v>
      </c>
      <c r="C47" s="1" t="n">
        <v>45839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21449-2019</t>
        </is>
      </c>
      <c r="B48" s="1" t="n">
        <v>43580</v>
      </c>
      <c r="C48" s="1" t="n">
        <v>45839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21823-2019</t>
        </is>
      </c>
      <c r="B49" s="1" t="n">
        <v>43583</v>
      </c>
      <c r="C49" s="1" t="n">
        <v>45839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22526-2019</t>
        </is>
      </c>
      <c r="B50" s="1" t="n">
        <v>43587</v>
      </c>
      <c r="C50" s="1" t="n">
        <v>45839</v>
      </c>
      <c r="D50" t="inlineStr">
        <is>
          <t>GÄVLEBORGS LÄN</t>
        </is>
      </c>
      <c r="E50" t="inlineStr">
        <is>
          <t>BOLLNÄS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23441-2019</t>
        </is>
      </c>
      <c r="B51" s="1" t="n">
        <v>43593</v>
      </c>
      <c r="C51" s="1" t="n">
        <v>45839</v>
      </c>
      <c r="D51" t="inlineStr">
        <is>
          <t>GÄVLEBORGS LÄN</t>
        </is>
      </c>
      <c r="E51" t="inlineStr">
        <is>
          <t>BOLLNÄS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23400-2019</t>
        </is>
      </c>
      <c r="B52" s="1" t="n">
        <v>43593</v>
      </c>
      <c r="C52" s="1" t="n">
        <v>45839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23617-2019</t>
        </is>
      </c>
      <c r="B53" s="1" t="n">
        <v>43594</v>
      </c>
      <c r="C53" s="1" t="n">
        <v>45839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23997-2019</t>
        </is>
      </c>
      <c r="B54" s="1" t="n">
        <v>43598</v>
      </c>
      <c r="C54" s="1" t="n">
        <v>45839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24237-2019</t>
        </is>
      </c>
      <c r="B55" s="1" t="n">
        <v>43599</v>
      </c>
      <c r="C55" s="1" t="n">
        <v>45839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24325-2019</t>
        </is>
      </c>
      <c r="B56" s="1" t="n">
        <v>43599</v>
      </c>
      <c r="C56" s="1" t="n">
        <v>45839</v>
      </c>
      <c r="D56" t="inlineStr">
        <is>
          <t>GÄVLEBORGS LÄN</t>
        </is>
      </c>
      <c r="E56" t="inlineStr">
        <is>
          <t>BOLLNÄS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24251-2019</t>
        </is>
      </c>
      <c r="B57" s="1" t="n">
        <v>43599</v>
      </c>
      <c r="C57" s="1" t="n">
        <v>45839</v>
      </c>
      <c r="D57" t="inlineStr">
        <is>
          <t>GÄVLEBORGS LÄN</t>
        </is>
      </c>
      <c r="E57" t="inlineStr">
        <is>
          <t>BOLLNÄS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25074-2019</t>
        </is>
      </c>
      <c r="B58" s="1" t="n">
        <v>43605</v>
      </c>
      <c r="C58" s="1" t="n">
        <v>45839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25637-2019</t>
        </is>
      </c>
      <c r="B59" s="1" t="n">
        <v>43607</v>
      </c>
      <c r="C59" s="1" t="n">
        <v>45839</v>
      </c>
      <c r="D59" t="inlineStr">
        <is>
          <t>GÄVLEBORGS LÄN</t>
        </is>
      </c>
      <c r="E59" t="inlineStr">
        <is>
          <t>BOLLNÄS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26543-2019</t>
        </is>
      </c>
      <c r="B60" s="1" t="n">
        <v>43612</v>
      </c>
      <c r="C60" s="1" t="n">
        <v>45839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27133-2019</t>
        </is>
      </c>
      <c r="B61" s="1" t="n">
        <v>43614</v>
      </c>
      <c r="C61" s="1" t="n">
        <v>45839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27639-2019</t>
        </is>
      </c>
      <c r="B62" s="1" t="n">
        <v>43619</v>
      </c>
      <c r="C62" s="1" t="n">
        <v>45839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27693-2019</t>
        </is>
      </c>
      <c r="B63" s="1" t="n">
        <v>43619</v>
      </c>
      <c r="C63" s="1" t="n">
        <v>45839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27685-2019</t>
        </is>
      </c>
      <c r="B64" s="1" t="n">
        <v>43619</v>
      </c>
      <c r="C64" s="1" t="n">
        <v>45839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27680-2019</t>
        </is>
      </c>
      <c r="B65" s="1" t="n">
        <v>43619</v>
      </c>
      <c r="C65" s="1" t="n">
        <v>45839</v>
      </c>
      <c r="D65" t="inlineStr">
        <is>
          <t>GÄVLEBORGS LÄN</t>
        </is>
      </c>
      <c r="E65" t="inlineStr">
        <is>
          <t>BOLLNÄS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27845-2019</t>
        </is>
      </c>
      <c r="B66" s="1" t="n">
        <v>43620</v>
      </c>
      <c r="C66" s="1" t="n">
        <v>45839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27888-2019</t>
        </is>
      </c>
      <c r="B67" s="1" t="n">
        <v>43620</v>
      </c>
      <c r="C67" s="1" t="n">
        <v>45839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29255-2019</t>
        </is>
      </c>
      <c r="B68" s="1" t="n">
        <v>43629</v>
      </c>
      <c r="C68" s="1" t="n">
        <v>45839</v>
      </c>
      <c r="D68" t="inlineStr">
        <is>
          <t>GÄVLEBORGS LÄN</t>
        </is>
      </c>
      <c r="E68" t="inlineStr">
        <is>
          <t>BOLLNÄS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29401-2019</t>
        </is>
      </c>
      <c r="B69" s="1" t="n">
        <v>43629</v>
      </c>
      <c r="C69" s="1" t="n">
        <v>45839</v>
      </c>
      <c r="D69" t="inlineStr">
        <is>
          <t>GÄVLEBORGS LÄN</t>
        </is>
      </c>
      <c r="E69" t="inlineStr">
        <is>
          <t>BOLLNÄS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29852-2019</t>
        </is>
      </c>
      <c r="B70" s="1" t="n">
        <v>43633</v>
      </c>
      <c r="C70" s="1" t="n">
        <v>45839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30417-2019</t>
        </is>
      </c>
      <c r="B71" s="1" t="n">
        <v>43635</v>
      </c>
      <c r="C71" s="1" t="n">
        <v>45839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31082-2019</t>
        </is>
      </c>
      <c r="B72" s="1" t="n">
        <v>43640</v>
      </c>
      <c r="C72" s="1" t="n">
        <v>45839</v>
      </c>
      <c r="D72" t="inlineStr">
        <is>
          <t>GÄVLEBORGS LÄN</t>
        </is>
      </c>
      <c r="E72" t="inlineStr">
        <is>
          <t>BOLLNÄS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31538-2019</t>
        </is>
      </c>
      <c r="B73" s="1" t="n">
        <v>43641</v>
      </c>
      <c r="C73" s="1" t="n">
        <v>45839</v>
      </c>
      <c r="D73" t="inlineStr">
        <is>
          <t>GÄVLEBORGS LÄN</t>
        </is>
      </c>
      <c r="E73" t="inlineStr">
        <is>
          <t>BOLLNÄS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31914-2019</t>
        </is>
      </c>
      <c r="B74" s="1" t="n">
        <v>43643</v>
      </c>
      <c r="C74" s="1" t="n">
        <v>45839</v>
      </c>
      <c r="D74" t="inlineStr">
        <is>
          <t>GÄVLEBORGS LÄN</t>
        </is>
      </c>
      <c r="E74" t="inlineStr">
        <is>
          <t>BOLLNÄS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33064-2019</t>
        </is>
      </c>
      <c r="B75" s="1" t="n">
        <v>43649</v>
      </c>
      <c r="C75" s="1" t="n">
        <v>45839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33120-2019</t>
        </is>
      </c>
      <c r="B76" s="1" t="n">
        <v>43649</v>
      </c>
      <c r="C76" s="1" t="n">
        <v>45839</v>
      </c>
      <c r="D76" t="inlineStr">
        <is>
          <t>GÄVLEBORGS LÄN</t>
        </is>
      </c>
      <c r="E76" t="inlineStr">
        <is>
          <t>BOLLNÄS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33248-2019</t>
        </is>
      </c>
      <c r="B77" s="1" t="n">
        <v>43650</v>
      </c>
      <c r="C77" s="1" t="n">
        <v>45839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33507-2019</t>
        </is>
      </c>
      <c r="B78" s="1" t="n">
        <v>43651</v>
      </c>
      <c r="C78" s="1" t="n">
        <v>45839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34019-2019</t>
        </is>
      </c>
      <c r="B79" s="1" t="n">
        <v>43654</v>
      </c>
      <c r="C79" s="1" t="n">
        <v>45839</v>
      </c>
      <c r="D79" t="inlineStr">
        <is>
          <t>GÄVLEBORGS LÄN</t>
        </is>
      </c>
      <c r="E79" t="inlineStr">
        <is>
          <t>BOLLNÄS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34321-2019</t>
        </is>
      </c>
      <c r="B80" s="1" t="n">
        <v>43656</v>
      </c>
      <c r="C80" s="1" t="n">
        <v>45839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34610-2019</t>
        </is>
      </c>
      <c r="B81" s="1" t="n">
        <v>43657</v>
      </c>
      <c r="C81" s="1" t="n">
        <v>45839</v>
      </c>
      <c r="D81" t="inlineStr">
        <is>
          <t>GÄVLEBORGS LÄN</t>
        </is>
      </c>
      <c r="E81" t="inlineStr">
        <is>
          <t>BOLLNÄS</t>
        </is>
      </c>
      <c r="F81" t="inlineStr">
        <is>
          <t>Kyrkan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34516-2019</t>
        </is>
      </c>
      <c r="B82" s="1" t="n">
        <v>43657</v>
      </c>
      <c r="C82" s="1" t="n">
        <v>45839</v>
      </c>
      <c r="D82" t="inlineStr">
        <is>
          <t>GÄVLEBORGS LÄN</t>
        </is>
      </c>
      <c r="E82" t="inlineStr">
        <is>
          <t>BOLLNÄS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35610-2019</t>
        </is>
      </c>
      <c r="B83" s="1" t="n">
        <v>43664</v>
      </c>
      <c r="C83" s="1" t="n">
        <v>45839</v>
      </c>
      <c r="D83" t="inlineStr">
        <is>
          <t>GÄVLEBORGS LÄN</t>
        </is>
      </c>
      <c r="E83" t="inlineStr">
        <is>
          <t>BOLLNÄS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39020-2019</t>
        </is>
      </c>
      <c r="B84" s="1" t="n">
        <v>43689</v>
      </c>
      <c r="C84" s="1" t="n">
        <v>45839</v>
      </c>
      <c r="D84" t="inlineStr">
        <is>
          <t>GÄVLEBORGS LÄN</t>
        </is>
      </c>
      <c r="E84" t="inlineStr">
        <is>
          <t>BOLLNÄS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39643-2019</t>
        </is>
      </c>
      <c r="B85" s="1" t="n">
        <v>43691</v>
      </c>
      <c r="C85" s="1" t="n">
        <v>45839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41047-2019</t>
        </is>
      </c>
      <c r="B86" s="1" t="n">
        <v>43698</v>
      </c>
      <c r="C86" s="1" t="n">
        <v>45839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41365-2019</t>
        </is>
      </c>
      <c r="B87" s="1" t="n">
        <v>43698</v>
      </c>
      <c r="C87" s="1" t="n">
        <v>45839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42181-2019</t>
        </is>
      </c>
      <c r="B88" s="1" t="n">
        <v>43703</v>
      </c>
      <c r="C88" s="1" t="n">
        <v>45839</v>
      </c>
      <c r="D88" t="inlineStr">
        <is>
          <t>GÄVLEBORGS LÄN</t>
        </is>
      </c>
      <c r="E88" t="inlineStr">
        <is>
          <t>BOLLNÄS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42122-2019</t>
        </is>
      </c>
      <c r="B89" s="1" t="n">
        <v>43703</v>
      </c>
      <c r="C89" s="1" t="n">
        <v>45839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42596-2019</t>
        </is>
      </c>
      <c r="B90" s="1" t="n">
        <v>43704</v>
      </c>
      <c r="C90" s="1" t="n">
        <v>45839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42598-2019</t>
        </is>
      </c>
      <c r="B91" s="1" t="n">
        <v>43704</v>
      </c>
      <c r="C91" s="1" t="n">
        <v>45839</v>
      </c>
      <c r="D91" t="inlineStr">
        <is>
          <t>GÄVLEBORGS LÄN</t>
        </is>
      </c>
      <c r="E91" t="inlineStr">
        <is>
          <t>BOLLNÄS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42908-2019</t>
        </is>
      </c>
      <c r="B92" s="1" t="n">
        <v>43705</v>
      </c>
      <c r="C92" s="1" t="n">
        <v>45839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43529-2019</t>
        </is>
      </c>
      <c r="B93" s="1" t="n">
        <v>43706</v>
      </c>
      <c r="C93" s="1" t="n">
        <v>45839</v>
      </c>
      <c r="D93" t="inlineStr">
        <is>
          <t>GÄVLEBORGS LÄN</t>
        </is>
      </c>
      <c r="E93" t="inlineStr">
        <is>
          <t>BOLLNÄS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43780-2019</t>
        </is>
      </c>
      <c r="B94" s="1" t="n">
        <v>43707</v>
      </c>
      <c r="C94" s="1" t="n">
        <v>45839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43778-2019</t>
        </is>
      </c>
      <c r="B95" s="1" t="n">
        <v>43707</v>
      </c>
      <c r="C95" s="1" t="n">
        <v>45839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44212-2019</t>
        </is>
      </c>
      <c r="B96" s="1" t="n">
        <v>43710</v>
      </c>
      <c r="C96" s="1" t="n">
        <v>45839</v>
      </c>
      <c r="D96" t="inlineStr">
        <is>
          <t>GÄVLEBORGS LÄN</t>
        </is>
      </c>
      <c r="E96" t="inlineStr">
        <is>
          <t>BOLLNÄS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44342-2019</t>
        </is>
      </c>
      <c r="B97" s="1" t="n">
        <v>43711</v>
      </c>
      <c r="C97" s="1" t="n">
        <v>45839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45595-2019</t>
        </is>
      </c>
      <c r="B98" s="1" t="n">
        <v>43717</v>
      </c>
      <c r="C98" s="1" t="n">
        <v>45839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45839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45839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45839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45839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45839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45839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45839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45839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45839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45839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45839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45839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45839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45839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45839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45839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45839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45839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45839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45839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45839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45839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45839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45839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45839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45839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45839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45839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45839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45839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45839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45839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45839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45839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45839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45839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45839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45839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45839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45839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45839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45839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45839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45839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45839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45839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45839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45839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45839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45839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45839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45839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45839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45839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45839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45839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45839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45839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45839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45839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45839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45839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45839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45839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45839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45839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45839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45839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45839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45839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45839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45839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45839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45839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45839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45839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45839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45839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45839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45839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45839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45839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45839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45839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45839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45839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45839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45839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45839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45839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45839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45839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45839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45839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45839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45839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45839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45839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45839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45839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45839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45839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45839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45839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45839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45839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45839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45839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45839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45839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45839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45839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45839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45839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45839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45839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45839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45839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45839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45839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45839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45839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45839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45839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45839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45839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45839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45839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45839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45839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45839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45839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45839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45839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45839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45839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45839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45839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45839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45839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45839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45839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45839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45839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45839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45839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45839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45839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45839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45839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45839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45839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45839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45839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45839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45839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45839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45839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45839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45839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45839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45839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45839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45839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45839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45839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45839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45839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45839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45839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45839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45839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45839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45839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45839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45839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45839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45839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45839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45839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45839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45839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45839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45839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45839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45839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45839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45839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45839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45839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45839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45839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45839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45839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45839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45839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45839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45839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45839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45839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45839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45839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45839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45839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45839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45839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45839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45839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45839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45839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45839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45839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45839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45839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45839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45839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45839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45839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45839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45839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45839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45839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45839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45839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45839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45839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45839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45839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45839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45839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45839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45839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45839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45839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45839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45839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45839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45839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45839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45839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45839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45839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45839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45839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45839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45839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45839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45839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45839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45839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45839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45839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45839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45839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45839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45839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45839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45839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45839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45839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45839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45839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45839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45839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45839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45839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45839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45839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45839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45839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45839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45839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45839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45839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45839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45839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45839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45839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45839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45839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45839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45839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45839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45839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45839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45839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45839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45839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45839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45839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45839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45839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45839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45839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45839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45839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45839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45839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45839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45839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45839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45839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45839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45839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45839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45839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45839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45839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45839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45839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45839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45839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45839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45839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45839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45839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45839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45839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45839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45839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45839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45839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45839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45839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45839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45839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45839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45839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45839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45839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45839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45839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45839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45839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45839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45839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45839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45839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45839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45839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45839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45839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45839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45839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45839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45839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45839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45839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45839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45839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45839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45839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45839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45839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45839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45839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45839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45839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45839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45839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45839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45839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45839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45839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45839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45839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45839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45839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45839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45839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45839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45839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45839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45839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45839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45839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45839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45839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45839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45839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45839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45839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45839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45839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45839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45839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45839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45839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45839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45839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45839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45839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45839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45839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45839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45839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45839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45839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45839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45839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45839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45839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45839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45839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45839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45839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45839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45839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45839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45839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45839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45839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45839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45839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45839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45839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45839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45839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45839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45839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45839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45839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45839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45839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45839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45839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45839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45839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45839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45839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45839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45839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45839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45839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45839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45839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45839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45839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45839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45839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45839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45839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45839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45839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45839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45839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45839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45839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45839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45839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45839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45839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45839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45839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45839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45839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45839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45839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45839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45839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45839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45839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45839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45839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45839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45839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45839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45839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45839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45839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45839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45839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45839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45839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45839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45839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45839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45839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45839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45839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45839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45839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45839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45839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45839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45839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45839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45839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45839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45839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45839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45839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45839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45839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45839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45839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45839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45839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45839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45839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45839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45839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45839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45839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45839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45839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45839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45839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45839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45839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45839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45839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45839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45839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45839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45839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45839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45839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45839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45839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45839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45839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45839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45839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45839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45839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45839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45839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45839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45839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45839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45839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45839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45839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45839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45839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45839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45839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45839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45839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45839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45839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45839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45839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45839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45839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45839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45839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45839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45839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45839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45839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45839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45839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45839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45839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45839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45839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45839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45839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45839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45839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45839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45839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45839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45839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45839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45839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45839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45839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45839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45839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45839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45839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45839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45839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45839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45839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45839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45839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45839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45839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45839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45839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45839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45839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45839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45839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45839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45839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45839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45839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45839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45839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45839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45839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45839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45839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45839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45839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45839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45839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45839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45839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45839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45839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45839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45839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45839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45839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45839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45839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45839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45839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45839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45839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45839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45839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45839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45839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45839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45839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45839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45839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45839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45839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45839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45839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45839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45839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45839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45839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45839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45839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45839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45839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45839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45839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45839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45839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45839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45839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45839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45839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45839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45839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45839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45839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45839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45839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45839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45839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45839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45839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45839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45839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45839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45839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45839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45839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45839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45839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45839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45839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45839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45839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45839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45839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45839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45839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45839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45839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45839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45839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45839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45839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45839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45839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45839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45839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45839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45839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45839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45839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45839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45839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45839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45839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45839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45839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45839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45839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45839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45839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45839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45839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45839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45839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45839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45839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45839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45839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45839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45839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45839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45839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45839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45839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45839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45839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45839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45839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45839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45839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45839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45839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45839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45839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45839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45839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45839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45839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45839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45839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45839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45839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45839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45839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45839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45839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45839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45839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45839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45839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45839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45839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45839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45839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45839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45839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45839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45839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45839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45839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45839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45839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45839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45839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45839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45839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45839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45839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45839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45839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45839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45839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45839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45839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45839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45839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45839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45839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45839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45839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45839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45839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45839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45839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45839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45839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45839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45839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45839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45839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45839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45839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45839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45839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45839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45839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45839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45839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45839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45839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45839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45839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45839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45839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45839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45839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45839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45839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45839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45839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45839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45839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45839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45839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45839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45839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45839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45839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45839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45839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45839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45839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45839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45839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45839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45839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45839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45839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45839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45839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45839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45839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45839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45839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45839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45839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45839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45839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45839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45839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45839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45839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45839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45839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45839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45839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45839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45839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45839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45839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45839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45839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45839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45839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45839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45839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45839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45839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45839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45839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45839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45839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45839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45839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45839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45839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45839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45839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45839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45839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45839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45839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45839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45839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45839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45839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45839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45839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45839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45839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45839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45839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45839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45839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45839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45839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45839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45839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45839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45839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45839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45839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45839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45839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45839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45839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45839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45839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45839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45839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45839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45839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45839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45839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45839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45839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45839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45839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45839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45839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45839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45839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45839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45839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45839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45839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45839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45839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45839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45839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45839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45839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45839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45839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45839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45839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45839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45839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45839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45839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45839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45839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45839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45839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45839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45839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45839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45839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45839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45839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45839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45839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45839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45839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45839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45839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45839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45839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45839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45839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45839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45839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45839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45839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45839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45839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45839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45839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45839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45839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45839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45839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45839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45839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45839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45839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45839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45839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45839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45839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45839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45839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45839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45839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45839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45839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45839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45839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45839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45839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45839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45839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45839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45839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45839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45839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45839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45839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45839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45839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45839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45839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45839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45839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45839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45839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45839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45839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45839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45839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45839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45839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45839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45839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45839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45839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45839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45839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45839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45839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45839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45839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45839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45839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45839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45839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45839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45839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45839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45839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45839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45839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45839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45839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45839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45839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45839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45839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45839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45839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45839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45839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45839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45839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45839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45839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45839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45839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45839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45839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45839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45839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45839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45839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45839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45839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45839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45839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45839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45839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45839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45839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45839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45839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45839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45839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45839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45839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45839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45839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45839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45839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45839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45839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45839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45839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45839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45839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45839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45839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45839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45839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45839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45839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45839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45839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45839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45839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45839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45839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45839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45839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45839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45839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45839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45839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45839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45839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45839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45839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45839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45839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45839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45839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45839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45839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45839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45839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45839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45839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45839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45839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45839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45839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45839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45839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45839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45839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45839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45839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45839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45839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45839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45839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45839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45839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45839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45839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45839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45839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45839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45839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45839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45839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45839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45839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45839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45839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45839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45839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45839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45839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45839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45839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45839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45839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45839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45839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45839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45839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45839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45839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45839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45839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45839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45839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45839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45839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45839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45839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45839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45839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45839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45839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45839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45839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45839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45839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45839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45839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45839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45839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45839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45839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45839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45839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45839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45839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45839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45839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45839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45839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45839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45839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45839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45839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45839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45839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45839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45839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45839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45839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45839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45839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45839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45839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45839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45839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45839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45839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45839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45839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45839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45839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45839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45839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45839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45839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45839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45839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45839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45839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45839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45839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45839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45839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45839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45839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45839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45839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45839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45839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45839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45839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45839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45839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45839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45839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45839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45839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45839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45839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45839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45839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45839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45839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45839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45839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45839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45839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45839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45839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45839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45839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45839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45839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45839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45839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45839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45839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45839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45839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45839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45839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45839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45839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45839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45839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45839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45839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45839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45839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45839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45839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45839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45839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45839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45839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45839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45839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45839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45839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45839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45839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45839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45839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45839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45839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45839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45839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45839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45839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45839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45839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45839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45839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45839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45839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45839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45839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45839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45839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45839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45839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45839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45839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45839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45839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45839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45839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45839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45839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45839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45839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45839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45839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45839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45839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45839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45839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45839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45839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45839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45839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45839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45839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45839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45839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45839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45839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45839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45839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45839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45839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45839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45839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45839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45839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45839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45839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45839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45839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45839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45839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45839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45839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45839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45839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45839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45839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45839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45839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45839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45839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45839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45839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45839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45839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45839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45839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45839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45839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45839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45839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45839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45839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45839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45839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45839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45839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45839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45839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45839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45839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45839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45839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45839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45839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45839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45839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45839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45839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45839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45839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45839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45839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45839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45839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45839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45839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45839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45839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45839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45839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45839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45839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45839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45839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45839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45839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45839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45839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45839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45839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45839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45839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45839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45839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45839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45839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45839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45839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45839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45839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45839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45839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45839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45839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45839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45839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45839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45839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45839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45839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45839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45839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45839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45839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45839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45839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45839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45839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45839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45839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45839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45839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45839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45839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45839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45839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45839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45839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45839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45839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45839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45839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45839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45839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45839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45839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45839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45839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45839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45839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45839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45839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45839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45839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45839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45839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45839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45839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45839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45839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45839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45839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45839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45839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45839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45839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45839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45839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45839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45839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45839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45839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45839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45839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45839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45839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45839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45839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45839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45839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45839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45839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45839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45839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45839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45839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45839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45839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45839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45839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45839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45839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45839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45839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45839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45839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45839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45839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45839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45839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45839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45839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45839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45839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45839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45839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45839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45839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45839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45839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45839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45839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45839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45839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45839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45839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45839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45839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45839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45839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45839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45839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45839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45839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45839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45839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45839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45839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45839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45839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45839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45839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45839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45839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45839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45839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45839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45839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45839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45839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45839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45839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45839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45839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45839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45839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45839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45839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45839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45839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45839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45839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45839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45839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45839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45839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45839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45839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45839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45839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45839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45839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45839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45839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45839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45839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45839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45839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45839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45839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45839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45839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45839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45839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45839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45839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45839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45839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45839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45839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45839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45839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45839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45839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45839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45839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45839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45839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45839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45839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45839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45839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45839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45839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45839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45839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45839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45839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45839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45839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45839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45839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45839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45839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45839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45839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45839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45839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45839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45839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45839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45839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45839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45839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45839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45839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45839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45839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45839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45839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45839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45839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45839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45839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45839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45839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45839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45839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45839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45839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45839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45839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45839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45839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45839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45839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45839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45839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45839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45839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45839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45839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45839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45839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45839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45839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45839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45839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45839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45839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45839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45839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45839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45839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45839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45839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45839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45839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45839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45839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45839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45839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45839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45839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45839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45839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45839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45839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45839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45839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45839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45839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45839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45839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45839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45839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45839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45839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45839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45839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45839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45839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45839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45839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45839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45839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45839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45839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45839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45839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45839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45839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45839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45839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45839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45839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45839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45839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45839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45839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45839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45839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45839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45839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45839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45839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45839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45839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45839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45839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45839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45839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45839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45839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45839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45839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45839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45839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45839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45839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45839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45839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45839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45839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45839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45839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45839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45839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45839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45839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45839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45839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45839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45839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45839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45839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45839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45839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45839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45839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45839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45839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45839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45839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45839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45839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45839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45839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45839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45839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45839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45839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45839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45839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45839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45839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45839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45839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45839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45839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45839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45839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45839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45839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45839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45839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45839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45839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45839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45839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45839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45839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45839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45839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45839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45839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45839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45839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45839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45839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45839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45839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45839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45839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45839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45839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45839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45839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45839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45839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45839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45839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45839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45839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45839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45839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45839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45839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45839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45839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45839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45839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45839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45839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45839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45839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45839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45839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45839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45839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45839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45839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45839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45839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27369-2025</t>
        </is>
      </c>
      <c r="B1881" s="1" t="n">
        <v>45812</v>
      </c>
      <c r="C1881" s="1" t="n">
        <v>45839</v>
      </c>
      <c r="D1881" t="inlineStr">
        <is>
          <t>GÄVLEBORGS LÄN</t>
        </is>
      </c>
      <c r="E1881" t="inlineStr">
        <is>
          <t>BOLLNÄS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27217-2025</t>
        </is>
      </c>
      <c r="B1882" s="1" t="n">
        <v>45812</v>
      </c>
      <c r="C1882" s="1" t="n">
        <v>45839</v>
      </c>
      <c r="D1882" t="inlineStr">
        <is>
          <t>GÄVLEBORGS LÄN</t>
        </is>
      </c>
      <c r="E1882" t="inlineStr">
        <is>
          <t>BOLLNÄS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27361-2025</t>
        </is>
      </c>
      <c r="B1883" s="1" t="n">
        <v>45812</v>
      </c>
      <c r="C1883" s="1" t="n">
        <v>45839</v>
      </c>
      <c r="D1883" t="inlineStr">
        <is>
          <t>GÄVLEBORGS LÄN</t>
        </is>
      </c>
      <c r="E1883" t="inlineStr">
        <is>
          <t>BOLLNÄS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45839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45839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45839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45839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45839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45839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45839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45839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28462-2025</t>
        </is>
      </c>
      <c r="B1892" s="1" t="n">
        <v>45819</v>
      </c>
      <c r="C1892" s="1" t="n">
        <v>45839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28520-2025</t>
        </is>
      </c>
      <c r="B1893" s="1" t="n">
        <v>45819</v>
      </c>
      <c r="C1893" s="1" t="n">
        <v>45839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45839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45839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45839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45839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45839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29766-2025</t>
        </is>
      </c>
      <c r="B1899" s="1" t="n">
        <v>45825</v>
      </c>
      <c r="C1899" s="1" t="n">
        <v>45839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29575-2025</t>
        </is>
      </c>
      <c r="B1900" s="1" t="n">
        <v>45825</v>
      </c>
      <c r="C1900" s="1" t="n">
        <v>45839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45839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29780-2025</t>
        </is>
      </c>
      <c r="B1902" s="1" t="n">
        <v>45825</v>
      </c>
      <c r="C1902" s="1" t="n">
        <v>45839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45839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45839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45839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30308-2025</t>
        </is>
      </c>
      <c r="B1906" s="1" t="n">
        <v>45827</v>
      </c>
      <c r="C1906" s="1" t="n">
        <v>45839</v>
      </c>
      <c r="D1906" t="inlineStr">
        <is>
          <t>GÄVLEBORGS LÄN</t>
        </is>
      </c>
      <c r="E1906" t="inlineStr">
        <is>
          <t>BOLLNÄS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30458-2025</t>
        </is>
      </c>
      <c r="B1907" s="1" t="n">
        <v>45827</v>
      </c>
      <c r="C1907" s="1" t="n">
        <v>45839</v>
      </c>
      <c r="D1907" t="inlineStr">
        <is>
          <t>GÄVLEBORGS LÄN</t>
        </is>
      </c>
      <c r="E1907" t="inlineStr">
        <is>
          <t>BOLLNÄS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30292-2025</t>
        </is>
      </c>
      <c r="B1908" s="1" t="n">
        <v>45827</v>
      </c>
      <c r="C1908" s="1" t="n">
        <v>45839</v>
      </c>
      <c r="D1908" t="inlineStr">
        <is>
          <t>GÄVLEBORGS LÄN</t>
        </is>
      </c>
      <c r="E1908" t="inlineStr">
        <is>
          <t>BOLLNÄS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30454-2025</t>
        </is>
      </c>
      <c r="B1909" s="1" t="n">
        <v>45827</v>
      </c>
      <c r="C1909" s="1" t="n">
        <v>45839</v>
      </c>
      <c r="D1909" t="inlineStr">
        <is>
          <t>GÄVLEBORGS LÄN</t>
        </is>
      </c>
      <c r="E1909" t="inlineStr">
        <is>
          <t>BOLLNÄS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30455-2025</t>
        </is>
      </c>
      <c r="B1910" s="1" t="n">
        <v>45827</v>
      </c>
      <c r="C1910" s="1" t="n">
        <v>45839</v>
      </c>
      <c r="D1910" t="inlineStr">
        <is>
          <t>GÄVLEBORGS LÄN</t>
        </is>
      </c>
      <c r="E1910" t="inlineStr">
        <is>
          <t>BOLLNÄS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30456-2025</t>
        </is>
      </c>
      <c r="B1911" s="1" t="n">
        <v>45827</v>
      </c>
      <c r="C1911" s="1" t="n">
        <v>45839</v>
      </c>
      <c r="D1911" t="inlineStr">
        <is>
          <t>GÄVLEBORGS LÄN</t>
        </is>
      </c>
      <c r="E1911" t="inlineStr">
        <is>
          <t>BOLLNÄS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45839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30749-2025</t>
        </is>
      </c>
      <c r="B1913" s="1" t="n">
        <v>45831</v>
      </c>
      <c r="C1913" s="1" t="n">
        <v>45839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10.1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30650-2025</t>
        </is>
      </c>
      <c r="B1914" s="1" t="n">
        <v>45831</v>
      </c>
      <c r="C1914" s="1" t="n">
        <v>45839</v>
      </c>
      <c r="D1914" t="inlineStr">
        <is>
          <t>GÄVLEBORGS LÄN</t>
        </is>
      </c>
      <c r="E1914" t="inlineStr">
        <is>
          <t>BOLLNÄS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45839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45839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45839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45839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45839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32189-2025</t>
        </is>
      </c>
      <c r="B1920" s="1" t="n">
        <v>45835</v>
      </c>
      <c r="C1920" s="1" t="n">
        <v>45839</v>
      </c>
      <c r="D1920" t="inlineStr">
        <is>
          <t>GÄVLEBORGS LÄN</t>
        </is>
      </c>
      <c r="E1920" t="inlineStr">
        <is>
          <t>BOLLNÄS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31948-2025</t>
        </is>
      </c>
      <c r="B1921" s="1" t="n">
        <v>45835</v>
      </c>
      <c r="C1921" s="1" t="n">
        <v>45839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31971-2025</t>
        </is>
      </c>
      <c r="B1922" s="1" t="n">
        <v>45835</v>
      </c>
      <c r="C1922" s="1" t="n">
        <v>45839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45839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45839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32587-2025</t>
        </is>
      </c>
      <c r="B1925" s="1" t="n">
        <v>45838</v>
      </c>
      <c r="C1925" s="1" t="n">
        <v>45839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45839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32588-2025</t>
        </is>
      </c>
      <c r="B1927" s="1" t="n">
        <v>45838</v>
      </c>
      <c r="C1927" s="1" t="n">
        <v>45839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>
      <c r="A1928" t="inlineStr">
        <is>
          <t>A 32603-2025</t>
        </is>
      </c>
      <c r="B1928" s="1" t="n">
        <v>45838</v>
      </c>
      <c r="C1928" s="1" t="n">
        <v>45839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2025-07-01T18:56:11Z</dcterms:created>
  <dcterms:modified xmlns:dcterms="http://purl.org/dc/terms/" xmlns:xsi="http://www.w3.org/2001/XMLSchema-instance" xsi:type="dcterms:W3CDTF">2025-07-01T18:56:21Z</dcterms:modified>
</cp:coreProperties>
</file>