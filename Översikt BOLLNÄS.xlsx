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45847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45847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45847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45847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45847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45847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45595-2019</t>
        </is>
      </c>
      <c r="B12" s="1" t="n">
        <v>43717</v>
      </c>
      <c r="C12" s="1" t="n">
        <v>45847</v>
      </c>
      <c r="D12" t="inlineStr">
        <is>
          <t>GÄVLEBORGS LÄN</t>
        </is>
      </c>
      <c r="E12" t="inlineStr">
        <is>
          <t>BOLLNÄS</t>
        </is>
      </c>
      <c r="G12" t="n">
        <v>2.3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HYPERLINK("https://klasma.github.io/Logging_2183/artfynd/A 45595-2019 artfynd.xlsx", "A 45595-2019")</f>
        <v/>
      </c>
      <c r="T12">
        <f>HYPERLINK("https://klasma.github.io/Logging_2183/kartor/A 45595-2019 karta.png", "A 45595-2019")</f>
        <v/>
      </c>
      <c r="V12">
        <f>HYPERLINK("https://klasma.github.io/Logging_2183/klagomål/A 45595-2019 FSC-klagomål.docx", "A 45595-2019")</f>
        <v/>
      </c>
      <c r="W12">
        <f>HYPERLINK("https://klasma.github.io/Logging_2183/klagomålsmail/A 45595-2019 FSC-klagomål mail.docx", "A 45595-2019")</f>
        <v/>
      </c>
      <c r="X12">
        <f>HYPERLINK("https://klasma.github.io/Logging_2183/tillsyn/A 45595-2019 tillsynsbegäran.docx", "A 45595-2019")</f>
        <v/>
      </c>
      <c r="Y12">
        <f>HYPERLINK("https://klasma.github.io/Logging_2183/tillsynsmail/A 45595-2019 tillsynsbegäran mail.docx", "A 45595-2019")</f>
        <v/>
      </c>
    </row>
    <row r="13" ht="15" customHeight="1">
      <c r="A13" t="inlineStr">
        <is>
          <t>A 61384-2019</t>
        </is>
      </c>
      <c r="B13" s="1" t="n">
        <v>43783</v>
      </c>
      <c r="C13" s="1" t="n">
        <v>45847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61384-2019 artfynd.xlsx", "A 61384-2019")</f>
        <v/>
      </c>
      <c r="T13">
        <f>HYPERLINK("https://klasma.github.io/Logging_2183/kartor/A 61384-2019 karta.png", "A 61384-2019")</f>
        <v/>
      </c>
      <c r="U13">
        <f>HYPERLINK("https://klasma.github.io/Logging_2183/knärot/A 61384-2019 karta knärot.png", "A 61384-2019")</f>
        <v/>
      </c>
      <c r="V13">
        <f>HYPERLINK("https://klasma.github.io/Logging_2183/klagomål/A 61384-2019 FSC-klagomål.docx", "A 61384-2019")</f>
        <v/>
      </c>
      <c r="W13">
        <f>HYPERLINK("https://klasma.github.io/Logging_2183/klagomålsmail/A 61384-2019 FSC-klagomål mail.docx", "A 61384-2019")</f>
        <v/>
      </c>
      <c r="X13">
        <f>HYPERLINK("https://klasma.github.io/Logging_2183/tillsyn/A 61384-2019 tillsynsbegäran.docx", "A 61384-2019")</f>
        <v/>
      </c>
      <c r="Y13">
        <f>HYPERLINK("https://klasma.github.io/Logging_2183/tillsynsmail/A 61384-2019 tillsynsbegäran mail.docx", "A 61384-2019")</f>
        <v/>
      </c>
    </row>
    <row r="14" ht="15" customHeight="1">
      <c r="A14" t="inlineStr">
        <is>
          <t>A 61372-2019</t>
        </is>
      </c>
      <c r="B14" s="1" t="n">
        <v>43783</v>
      </c>
      <c r="C14" s="1" t="n">
        <v>45847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HYPERLINK("https://klasma.github.io/Logging_2183/artfynd/A 61372-2019 artfynd.xlsx", "A 61372-2019")</f>
        <v/>
      </c>
      <c r="T14">
        <f>HYPERLINK("https://klasma.github.io/Logging_2183/kartor/A 61372-2019 karta.png", "A 61372-2019")</f>
        <v/>
      </c>
      <c r="U14">
        <f>HYPERLINK("https://klasma.github.io/Logging_2183/knärot/A 61372-2019 karta knärot.png", "A 61372-2019")</f>
        <v/>
      </c>
      <c r="V14">
        <f>HYPERLINK("https://klasma.github.io/Logging_2183/klagomål/A 61372-2019 FSC-klagomål.docx", "A 61372-2019")</f>
        <v/>
      </c>
      <c r="W14">
        <f>HYPERLINK("https://klasma.github.io/Logging_2183/klagomålsmail/A 61372-2019 FSC-klagomål mail.docx", "A 61372-2019")</f>
        <v/>
      </c>
      <c r="X14">
        <f>HYPERLINK("https://klasma.github.io/Logging_2183/tillsyn/A 61372-2019 tillsynsbegäran.docx", "A 61372-2019")</f>
        <v/>
      </c>
      <c r="Y14">
        <f>HYPERLINK("https://klasma.github.io/Logging_2183/tillsynsmail/A 61372-2019 tillsynsbegäran mail.docx", "A 61372-2019")</f>
        <v/>
      </c>
    </row>
    <row r="15" ht="15" customHeight="1">
      <c r="A15" t="inlineStr">
        <is>
          <t>A 61380-2019</t>
        </is>
      </c>
      <c r="B15" s="1" t="n">
        <v>43783</v>
      </c>
      <c r="C15" s="1" t="n">
        <v>45847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Tibast</t>
        </is>
      </c>
      <c r="S15">
        <f>HYPERLINK("https://klasma.github.io/Logging_2183/artfynd/A 61380-2019 artfynd.xlsx", "A 61380-2019")</f>
        <v/>
      </c>
      <c r="T15">
        <f>HYPERLINK("https://klasma.github.io/Logging_2183/kartor/A 61380-2019 karta.png", "A 61380-2019")</f>
        <v/>
      </c>
      <c r="U15">
        <f>HYPERLINK("https://klasma.github.io/Logging_2183/knärot/A 61380-2019 karta knärot.png", "A 61380-2019")</f>
        <v/>
      </c>
      <c r="V15">
        <f>HYPERLINK("https://klasma.github.io/Logging_2183/klagomål/A 61380-2019 FSC-klagomål.docx", "A 61380-2019")</f>
        <v/>
      </c>
      <c r="W15">
        <f>HYPERLINK("https://klasma.github.io/Logging_2183/klagomålsmail/A 61380-2019 FSC-klagomål mail.docx", "A 61380-2019")</f>
        <v/>
      </c>
      <c r="X15">
        <f>HYPERLINK("https://klasma.github.io/Logging_2183/tillsyn/A 61380-2019 tillsynsbegäran.docx", "A 61380-2019")</f>
        <v/>
      </c>
      <c r="Y15">
        <f>HYPERLINK("https://klasma.github.io/Logging_2183/tillsynsmail/A 61380-2019 tillsynsbegäran mail.docx", "A 61380-2019")</f>
        <v/>
      </c>
    </row>
    <row r="16" ht="15" customHeight="1">
      <c r="A16" t="inlineStr">
        <is>
          <t>A 28704-2020</t>
        </is>
      </c>
      <c r="B16" s="1" t="n">
        <v>43999</v>
      </c>
      <c r="C16" s="1" t="n">
        <v>45847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HYPERLINK("https://klasma.github.io/Logging_2183/artfynd/A 28704-2020 artfynd.xlsx", "A 28704-2020")</f>
        <v/>
      </c>
      <c r="T16">
        <f>HYPERLINK("https://klasma.github.io/Logging_2183/kartor/A 28704-2020 karta.png", "A 28704-2020")</f>
        <v/>
      </c>
      <c r="V16">
        <f>HYPERLINK("https://klasma.github.io/Logging_2183/klagomål/A 28704-2020 FSC-klagomål.docx", "A 28704-2020")</f>
        <v/>
      </c>
      <c r="W16">
        <f>HYPERLINK("https://klasma.github.io/Logging_2183/klagomålsmail/A 28704-2020 FSC-klagomål mail.docx", "A 28704-2020")</f>
        <v/>
      </c>
      <c r="X16">
        <f>HYPERLINK("https://klasma.github.io/Logging_2183/tillsyn/A 28704-2020 tillsynsbegäran.docx", "A 28704-2020")</f>
        <v/>
      </c>
      <c r="Y16">
        <f>HYPERLINK("https://klasma.github.io/Logging_2183/tillsynsmail/A 28704-2020 tillsynsbegäran mail.docx", "A 28704-2020")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45847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23504-2023</t>
        </is>
      </c>
      <c r="B18" s="1" t="n">
        <v>45076</v>
      </c>
      <c r="C18" s="1" t="n">
        <v>45847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Lavskrika
Fläcknycklar</t>
        </is>
      </c>
      <c r="S18">
        <f>HYPERLINK("https://klasma.github.io/Logging_2183/artfynd/A 23504-2023 artfynd.xlsx", "A 23504-2023")</f>
        <v/>
      </c>
      <c r="T18">
        <f>HYPERLINK("https://klasma.github.io/Logging_2183/kartor/A 23504-2023 karta.png", "A 23504-2023")</f>
        <v/>
      </c>
      <c r="V18">
        <f>HYPERLINK("https://klasma.github.io/Logging_2183/klagomål/A 23504-2023 FSC-klagomål.docx", "A 23504-2023")</f>
        <v/>
      </c>
      <c r="W18">
        <f>HYPERLINK("https://klasma.github.io/Logging_2183/klagomålsmail/A 23504-2023 FSC-klagomål mail.docx", "A 23504-2023")</f>
        <v/>
      </c>
      <c r="X18">
        <f>HYPERLINK("https://klasma.github.io/Logging_2183/tillsyn/A 23504-2023 tillsynsbegäran.docx", "A 23504-2023")</f>
        <v/>
      </c>
      <c r="Y18">
        <f>HYPERLINK("https://klasma.github.io/Logging_2183/tillsynsmail/A 23504-2023 tillsynsbegäran mail.docx", "A 23504-2023")</f>
        <v/>
      </c>
      <c r="Z18">
        <f>HYPERLINK("https://klasma.github.io/Logging_2183/fåglar/A 23504-2023 prioriterade fågelarter.docx", "A 23504-2023")</f>
        <v/>
      </c>
    </row>
    <row r="19" ht="15" customHeight="1">
      <c r="A19" t="inlineStr">
        <is>
          <t>A 26522-2023</t>
        </is>
      </c>
      <c r="B19" s="1" t="n">
        <v>45092</v>
      </c>
      <c r="C19" s="1" t="n">
        <v>45847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Smålom
Huggorm</t>
        </is>
      </c>
      <c r="S19">
        <f>HYPERLINK("https://klasma.github.io/Logging_2183/artfynd/A 26522-2023 artfynd.xlsx", "A 26522-2023")</f>
        <v/>
      </c>
      <c r="T19">
        <f>HYPERLINK("https://klasma.github.io/Logging_2183/kartor/A 26522-2023 karta.png", "A 26522-2023")</f>
        <v/>
      </c>
      <c r="V19">
        <f>HYPERLINK("https://klasma.github.io/Logging_2183/klagomål/A 26522-2023 FSC-klagomål.docx", "A 26522-2023")</f>
        <v/>
      </c>
      <c r="W19">
        <f>HYPERLINK("https://klasma.github.io/Logging_2183/klagomålsmail/A 26522-2023 FSC-klagomål mail.docx", "A 26522-2023")</f>
        <v/>
      </c>
      <c r="X19">
        <f>HYPERLINK("https://klasma.github.io/Logging_2183/tillsyn/A 26522-2023 tillsynsbegäran.docx", "A 26522-2023")</f>
        <v/>
      </c>
      <c r="Y19">
        <f>HYPERLINK("https://klasma.github.io/Logging_2183/tillsynsmail/A 26522-2023 tillsynsbegäran mail.docx", "A 26522-2023")</f>
        <v/>
      </c>
      <c r="Z19">
        <f>HYPERLINK("https://klasma.github.io/Logging_2183/fåglar/A 26522-2023 prioriterade fågelarter.docx", "A 26522-2023")</f>
        <v/>
      </c>
    </row>
    <row r="20" ht="15" customHeight="1">
      <c r="A20" t="inlineStr">
        <is>
          <t>A 27011-2024</t>
        </is>
      </c>
      <c r="B20" s="1" t="n">
        <v>45471</v>
      </c>
      <c r="C20" s="1" t="n">
        <v>45847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24535-2019</t>
        </is>
      </c>
      <c r="B21" s="1" t="n">
        <v>43600</v>
      </c>
      <c r="C21" s="1" t="n">
        <v>45847</v>
      </c>
      <c r="D21" t="inlineStr">
        <is>
          <t>GÄVLEBORGS LÄN</t>
        </is>
      </c>
      <c r="E21" t="inlineStr">
        <is>
          <t>BOLLNÄS</t>
        </is>
      </c>
      <c r="G21" t="n">
        <v>6.3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HYPERLINK("https://klasma.github.io/Logging_2183/artfynd/A 24535-2019 artfynd.xlsx", "A 24535-2019")</f>
        <v/>
      </c>
      <c r="T21">
        <f>HYPERLINK("https://klasma.github.io/Logging_2183/kartor/A 24535-2019 karta.png", "A 24535-2019")</f>
        <v/>
      </c>
      <c r="V21">
        <f>HYPERLINK("https://klasma.github.io/Logging_2183/klagomål/A 24535-2019 FSC-klagomål.docx", "A 24535-2019")</f>
        <v/>
      </c>
      <c r="W21">
        <f>HYPERLINK("https://klasma.github.io/Logging_2183/klagomålsmail/A 24535-2019 FSC-klagomål mail.docx", "A 24535-2019")</f>
        <v/>
      </c>
      <c r="X21">
        <f>HYPERLINK("https://klasma.github.io/Logging_2183/tillsyn/A 24535-2019 tillsynsbegäran.docx", "A 24535-2019")</f>
        <v/>
      </c>
      <c r="Y21">
        <f>HYPERLINK("https://klasma.github.io/Logging_2183/tillsynsmail/A 24535-2019 tillsynsbegäran mail.docx", "A 24535-2019")</f>
        <v/>
      </c>
    </row>
    <row r="22" ht="15" customHeight="1">
      <c r="A22" t="inlineStr">
        <is>
          <t>A 27515-2019</t>
        </is>
      </c>
      <c r="B22" s="1" t="n">
        <v>43619</v>
      </c>
      <c r="C22" s="1" t="n">
        <v>45847</v>
      </c>
      <c r="D22" t="inlineStr">
        <is>
          <t>GÄVLEBORGS LÄN</t>
        </is>
      </c>
      <c r="E22" t="inlineStr">
        <is>
          <t>BOLLNÄS</t>
        </is>
      </c>
      <c r="G22" t="n">
        <v>10.8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27515-2019 artfynd.xlsx", "A 27515-2019")</f>
        <v/>
      </c>
      <c r="T22">
        <f>HYPERLINK("https://klasma.github.io/Logging_2183/kartor/A 27515-2019 karta.png", "A 27515-2019")</f>
        <v/>
      </c>
      <c r="U22">
        <f>HYPERLINK("https://klasma.github.io/Logging_2183/knärot/A 27515-2019 karta knärot.png", "A 27515-2019")</f>
        <v/>
      </c>
      <c r="V22">
        <f>HYPERLINK("https://klasma.github.io/Logging_2183/klagomål/A 27515-2019 FSC-klagomål.docx", "A 27515-2019")</f>
        <v/>
      </c>
      <c r="W22">
        <f>HYPERLINK("https://klasma.github.io/Logging_2183/klagomålsmail/A 27515-2019 FSC-klagomål mail.docx", "A 27515-2019")</f>
        <v/>
      </c>
      <c r="X22">
        <f>HYPERLINK("https://klasma.github.io/Logging_2183/tillsyn/A 27515-2019 tillsynsbegäran.docx", "A 27515-2019")</f>
        <v/>
      </c>
      <c r="Y22">
        <f>HYPERLINK("https://klasma.github.io/Logging_2183/tillsynsmail/A 27515-2019 tillsynsbegäran mail.docx", "A 27515-2019")</f>
        <v/>
      </c>
    </row>
    <row r="23" ht="15" customHeight="1">
      <c r="A23" t="inlineStr">
        <is>
          <t>A 63545-2019</t>
        </is>
      </c>
      <c r="B23" s="1" t="n">
        <v>43794</v>
      </c>
      <c r="C23" s="1" t="n">
        <v>45847</v>
      </c>
      <c r="D23" t="inlineStr">
        <is>
          <t>GÄVLEBORGS LÄN</t>
        </is>
      </c>
      <c r="E23" t="inlineStr">
        <is>
          <t>BOLLNÄS</t>
        </is>
      </c>
      <c r="G23" t="n">
        <v>9.300000000000001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HYPERLINK("https://klasma.github.io/Logging_2183/artfynd/A 63545-2019 artfynd.xlsx", "A 63545-2019")</f>
        <v/>
      </c>
      <c r="T23">
        <f>HYPERLINK("https://klasma.github.io/Logging_2183/kartor/A 63545-2019 karta.png", "A 63545-2019")</f>
        <v/>
      </c>
      <c r="V23">
        <f>HYPERLINK("https://klasma.github.io/Logging_2183/klagomål/A 63545-2019 FSC-klagomål.docx", "A 63545-2019")</f>
        <v/>
      </c>
      <c r="W23">
        <f>HYPERLINK("https://klasma.github.io/Logging_2183/klagomålsmail/A 63545-2019 FSC-klagomål mail.docx", "A 63545-2019")</f>
        <v/>
      </c>
      <c r="X23">
        <f>HYPERLINK("https://klasma.github.io/Logging_2183/tillsyn/A 63545-2019 tillsynsbegäran.docx", "A 63545-2019")</f>
        <v/>
      </c>
      <c r="Y23">
        <f>HYPERLINK("https://klasma.github.io/Logging_2183/tillsynsmail/A 63545-2019 tillsynsbegäran mail.docx", "A 63545-2019")</f>
        <v/>
      </c>
    </row>
    <row r="24" ht="15" customHeight="1">
      <c r="A24" t="inlineStr">
        <is>
          <t>A 5923-2020</t>
        </is>
      </c>
      <c r="B24" s="1" t="n">
        <v>43864</v>
      </c>
      <c r="C24" s="1" t="n">
        <v>45847</v>
      </c>
      <c r="D24" t="inlineStr">
        <is>
          <t>GÄVLEBORGS LÄN</t>
        </is>
      </c>
      <c r="E24" t="inlineStr">
        <is>
          <t>BOLLNÄS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5923-2020 artfynd.xlsx", "A 5923-2020")</f>
        <v/>
      </c>
      <c r="T24">
        <f>HYPERLINK("https://klasma.github.io/Logging_2183/kartor/A 5923-2020 karta.png", "A 5923-2020")</f>
        <v/>
      </c>
      <c r="V24">
        <f>HYPERLINK("https://klasma.github.io/Logging_2183/klagomål/A 5923-2020 FSC-klagomål.docx", "A 5923-2020")</f>
        <v/>
      </c>
      <c r="W24">
        <f>HYPERLINK("https://klasma.github.io/Logging_2183/klagomålsmail/A 5923-2020 FSC-klagomål mail.docx", "A 5923-2020")</f>
        <v/>
      </c>
      <c r="X24">
        <f>HYPERLINK("https://klasma.github.io/Logging_2183/tillsyn/A 5923-2020 tillsynsbegäran.docx", "A 5923-2020")</f>
        <v/>
      </c>
      <c r="Y24">
        <f>HYPERLINK("https://klasma.github.io/Logging_2183/tillsynsmail/A 5923-2020 tillsynsbegäran mail.docx", "A 5923-2020")</f>
        <v/>
      </c>
      <c r="Z24">
        <f>HYPERLINK("https://klasma.github.io/Logging_2183/fåglar/A 5923-2020 prioriterade fågelarter.docx", "A 5923-2020")</f>
        <v/>
      </c>
    </row>
    <row r="25" ht="15" customHeight="1">
      <c r="A25" t="inlineStr">
        <is>
          <t>A 43381-2020</t>
        </is>
      </c>
      <c r="B25" s="1" t="n">
        <v>44081</v>
      </c>
      <c r="C25" s="1" t="n">
        <v>45847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HYPERLINK("https://klasma.github.io/Logging_2183/artfynd/A 43381-2020 artfynd.xlsx", "A 43381-2020")</f>
        <v/>
      </c>
      <c r="T25">
        <f>HYPERLINK("https://klasma.github.io/Logging_2183/kartor/A 43381-2020 karta.png", "A 43381-2020")</f>
        <v/>
      </c>
      <c r="V25">
        <f>HYPERLINK("https://klasma.github.io/Logging_2183/klagomål/A 43381-2020 FSC-klagomål.docx", "A 43381-2020")</f>
        <v/>
      </c>
      <c r="W25">
        <f>HYPERLINK("https://klasma.github.io/Logging_2183/klagomålsmail/A 43381-2020 FSC-klagomål mail.docx", "A 43381-2020")</f>
        <v/>
      </c>
      <c r="X25">
        <f>HYPERLINK("https://klasma.github.io/Logging_2183/tillsyn/A 43381-2020 tillsynsbegäran.docx", "A 43381-2020")</f>
        <v/>
      </c>
      <c r="Y25">
        <f>HYPERLINK("https://klasma.github.io/Logging_2183/tillsynsmail/A 43381-2020 tillsynsbegäran mail.docx", "A 43381-2020")</f>
        <v/>
      </c>
    </row>
    <row r="26" ht="15" customHeight="1">
      <c r="A26" t="inlineStr">
        <is>
          <t>A 65446-2021</t>
        </is>
      </c>
      <c r="B26" s="1" t="n">
        <v>44515</v>
      </c>
      <c r="C26" s="1" t="n">
        <v>45847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HYPERLINK("https://klasma.github.io/Logging_2183/artfynd/A 65446-2021 artfynd.xlsx", "A 65446-2021")</f>
        <v/>
      </c>
      <c r="T26">
        <f>HYPERLINK("https://klasma.github.io/Logging_2183/kartor/A 65446-2021 karta.png", "A 65446-2021")</f>
        <v/>
      </c>
      <c r="V26">
        <f>HYPERLINK("https://klasma.github.io/Logging_2183/klagomål/A 65446-2021 FSC-klagomål.docx", "A 65446-2021")</f>
        <v/>
      </c>
      <c r="W26">
        <f>HYPERLINK("https://klasma.github.io/Logging_2183/klagomålsmail/A 65446-2021 FSC-klagomål mail.docx", "A 65446-2021")</f>
        <v/>
      </c>
      <c r="X26">
        <f>HYPERLINK("https://klasma.github.io/Logging_2183/tillsyn/A 65446-2021 tillsynsbegäran.docx", "A 65446-2021")</f>
        <v/>
      </c>
      <c r="Y26">
        <f>HYPERLINK("https://klasma.github.io/Logging_2183/tillsynsmail/A 65446-2021 tillsynsbegäran mail.docx", "A 65446-2021")</f>
        <v/>
      </c>
    </row>
    <row r="27" ht="15" customHeight="1">
      <c r="A27" t="inlineStr">
        <is>
          <t>A 22731-2022</t>
        </is>
      </c>
      <c r="B27" s="1" t="n">
        <v>44714</v>
      </c>
      <c r="C27" s="1" t="n">
        <v>45847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45847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54083-2022</t>
        </is>
      </c>
      <c r="B29" s="1" t="n">
        <v>44881</v>
      </c>
      <c r="C29" s="1" t="n">
        <v>45847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54083-2022 artfynd.xlsx", "A 54083-2022")</f>
        <v/>
      </c>
      <c r="T29">
        <f>HYPERLINK("https://klasma.github.io/Logging_2183/kartor/A 54083-2022 karta.png", "A 54083-2022")</f>
        <v/>
      </c>
      <c r="V29">
        <f>HYPERLINK("https://klasma.github.io/Logging_2183/klagomål/A 54083-2022 FSC-klagomål.docx", "A 54083-2022")</f>
        <v/>
      </c>
      <c r="W29">
        <f>HYPERLINK("https://klasma.github.io/Logging_2183/klagomålsmail/A 54083-2022 FSC-klagomål mail.docx", "A 54083-2022")</f>
        <v/>
      </c>
      <c r="X29">
        <f>HYPERLINK("https://klasma.github.io/Logging_2183/tillsyn/A 54083-2022 tillsynsbegäran.docx", "A 54083-2022")</f>
        <v/>
      </c>
      <c r="Y29">
        <f>HYPERLINK("https://klasma.github.io/Logging_2183/tillsynsmail/A 54083-2022 tillsynsbegäran mail.docx", "A 54083-2022")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45847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18857-2023</t>
        </is>
      </c>
      <c r="B31" s="1" t="n">
        <v>45044</v>
      </c>
      <c r="C31" s="1" t="n">
        <v>45847</v>
      </c>
      <c r="D31" t="inlineStr">
        <is>
          <t>GÄVLEBORGS LÄN</t>
        </is>
      </c>
      <c r="E31" t="inlineStr">
        <is>
          <t>BOLLNÄS</t>
        </is>
      </c>
      <c r="G31" t="n">
        <v>4.2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HYPERLINK("https://klasma.github.io/Logging_2183/artfynd/A 18857-2023 artfynd.xlsx", "A 18857-2023")</f>
        <v/>
      </c>
      <c r="T31">
        <f>HYPERLINK("https://klasma.github.io/Logging_2183/kartor/A 18857-2023 karta.png", "A 18857-2023")</f>
        <v/>
      </c>
      <c r="V31">
        <f>HYPERLINK("https://klasma.github.io/Logging_2183/klagomål/A 18857-2023 FSC-klagomål.docx", "A 18857-2023")</f>
        <v/>
      </c>
      <c r="W31">
        <f>HYPERLINK("https://klasma.github.io/Logging_2183/klagomålsmail/A 18857-2023 FSC-klagomål mail.docx", "A 18857-2023")</f>
        <v/>
      </c>
      <c r="X31">
        <f>HYPERLINK("https://klasma.github.io/Logging_2183/tillsyn/A 18857-2023 tillsynsbegäran.docx", "A 18857-2023")</f>
        <v/>
      </c>
      <c r="Y31">
        <f>HYPERLINK("https://klasma.github.io/Logging_2183/tillsynsmail/A 18857-2023 tillsynsbegäran mail.docx", "A 18857-2023")</f>
        <v/>
      </c>
      <c r="Z31">
        <f>HYPERLINK("https://klasma.github.io/Logging_2183/fåglar/A 18857-2023 prioriterade fågelarter.docx", "A 18857-2023")</f>
        <v/>
      </c>
    </row>
    <row r="32" ht="15" customHeight="1">
      <c r="A32" t="inlineStr">
        <is>
          <t>A 25802-2023</t>
        </is>
      </c>
      <c r="B32" s="1" t="n">
        <v>45090</v>
      </c>
      <c r="C32" s="1" t="n">
        <v>45847</v>
      </c>
      <c r="D32" t="inlineStr">
        <is>
          <t>GÄVLEBORGS LÄN</t>
        </is>
      </c>
      <c r="E32" t="inlineStr">
        <is>
          <t>BOLLNÄS</t>
        </is>
      </c>
      <c r="G32" t="n">
        <v>12.1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HYPERLINK("https://klasma.github.io/Logging_2183/artfynd/A 25802-2023 artfynd.xlsx", "A 25802-2023")</f>
        <v/>
      </c>
      <c r="T32">
        <f>HYPERLINK("https://klasma.github.io/Logging_2183/kartor/A 25802-2023 karta.png", "A 25802-2023")</f>
        <v/>
      </c>
      <c r="V32">
        <f>HYPERLINK("https://klasma.github.io/Logging_2183/klagomål/A 25802-2023 FSC-klagomål.docx", "A 25802-2023")</f>
        <v/>
      </c>
      <c r="W32">
        <f>HYPERLINK("https://klasma.github.io/Logging_2183/klagomålsmail/A 25802-2023 FSC-klagomål mail.docx", "A 25802-2023")</f>
        <v/>
      </c>
      <c r="X32">
        <f>HYPERLINK("https://klasma.github.io/Logging_2183/tillsyn/A 25802-2023 tillsynsbegäran.docx", "A 25802-2023")</f>
        <v/>
      </c>
      <c r="Y32">
        <f>HYPERLINK("https://klasma.github.io/Logging_2183/tillsynsmail/A 25802-2023 tillsynsbegäran mail.docx", "A 25802-2023")</f>
        <v/>
      </c>
    </row>
    <row r="33" ht="15" customHeight="1">
      <c r="A33" t="inlineStr">
        <is>
          <t>A 26929-2023</t>
        </is>
      </c>
      <c r="B33" s="1" t="n">
        <v>45093</v>
      </c>
      <c r="C33" s="1" t="n">
        <v>45847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7.6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26929-2023 artfynd.xlsx", "A 26929-2023")</f>
        <v/>
      </c>
      <c r="T33">
        <f>HYPERLINK("https://klasma.github.io/Logging_2183/kartor/A 26929-2023 karta.png", "A 26929-2023")</f>
        <v/>
      </c>
      <c r="U33">
        <f>HYPERLINK("https://klasma.github.io/Logging_2183/knärot/A 26929-2023 karta knärot.png", "A 26929-2023")</f>
        <v/>
      </c>
      <c r="V33">
        <f>HYPERLINK("https://klasma.github.io/Logging_2183/klagomål/A 26929-2023 FSC-klagomål.docx", "A 26929-2023")</f>
        <v/>
      </c>
      <c r="W33">
        <f>HYPERLINK("https://klasma.github.io/Logging_2183/klagomålsmail/A 26929-2023 FSC-klagomål mail.docx", "A 26929-2023")</f>
        <v/>
      </c>
      <c r="X33">
        <f>HYPERLINK("https://klasma.github.io/Logging_2183/tillsyn/A 26929-2023 tillsynsbegäran.docx", "A 26929-2023")</f>
        <v/>
      </c>
      <c r="Y33">
        <f>HYPERLINK("https://klasma.github.io/Logging_2183/tillsynsmail/A 26929-2023 tillsynsbegäran mail.docx", "A 26929-2023")</f>
        <v/>
      </c>
    </row>
    <row r="34" ht="15" customHeight="1">
      <c r="A34" t="inlineStr">
        <is>
          <t>A 48983-2023</t>
        </is>
      </c>
      <c r="B34" s="1" t="n">
        <v>45209</v>
      </c>
      <c r="C34" s="1" t="n">
        <v>45847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HYPERLINK("https://klasma.github.io/Logging_2183/artfynd/A 48983-2023 artfynd.xlsx", "A 48983-2023")</f>
        <v/>
      </c>
      <c r="T34">
        <f>HYPERLINK("https://klasma.github.io/Logging_2183/kartor/A 48983-2023 karta.png", "A 48983-2023")</f>
        <v/>
      </c>
      <c r="V34">
        <f>HYPERLINK("https://klasma.github.io/Logging_2183/klagomål/A 48983-2023 FSC-klagomål.docx", "A 48983-2023")</f>
        <v/>
      </c>
      <c r="W34">
        <f>HYPERLINK("https://klasma.github.io/Logging_2183/klagomålsmail/A 48983-2023 FSC-klagomål mail.docx", "A 48983-2023")</f>
        <v/>
      </c>
      <c r="X34">
        <f>HYPERLINK("https://klasma.github.io/Logging_2183/tillsyn/A 48983-2023 tillsynsbegäran.docx", "A 48983-2023")</f>
        <v/>
      </c>
      <c r="Y34">
        <f>HYPERLINK("https://klasma.github.io/Logging_2183/tillsynsmail/A 48983-2023 tillsynsbegäran mail.docx", "A 48983-2023")</f>
        <v/>
      </c>
      <c r="Z34">
        <f>HYPERLINK("https://klasma.github.io/Logging_2183/fåglar/A 48983-2023 prioriterade fågelarter.docx", "A 48983-2023")</f>
        <v/>
      </c>
    </row>
    <row r="35" ht="15" customHeight="1">
      <c r="A35" t="inlineStr">
        <is>
          <t>A 57279-2023</t>
        </is>
      </c>
      <c r="B35" s="1" t="n">
        <v>45239</v>
      </c>
      <c r="C35" s="1" t="n">
        <v>45847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HYPERLINK("https://klasma.github.io/Logging_2183/artfynd/A 57279-2023 artfynd.xlsx", "A 57279-2023")</f>
        <v/>
      </c>
      <c r="T35">
        <f>HYPERLINK("https://klasma.github.io/Logging_2183/kartor/A 57279-2023 karta.png", "A 57279-2023")</f>
        <v/>
      </c>
      <c r="V35">
        <f>HYPERLINK("https://klasma.github.io/Logging_2183/klagomål/A 57279-2023 FSC-klagomål.docx", "A 57279-2023")</f>
        <v/>
      </c>
      <c r="W35">
        <f>HYPERLINK("https://klasma.github.io/Logging_2183/klagomålsmail/A 57279-2023 FSC-klagomål mail.docx", "A 57279-2023")</f>
        <v/>
      </c>
      <c r="X35">
        <f>HYPERLINK("https://klasma.github.io/Logging_2183/tillsyn/A 57279-2023 tillsynsbegäran.docx", "A 57279-2023")</f>
        <v/>
      </c>
      <c r="Y35">
        <f>HYPERLINK("https://klasma.github.io/Logging_2183/tillsynsmail/A 57279-2023 tillsynsbegäran mail.docx", "A 57279-2023")</f>
        <v/>
      </c>
    </row>
    <row r="36" ht="15" customHeight="1">
      <c r="A36" t="inlineStr">
        <is>
          <t>A 27842-2024</t>
        </is>
      </c>
      <c r="B36" s="1" t="n">
        <v>45475</v>
      </c>
      <c r="C36" s="1" t="n">
        <v>45847</v>
      </c>
      <c r="D36" t="inlineStr">
        <is>
          <t>GÄVLEBORGS LÄN</t>
        </is>
      </c>
      <c r="E36" t="inlineStr">
        <is>
          <t>BOLLNÄS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27842-2024 artfynd.xlsx", "A 27842-2024")</f>
        <v/>
      </c>
      <c r="T36">
        <f>HYPERLINK("https://klasma.github.io/Logging_2183/kartor/A 27842-2024 karta.png", "A 27842-2024")</f>
        <v/>
      </c>
      <c r="V36">
        <f>HYPERLINK("https://klasma.github.io/Logging_2183/klagomål/A 27842-2024 FSC-klagomål.docx", "A 27842-2024")</f>
        <v/>
      </c>
      <c r="W36">
        <f>HYPERLINK("https://klasma.github.io/Logging_2183/klagomålsmail/A 27842-2024 FSC-klagomål mail.docx", "A 27842-2024")</f>
        <v/>
      </c>
      <c r="X36">
        <f>HYPERLINK("https://klasma.github.io/Logging_2183/tillsyn/A 27842-2024 tillsynsbegäran.docx", "A 27842-2024")</f>
        <v/>
      </c>
      <c r="Y36">
        <f>HYPERLINK("https://klasma.github.io/Logging_2183/tillsynsmail/A 27842-2024 tillsynsbegäran mail.docx", "A 27842-2024")</f>
        <v/>
      </c>
    </row>
    <row r="37" ht="15" customHeight="1">
      <c r="A37" t="inlineStr">
        <is>
          <t>A 34475-2024</t>
        </is>
      </c>
      <c r="B37" s="1" t="n">
        <v>45525</v>
      </c>
      <c r="C37" s="1" t="n">
        <v>45847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HYPERLINK("https://klasma.github.io/Logging_2183/artfynd/A 34475-2024 artfynd.xlsx", "A 34475-2024")</f>
        <v/>
      </c>
      <c r="T37">
        <f>HYPERLINK("https://klasma.github.io/Logging_2183/kartor/A 34475-2024 karta.png", "A 34475-2024")</f>
        <v/>
      </c>
      <c r="V37">
        <f>HYPERLINK("https://klasma.github.io/Logging_2183/klagomål/A 34475-2024 FSC-klagomål.docx", "A 34475-2024")</f>
        <v/>
      </c>
      <c r="W37">
        <f>HYPERLINK("https://klasma.github.io/Logging_2183/klagomålsmail/A 34475-2024 FSC-klagomål mail.docx", "A 34475-2024")</f>
        <v/>
      </c>
      <c r="X37">
        <f>HYPERLINK("https://klasma.github.io/Logging_2183/tillsyn/A 34475-2024 tillsynsbegäran.docx", "A 34475-2024")</f>
        <v/>
      </c>
      <c r="Y37">
        <f>HYPERLINK("https://klasma.github.io/Logging_2183/tillsynsmail/A 34475-2024 tillsynsbegäran mail.docx", "A 34475-2024")</f>
        <v/>
      </c>
    </row>
    <row r="38" ht="15" customHeight="1">
      <c r="A38" t="inlineStr">
        <is>
          <t>A 38971-2024</t>
        </is>
      </c>
      <c r="B38" s="1" t="n">
        <v>45548</v>
      </c>
      <c r="C38" s="1" t="n">
        <v>45847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HYPERLINK("https://klasma.github.io/Logging_2183/artfynd/A 38971-2024 artfynd.xlsx", "A 38971-2024")</f>
        <v/>
      </c>
      <c r="T38">
        <f>HYPERLINK("https://klasma.github.io/Logging_2183/kartor/A 38971-2024 karta.png", "A 38971-2024")</f>
        <v/>
      </c>
      <c r="V38">
        <f>HYPERLINK("https://klasma.github.io/Logging_2183/klagomål/A 38971-2024 FSC-klagomål.docx", "A 38971-2024")</f>
        <v/>
      </c>
      <c r="W38">
        <f>HYPERLINK("https://klasma.github.io/Logging_2183/klagomålsmail/A 38971-2024 FSC-klagomål mail.docx", "A 38971-2024")</f>
        <v/>
      </c>
      <c r="X38">
        <f>HYPERLINK("https://klasma.github.io/Logging_2183/tillsyn/A 38971-2024 tillsynsbegäran.docx", "A 38971-2024")</f>
        <v/>
      </c>
      <c r="Y38">
        <f>HYPERLINK("https://klasma.github.io/Logging_2183/tillsynsmail/A 38971-2024 tillsynsbegäran mail.docx", "A 38971-2024")</f>
        <v/>
      </c>
      <c r="Z38">
        <f>HYPERLINK("https://klasma.github.io/Logging_2183/fåglar/A 38971-2024 prioriterade fågelarter.docx", "A 38971-2024")</f>
        <v/>
      </c>
    </row>
    <row r="39" ht="15" customHeight="1">
      <c r="A39" t="inlineStr">
        <is>
          <t>A 47621-2024</t>
        </is>
      </c>
      <c r="B39" s="1" t="n">
        <v>45588</v>
      </c>
      <c r="C39" s="1" t="n">
        <v>45847</v>
      </c>
      <c r="D39" t="inlineStr">
        <is>
          <t>GÄVLEBORGS LÄN</t>
        </is>
      </c>
      <c r="E39" t="inlineStr">
        <is>
          <t>BOLLNÄS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Flodpärlmussla</t>
        </is>
      </c>
      <c r="S39">
        <f>HYPERLINK("https://klasma.github.io/Logging_2183/artfynd/A 47621-2024 artfynd.xlsx", "A 47621-2024")</f>
        <v/>
      </c>
      <c r="T39">
        <f>HYPERLINK("https://klasma.github.io/Logging_2183/kartor/A 47621-2024 karta.png", "A 47621-2024")</f>
        <v/>
      </c>
      <c r="V39">
        <f>HYPERLINK("https://klasma.github.io/Logging_2183/klagomål/A 47621-2024 FSC-klagomål.docx", "A 47621-2024")</f>
        <v/>
      </c>
      <c r="W39">
        <f>HYPERLINK("https://klasma.github.io/Logging_2183/klagomålsmail/A 47621-2024 FSC-klagomål mail.docx", "A 47621-2024")</f>
        <v/>
      </c>
      <c r="X39">
        <f>HYPERLINK("https://klasma.github.io/Logging_2183/tillsyn/A 47621-2024 tillsynsbegäran.docx", "A 47621-2024")</f>
        <v/>
      </c>
      <c r="Y39">
        <f>HYPERLINK("https://klasma.github.io/Logging_2183/tillsynsmail/A 47621-2024 tillsynsbegäran mail.docx", "A 47621-2024")</f>
        <v/>
      </c>
    </row>
    <row r="40" ht="15" customHeight="1">
      <c r="A40" t="inlineStr">
        <is>
          <t>A 5370-2025</t>
        </is>
      </c>
      <c r="B40" s="1" t="n">
        <v>45692</v>
      </c>
      <c r="C40" s="1" t="n">
        <v>45847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5370-2025 artfynd.xlsx", "A 5370-2025")</f>
        <v/>
      </c>
      <c r="T40">
        <f>HYPERLINK("https://klasma.github.io/Logging_2183/kartor/A 5370-2025 karta.png", "A 5370-2025")</f>
        <v/>
      </c>
      <c r="V40">
        <f>HYPERLINK("https://klasma.github.io/Logging_2183/klagomål/A 5370-2025 FSC-klagomål.docx", "A 5370-2025")</f>
        <v/>
      </c>
      <c r="W40">
        <f>HYPERLINK("https://klasma.github.io/Logging_2183/klagomålsmail/A 5370-2025 FSC-klagomål mail.docx", "A 5370-2025")</f>
        <v/>
      </c>
      <c r="X40">
        <f>HYPERLINK("https://klasma.github.io/Logging_2183/tillsyn/A 5370-2025 tillsynsbegäran.docx", "A 5370-2025")</f>
        <v/>
      </c>
      <c r="Y40">
        <f>HYPERLINK("https://klasma.github.io/Logging_2183/tillsynsmail/A 5370-2025 tillsynsbegäran mail.docx", "A 5370-2025")</f>
        <v/>
      </c>
    </row>
    <row r="41" ht="15" customHeight="1">
      <c r="A41" t="inlineStr">
        <is>
          <t>A 12817-2025</t>
        </is>
      </c>
      <c r="B41" s="1" t="n">
        <v>45733</v>
      </c>
      <c r="C41" s="1" t="n">
        <v>45847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HYPERLINK("https://klasma.github.io/Logging_212183/artfynd/A 12817-2025 artfynd.xlsx", "A 12817-2025")</f>
        <v/>
      </c>
      <c r="T41">
        <f>HYPERLINK("https://klasma.github.io/Logging_212183/kartor/A 12817-2025 karta.png", "A 12817-2025")</f>
        <v/>
      </c>
      <c r="V41">
        <f>HYPERLINK("https://klasma.github.io/Logging_212183/klagomål/A 12817-2025 FSC-klagomål.docx", "A 12817-2025")</f>
        <v/>
      </c>
      <c r="W41">
        <f>HYPERLINK("https://klasma.github.io/Logging_212183/klagomålsmail/A 12817-2025 FSC-klagomål mail.docx", "A 12817-2025")</f>
        <v/>
      </c>
      <c r="X41">
        <f>HYPERLINK("https://klasma.github.io/Logging_212183/tillsyn/A 12817-2025 tillsynsbegäran.docx", "A 12817-2025")</f>
        <v/>
      </c>
      <c r="Y41">
        <f>HYPERLINK("https://klasma.github.io/Logging_212183/tillsynsmail/A 12817-2025 tillsynsbegäran mail.docx", "A 12817-2025")</f>
        <v/>
      </c>
    </row>
    <row r="42" ht="15" customHeight="1">
      <c r="A42" t="inlineStr">
        <is>
          <t>A 20047-2025</t>
        </is>
      </c>
      <c r="B42" s="1" t="n">
        <v>45772</v>
      </c>
      <c r="C42" s="1" t="n">
        <v>45847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HYPERLINK("https://klasma.github.io/Logging_212183/artfynd/A 20047-2025 artfynd.xlsx", "A 20047-2025")</f>
        <v/>
      </c>
      <c r="T42">
        <f>HYPERLINK("https://klasma.github.io/Logging_212183/kartor/A 20047-2025 karta.png", "A 20047-2025")</f>
        <v/>
      </c>
      <c r="V42">
        <f>HYPERLINK("https://klasma.github.io/Logging_212183/klagomål/A 20047-2025 FSC-klagomål.docx", "A 20047-2025")</f>
        <v/>
      </c>
      <c r="W42">
        <f>HYPERLINK("https://klasma.github.io/Logging_212183/klagomålsmail/A 20047-2025 FSC-klagomål mail.docx", "A 20047-2025")</f>
        <v/>
      </c>
      <c r="X42">
        <f>HYPERLINK("https://klasma.github.io/Logging_212183/tillsyn/A 20047-2025 tillsynsbegäran.docx", "A 20047-2025")</f>
        <v/>
      </c>
      <c r="Y42">
        <f>HYPERLINK("https://klasma.github.io/Logging_212183/tillsynsmail/A 20047-2025 tillsynsbegäran mail.docx", "A 20047-2025")</f>
        <v/>
      </c>
    </row>
    <row r="43" ht="15" customHeight="1">
      <c r="A43" t="inlineStr">
        <is>
          <t>A 18405-2019</t>
        </is>
      </c>
      <c r="B43" s="1" t="n">
        <v>43559</v>
      </c>
      <c r="C43" s="1" t="n">
        <v>45847</v>
      </c>
      <c r="D43" t="inlineStr">
        <is>
          <t>GÄVLEBORGS LÄN</t>
        </is>
      </c>
      <c r="E43" t="inlineStr">
        <is>
          <t>BOLLNÄS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18667-2019</t>
        </is>
      </c>
      <c r="B44" s="1" t="n">
        <v>43560</v>
      </c>
      <c r="C44" s="1" t="n">
        <v>45847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19004-2019</t>
        </is>
      </c>
      <c r="B45" s="1" t="n">
        <v>43563</v>
      </c>
      <c r="C45" s="1" t="n">
        <v>45847</v>
      </c>
      <c r="D45" t="inlineStr">
        <is>
          <t>GÄVLEBORGS LÄN</t>
        </is>
      </c>
      <c r="E45" t="inlineStr">
        <is>
          <t>BOLLNÄS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19161-2019</t>
        </is>
      </c>
      <c r="B46" s="1" t="n">
        <v>43564</v>
      </c>
      <c r="C46" s="1" t="n">
        <v>45847</v>
      </c>
      <c r="D46" t="inlineStr">
        <is>
          <t>GÄVLEBORGS LÄN</t>
        </is>
      </c>
      <c r="E46" t="inlineStr">
        <is>
          <t>BOLLNÄS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19908-2019</t>
        </is>
      </c>
      <c r="B47" s="1" t="n">
        <v>43567</v>
      </c>
      <c r="C47" s="1" t="n">
        <v>45847</v>
      </c>
      <c r="D47" t="inlineStr">
        <is>
          <t>GÄVLEBORGS LÄN</t>
        </is>
      </c>
      <c r="E47" t="inlineStr">
        <is>
          <t>BOLLNÄS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20413-2019</t>
        </is>
      </c>
      <c r="B48" s="1" t="n">
        <v>43571</v>
      </c>
      <c r="C48" s="1" t="n">
        <v>45847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21449-2019</t>
        </is>
      </c>
      <c r="B49" s="1" t="n">
        <v>43580</v>
      </c>
      <c r="C49" s="1" t="n">
        <v>45847</v>
      </c>
      <c r="D49" t="inlineStr">
        <is>
          <t>GÄVLEBORGS LÄN</t>
        </is>
      </c>
      <c r="E49" t="inlineStr">
        <is>
          <t>BOLLNÄS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21823-2019</t>
        </is>
      </c>
      <c r="B50" s="1" t="n">
        <v>43583</v>
      </c>
      <c r="C50" s="1" t="n">
        <v>45847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22526-2019</t>
        </is>
      </c>
      <c r="B51" s="1" t="n">
        <v>43587</v>
      </c>
      <c r="C51" s="1" t="n">
        <v>45847</v>
      </c>
      <c r="D51" t="inlineStr">
        <is>
          <t>GÄVLEBORGS LÄN</t>
        </is>
      </c>
      <c r="E51" t="inlineStr">
        <is>
          <t>BOLLNÄS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23441-2019</t>
        </is>
      </c>
      <c r="B52" s="1" t="n">
        <v>43593</v>
      </c>
      <c r="C52" s="1" t="n">
        <v>45847</v>
      </c>
      <c r="D52" t="inlineStr">
        <is>
          <t>GÄVLEBORGS LÄN</t>
        </is>
      </c>
      <c r="E52" t="inlineStr">
        <is>
          <t>BOLLNÄS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23400-2019</t>
        </is>
      </c>
      <c r="B53" s="1" t="n">
        <v>43593</v>
      </c>
      <c r="C53" s="1" t="n">
        <v>45847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23617-2019</t>
        </is>
      </c>
      <c r="B54" s="1" t="n">
        <v>43594</v>
      </c>
      <c r="C54" s="1" t="n">
        <v>45847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23997-2019</t>
        </is>
      </c>
      <c r="B55" s="1" t="n">
        <v>43598</v>
      </c>
      <c r="C55" s="1" t="n">
        <v>45847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24237-2019</t>
        </is>
      </c>
      <c r="B56" s="1" t="n">
        <v>43599</v>
      </c>
      <c r="C56" s="1" t="n">
        <v>45847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24325-2019</t>
        </is>
      </c>
      <c r="B57" s="1" t="n">
        <v>43599</v>
      </c>
      <c r="C57" s="1" t="n">
        <v>45847</v>
      </c>
      <c r="D57" t="inlineStr">
        <is>
          <t>GÄVLEBORGS LÄN</t>
        </is>
      </c>
      <c r="E57" t="inlineStr">
        <is>
          <t>BOLLNÄS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24251-2019</t>
        </is>
      </c>
      <c r="B58" s="1" t="n">
        <v>43599</v>
      </c>
      <c r="C58" s="1" t="n">
        <v>45847</v>
      </c>
      <c r="D58" t="inlineStr">
        <is>
          <t>GÄVLEBORGS LÄN</t>
        </is>
      </c>
      <c r="E58" t="inlineStr">
        <is>
          <t>BOLLNÄS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25074-2019</t>
        </is>
      </c>
      <c r="B59" s="1" t="n">
        <v>43605</v>
      </c>
      <c r="C59" s="1" t="n">
        <v>45847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25637-2019</t>
        </is>
      </c>
      <c r="B60" s="1" t="n">
        <v>43607</v>
      </c>
      <c r="C60" s="1" t="n">
        <v>45847</v>
      </c>
      <c r="D60" t="inlineStr">
        <is>
          <t>GÄVLEBORGS LÄN</t>
        </is>
      </c>
      <c r="E60" t="inlineStr">
        <is>
          <t>BOLLNÄS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26543-2019</t>
        </is>
      </c>
      <c r="B61" s="1" t="n">
        <v>43612</v>
      </c>
      <c r="C61" s="1" t="n">
        <v>45847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27133-2019</t>
        </is>
      </c>
      <c r="B62" s="1" t="n">
        <v>43614</v>
      </c>
      <c r="C62" s="1" t="n">
        <v>45847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27639-2019</t>
        </is>
      </c>
      <c r="B63" s="1" t="n">
        <v>43619</v>
      </c>
      <c r="C63" s="1" t="n">
        <v>45847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27693-2019</t>
        </is>
      </c>
      <c r="B64" s="1" t="n">
        <v>43619</v>
      </c>
      <c r="C64" s="1" t="n">
        <v>45847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27685-2019</t>
        </is>
      </c>
      <c r="B65" s="1" t="n">
        <v>43619</v>
      </c>
      <c r="C65" s="1" t="n">
        <v>45847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27680-2019</t>
        </is>
      </c>
      <c r="B66" s="1" t="n">
        <v>43619</v>
      </c>
      <c r="C66" s="1" t="n">
        <v>45847</v>
      </c>
      <c r="D66" t="inlineStr">
        <is>
          <t>GÄVLEBORGS LÄN</t>
        </is>
      </c>
      <c r="E66" t="inlineStr">
        <is>
          <t>BOLLNÄS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27845-2019</t>
        </is>
      </c>
      <c r="B67" s="1" t="n">
        <v>43620</v>
      </c>
      <c r="C67" s="1" t="n">
        <v>45847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27888-2019</t>
        </is>
      </c>
      <c r="B68" s="1" t="n">
        <v>43620</v>
      </c>
      <c r="C68" s="1" t="n">
        <v>45847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29255-2019</t>
        </is>
      </c>
      <c r="B69" s="1" t="n">
        <v>43629</v>
      </c>
      <c r="C69" s="1" t="n">
        <v>45847</v>
      </c>
      <c r="D69" t="inlineStr">
        <is>
          <t>GÄVLEBORGS LÄN</t>
        </is>
      </c>
      <c r="E69" t="inlineStr">
        <is>
          <t>BOLLNÄS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29401-2019</t>
        </is>
      </c>
      <c r="B70" s="1" t="n">
        <v>43629</v>
      </c>
      <c r="C70" s="1" t="n">
        <v>45847</v>
      </c>
      <c r="D70" t="inlineStr">
        <is>
          <t>GÄVLEBORGS LÄN</t>
        </is>
      </c>
      <c r="E70" t="inlineStr">
        <is>
          <t>BOLLNÄS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29852-2019</t>
        </is>
      </c>
      <c r="B71" s="1" t="n">
        <v>43633</v>
      </c>
      <c r="C71" s="1" t="n">
        <v>45847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30417-2019</t>
        </is>
      </c>
      <c r="B72" s="1" t="n">
        <v>43635</v>
      </c>
      <c r="C72" s="1" t="n">
        <v>45847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31082-2019</t>
        </is>
      </c>
      <c r="B73" s="1" t="n">
        <v>43640</v>
      </c>
      <c r="C73" s="1" t="n">
        <v>45847</v>
      </c>
      <c r="D73" t="inlineStr">
        <is>
          <t>GÄVLEBORGS LÄN</t>
        </is>
      </c>
      <c r="E73" t="inlineStr">
        <is>
          <t>BOLLNÄS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31538-2019</t>
        </is>
      </c>
      <c r="B74" s="1" t="n">
        <v>43641</v>
      </c>
      <c r="C74" s="1" t="n">
        <v>45847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31914-2019</t>
        </is>
      </c>
      <c r="B75" s="1" t="n">
        <v>43643</v>
      </c>
      <c r="C75" s="1" t="n">
        <v>45847</v>
      </c>
      <c r="D75" t="inlineStr">
        <is>
          <t>GÄVLEBORGS LÄN</t>
        </is>
      </c>
      <c r="E75" t="inlineStr">
        <is>
          <t>BOLLNÄS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33064-2019</t>
        </is>
      </c>
      <c r="B76" s="1" t="n">
        <v>43649</v>
      </c>
      <c r="C76" s="1" t="n">
        <v>45847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33120-2019</t>
        </is>
      </c>
      <c r="B77" s="1" t="n">
        <v>43649</v>
      </c>
      <c r="C77" s="1" t="n">
        <v>45847</v>
      </c>
      <c r="D77" t="inlineStr">
        <is>
          <t>GÄVLEBORGS LÄN</t>
        </is>
      </c>
      <c r="E77" t="inlineStr">
        <is>
          <t>BOLLNÄS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33248-2019</t>
        </is>
      </c>
      <c r="B78" s="1" t="n">
        <v>43650</v>
      </c>
      <c r="C78" s="1" t="n">
        <v>45847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33507-2019</t>
        </is>
      </c>
      <c r="B79" s="1" t="n">
        <v>43651</v>
      </c>
      <c r="C79" s="1" t="n">
        <v>45847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34019-2019</t>
        </is>
      </c>
      <c r="B80" s="1" t="n">
        <v>43654</v>
      </c>
      <c r="C80" s="1" t="n">
        <v>45847</v>
      </c>
      <c r="D80" t="inlineStr">
        <is>
          <t>GÄVLEBORGS LÄN</t>
        </is>
      </c>
      <c r="E80" t="inlineStr">
        <is>
          <t>BOLLNÄS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34321-2019</t>
        </is>
      </c>
      <c r="B81" s="1" t="n">
        <v>43656</v>
      </c>
      <c r="C81" s="1" t="n">
        <v>45847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34610-2019</t>
        </is>
      </c>
      <c r="B82" s="1" t="n">
        <v>43657</v>
      </c>
      <c r="C82" s="1" t="n">
        <v>45847</v>
      </c>
      <c r="D82" t="inlineStr">
        <is>
          <t>GÄVLEBORGS LÄN</t>
        </is>
      </c>
      <c r="E82" t="inlineStr">
        <is>
          <t>BOLLNÄS</t>
        </is>
      </c>
      <c r="F82" t="inlineStr">
        <is>
          <t>Kyrkan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34516-2019</t>
        </is>
      </c>
      <c r="B83" s="1" t="n">
        <v>43657</v>
      </c>
      <c r="C83" s="1" t="n">
        <v>45847</v>
      </c>
      <c r="D83" t="inlineStr">
        <is>
          <t>GÄVLEBORGS LÄN</t>
        </is>
      </c>
      <c r="E83" t="inlineStr">
        <is>
          <t>BOLLNÄS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35610-2019</t>
        </is>
      </c>
      <c r="B84" s="1" t="n">
        <v>43664</v>
      </c>
      <c r="C84" s="1" t="n">
        <v>45847</v>
      </c>
      <c r="D84" t="inlineStr">
        <is>
          <t>GÄVLEBORGS LÄN</t>
        </is>
      </c>
      <c r="E84" t="inlineStr">
        <is>
          <t>BOLLNÄS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39020-2019</t>
        </is>
      </c>
      <c r="B85" s="1" t="n">
        <v>43689</v>
      </c>
      <c r="C85" s="1" t="n">
        <v>45847</v>
      </c>
      <c r="D85" t="inlineStr">
        <is>
          <t>GÄVLEBORGS LÄN</t>
        </is>
      </c>
      <c r="E85" t="inlineStr">
        <is>
          <t>BOLLNÄS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39643-2019</t>
        </is>
      </c>
      <c r="B86" s="1" t="n">
        <v>43691</v>
      </c>
      <c r="C86" s="1" t="n">
        <v>45847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41047-2019</t>
        </is>
      </c>
      <c r="B87" s="1" t="n">
        <v>43698</v>
      </c>
      <c r="C87" s="1" t="n">
        <v>45847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41365-2019</t>
        </is>
      </c>
      <c r="B88" s="1" t="n">
        <v>43698</v>
      </c>
      <c r="C88" s="1" t="n">
        <v>45847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42181-2019</t>
        </is>
      </c>
      <c r="B89" s="1" t="n">
        <v>43703</v>
      </c>
      <c r="C89" s="1" t="n">
        <v>45847</v>
      </c>
      <c r="D89" t="inlineStr">
        <is>
          <t>GÄVLEBORGS LÄN</t>
        </is>
      </c>
      <c r="E89" t="inlineStr">
        <is>
          <t>BOLLNÄS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42122-2019</t>
        </is>
      </c>
      <c r="B90" s="1" t="n">
        <v>43703</v>
      </c>
      <c r="C90" s="1" t="n">
        <v>45847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42596-2019</t>
        </is>
      </c>
      <c r="B91" s="1" t="n">
        <v>43704</v>
      </c>
      <c r="C91" s="1" t="n">
        <v>45847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42598-2019</t>
        </is>
      </c>
      <c r="B92" s="1" t="n">
        <v>43704</v>
      </c>
      <c r="C92" s="1" t="n">
        <v>45847</v>
      </c>
      <c r="D92" t="inlineStr">
        <is>
          <t>GÄVLEBORGS LÄN</t>
        </is>
      </c>
      <c r="E92" t="inlineStr">
        <is>
          <t>BOLLNÄS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42908-2019</t>
        </is>
      </c>
      <c r="B93" s="1" t="n">
        <v>43705</v>
      </c>
      <c r="C93" s="1" t="n">
        <v>45847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43529-2019</t>
        </is>
      </c>
      <c r="B94" s="1" t="n">
        <v>43706</v>
      </c>
      <c r="C94" s="1" t="n">
        <v>45847</v>
      </c>
      <c r="D94" t="inlineStr">
        <is>
          <t>GÄVLEBORGS LÄN</t>
        </is>
      </c>
      <c r="E94" t="inlineStr">
        <is>
          <t>BOLLNÄS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43780-2019</t>
        </is>
      </c>
      <c r="B95" s="1" t="n">
        <v>43707</v>
      </c>
      <c r="C95" s="1" t="n">
        <v>45847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43778-2019</t>
        </is>
      </c>
      <c r="B96" s="1" t="n">
        <v>43707</v>
      </c>
      <c r="C96" s="1" t="n">
        <v>45847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44212-2019</t>
        </is>
      </c>
      <c r="B97" s="1" t="n">
        <v>43710</v>
      </c>
      <c r="C97" s="1" t="n">
        <v>45847</v>
      </c>
      <c r="D97" t="inlineStr">
        <is>
          <t>GÄVLEBORGS LÄN</t>
        </is>
      </c>
      <c r="E97" t="inlineStr">
        <is>
          <t>BOLLNÄS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44342-2019</t>
        </is>
      </c>
      <c r="B98" s="1" t="n">
        <v>43711</v>
      </c>
      <c r="C98" s="1" t="n">
        <v>45847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45847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45847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45847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45847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45847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45847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45847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45847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45847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45847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45847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45847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45847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45847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45847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45847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45847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45847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45847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45847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45847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45847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45847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45847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45847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45847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45847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45847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45847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45847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45847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45847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45847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45847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45847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45847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45847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45847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45847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45847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45847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45847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45847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45847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45847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45847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45847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45847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45847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45847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45847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45847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45847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45847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45847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45847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45847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45847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45847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45847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45847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45847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45847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45847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45847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45847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45847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45847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45847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45847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45847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45847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45847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45847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45847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45847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45847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45847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45847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45847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45847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45847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45847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45847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45847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45847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45847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45847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45847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45847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45847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45847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45847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45847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45847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45847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45847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45847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45847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45847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45847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45847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45847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45847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45847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45847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45847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45847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45847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45847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45847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45847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45847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45847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45847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45847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45847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45847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45847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45847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45847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45847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45847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45847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45847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45847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45847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45847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45847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45847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45847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45847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45847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45847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45847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45847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45847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45847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45847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45847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45847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45847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45847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45847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45847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45847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45847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45847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45847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45847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45847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45847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45847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45847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45847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45847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45847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45847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45847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45847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45847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45847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45847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45847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45847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45847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45847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45847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45847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45847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45847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45847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45847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45847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45847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45847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45847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45847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45847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45847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45847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45847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45847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45847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45847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45847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45847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45847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45847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45847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45847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45847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45847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45847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45847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45847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45847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45847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45847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45847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45847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45847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45847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45847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45847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45847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45847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45847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45847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45847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45847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45847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45847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45847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45847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45847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45847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45847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45847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45847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45847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45847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45847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45847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45847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45847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45847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45847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45847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45847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45847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45847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45847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45847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45847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45847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45847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45847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45847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45847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45847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45847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45847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45847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45847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45847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45847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45847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45847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45847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45847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45847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45847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45847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45847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45847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45847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45847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45847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45847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45847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45847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45847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45847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45847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45847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45847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45847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45847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45847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45847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45847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45847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45847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45847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45847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45847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45847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45847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45847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45847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45847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45847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45847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45847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45847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45847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45847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45847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45847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45847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45847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45847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45847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45847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45847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45847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45847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45847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45847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45847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45847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45847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45847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45847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45847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45847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45847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45847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45847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45847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45847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45847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45847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45847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45847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45847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45847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45847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45847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45847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45847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45847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45847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45847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45847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45847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45847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45847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45847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45847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45847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45847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45847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45847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45847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45847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45847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45847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45847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45847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45847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45847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45847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45847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45847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45847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45847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45847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45847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45847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45847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45847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45847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45847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45847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45847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45847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45847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45847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45847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45847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45847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45847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45847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45847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45847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45847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45847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45847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45847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45847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45847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45847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45847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45847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45847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45847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45847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45847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45847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45847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45847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45847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45847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45847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45847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45847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45847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45847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45847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45847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45847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45847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45847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45847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45847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45847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45847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45847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45847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45847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45847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45847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45847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45847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45847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45847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45847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45847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45847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45847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45847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45847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45847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45847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45847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45847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45847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45847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45847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45847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45847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45847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45847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45847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45847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45847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45847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45847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45847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45847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45847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45847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45847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45847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45847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45847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45847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45847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45847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45847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45847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45847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45847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45847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45847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45847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45847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45847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45847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45847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45847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45847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45847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45847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45847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45847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45847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45847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45847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45847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45847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45847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45847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45847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45847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45847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45847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45847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45847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45847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45847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45847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45847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45847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45847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45847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45847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45847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45847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45847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45847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45847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45847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45847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45847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45847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45847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45847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45847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45847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45847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45847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45847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45847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45847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45847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45847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45847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45847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45847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45847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45847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45847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45847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45847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45847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45847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45847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45847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45847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45847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45847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45847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45847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45847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45847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45847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45847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45847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45847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45847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45847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45847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45847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45847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45847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45847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45847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45847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45847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45847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45847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45847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45847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45847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45847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45847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45847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45847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45847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45847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45847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45847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45847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45847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45847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45847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45847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45847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45847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45847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45847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45847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45847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45847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45847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45847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45847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45847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45847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45847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45847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45847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45847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45847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45847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45847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45847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45847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45847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45847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45847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45847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45847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45847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45847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45847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45847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45847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45847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45847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45847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45847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45847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45847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45847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45847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45847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45847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45847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45847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45847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45847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45847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45847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45847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45847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45847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45847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45847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45847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45847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45847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45847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45847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45847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45847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45847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45847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45847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45847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45847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45847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45847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45847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45847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45847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45847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45847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45847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45847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45847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45847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45847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45847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45847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45847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45847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45847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45847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45847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45847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45847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45847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45847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45847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45847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45847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45847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45847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45847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45847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45847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45847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45847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45847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45847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45847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45847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45847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45847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45847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45847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45847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45847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45847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45847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45847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45847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45847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45847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45847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45847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45847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45847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45847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45847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45847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45847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45847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45847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45847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45847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45847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45847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45847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45847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45847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45847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45847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45847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45847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45847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45847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45847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45847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45847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45847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45847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45847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45847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45847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45847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45847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45847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45847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45847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45847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45847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45847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45847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45847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45847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45847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45847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45847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45847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45847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45847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45847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45847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45847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45847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45847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45847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45847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45847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45847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45847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45847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45847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45847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45847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45847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45847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45847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45847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45847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45847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45847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45847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45847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45847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45847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45847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45847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45847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45847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45847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45847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45847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45847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45847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45847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45847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45847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45847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45847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45847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45847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45847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45847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45847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45847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45847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45847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45847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45847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45847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45847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45847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45847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45847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45847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45847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45847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45847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45847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45847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45847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45847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45847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45847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45847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45847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45847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45847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45847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45847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45847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45847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45847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45847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45847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45847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45847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45847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45847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45847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45847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45847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45847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45847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45847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45847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45847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45847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45847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45847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45847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45847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45847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45847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45847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45847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45847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45847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45847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45847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45847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45847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45847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45847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45847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45847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45847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45847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45847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45847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45847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45847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45847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45847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45847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45847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45847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45847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45847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45847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45847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45847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45847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45847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45847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45847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45847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45847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45847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45847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45847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45847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45847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45847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45847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45847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45847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45847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45847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45847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45847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45847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45847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45847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45847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45847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45847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45847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45847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45847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45847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45847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45847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45847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45847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45847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45847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45847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45847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45847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45847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45847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45847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45847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45847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45847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45847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45847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45847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45847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45847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45847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45847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45847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45847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45847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45847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45847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45847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45847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45847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45847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45847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45847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45847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45847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45847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45847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45847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45847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45847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45847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45847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45847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45847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45847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45847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45847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45847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45847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45847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45847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45847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45847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45847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45847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45847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45847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45847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45847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45847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45847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45847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45847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45847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45847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45847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45847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45847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45847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45847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45847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45847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45847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45847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45847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45847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45847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45847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45847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45847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45847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45847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45847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45847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45847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45847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45847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45847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45847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45847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45847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45847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45847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45847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45847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45847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45847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45847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45847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45847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45847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45847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45847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45847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45847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45847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45847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45847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45847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45847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45847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45847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45847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45847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45847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45847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45847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45847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45847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45847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45847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45847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45847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45847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45847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45847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45847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45847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45847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45847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45847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45847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45847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45847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45847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45847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45847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45847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45847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45847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45847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45847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45847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45847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45847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45847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45847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45847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45847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45847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45847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45847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45847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45847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45847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45847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45847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45847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45847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45847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45847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45847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45847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45847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45847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45847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45847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45847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45847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45847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45847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45847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45847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45847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45847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45847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45847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45847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45847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45847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45847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45847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45847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45847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45847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45847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45847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45847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45847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45847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45847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45847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45847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45847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45847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45847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45847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45847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45847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45847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45847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45847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45847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45847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45847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45847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45847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45847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45847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45847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45847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45847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45847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45847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45847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45847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45847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45847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45847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45847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45847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45847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45847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45847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45847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45847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45847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45847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45847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45847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45847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45847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45847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45847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45847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45847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45847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45847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45847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45847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45847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45847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45847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45847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45847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45847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45847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45847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45847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45847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45847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45847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45847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45847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45847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45847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45847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45847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45847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45847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45847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45847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45847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45847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45847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45847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45847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45847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45847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45847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45847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45847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45847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45847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45847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45847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45847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45847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45847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45847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45847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45847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45847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45847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45847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45847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45847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45847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45847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45847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45847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45847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45847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45847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45847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45847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45847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45847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45847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45847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45847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45847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45847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45847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45847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45847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45847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45847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45847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45847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45847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45847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45847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45847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45847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45847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45847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45847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45847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45847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45847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45847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45847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45847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45847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45847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45847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45847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45847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45847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45847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45847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45847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45847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45847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45847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45847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45847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45847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45847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45847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45847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45847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45847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45847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45847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45847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45847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45847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45847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45847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45847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45847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45847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45847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45847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45847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45847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45847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45847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45847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45847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45847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45847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45847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45847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45847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45847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45847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45847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45847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45847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45847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45847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45847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45847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45847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45847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45847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45847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45847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45847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45847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45847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45847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45847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45847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45847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45847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45847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45847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45847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45847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45847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45847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45847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45847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45847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45847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45847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45847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45847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45847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45847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45847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45847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45847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45847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45847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45847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45847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45847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45847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45847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45847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45847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45847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45847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45847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45847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45847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45847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45847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45847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45847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45847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45847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45847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45847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45847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45847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45847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45847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45847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45847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45847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45847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45847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45847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45847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45847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45847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45847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45847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45847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45847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45847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45847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45847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45847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45847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45847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45847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45847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45847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45847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45847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45847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45847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45847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45847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45847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45847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45847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45847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45847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45847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45847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45847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45847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45847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45847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45847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45847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45847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45847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45847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45847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45847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45847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45847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45847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45847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45847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45847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45847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45847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45847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45847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45847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45847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45847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45847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45847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45847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45847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45847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45847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45847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45847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45847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45847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45847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45847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45847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45847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45847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45847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45847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45847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45847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45847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45847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45847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45847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45847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45847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45847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45847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45847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45847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45847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45847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45847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45847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45847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45847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45847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45847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45847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45847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45847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45847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45847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45847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45847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45847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45847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45847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45847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45847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45847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45847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45847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45847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45847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45847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45847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45847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45847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45847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45847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45847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45847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45847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45847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45847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45847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45847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45847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45847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45847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45847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45847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45847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45847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45847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45847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45847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45847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45847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45847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45847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45847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45847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45847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45847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45847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45847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45847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45847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45847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45847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45847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45847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45847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45847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45847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45847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45847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45847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45847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45847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45847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45847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45847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45847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45847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45847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45847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45847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45847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45847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45847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45847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45847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45847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45847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45847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45847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45847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45847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45847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45847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45847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45847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45847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45847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45847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45847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45847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45847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45847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45847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45847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45847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45847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45847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45847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45847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45847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45847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45847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45847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45847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45847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45847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45847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45847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45847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45847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45847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45847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45847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45847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45847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45847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45847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45847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45847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45847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45847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45847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45847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45847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45847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45847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45847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45847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45847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45847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45847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45847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45847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45847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45847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45847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45847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45847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45847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45847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45847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45847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45847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45847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45847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45847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45847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45847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45847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45847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45847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45847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45847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45847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45847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45847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45847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45847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45847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45847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45847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28618-2025</t>
        </is>
      </c>
      <c r="B1888" s="1" t="n">
        <v>45819</v>
      </c>
      <c r="C1888" s="1" t="n">
        <v>45847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28455-2025</t>
        </is>
      </c>
      <c r="B1889" s="1" t="n">
        <v>45819</v>
      </c>
      <c r="C1889" s="1" t="n">
        <v>45847</v>
      </c>
      <c r="D1889" t="inlineStr">
        <is>
          <t>GÄVLEBORGS LÄN</t>
        </is>
      </c>
      <c r="E1889" t="inlineStr">
        <is>
          <t>BOLLNÄS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28429-2025</t>
        </is>
      </c>
      <c r="B1890" s="1" t="n">
        <v>45819</v>
      </c>
      <c r="C1890" s="1" t="n">
        <v>45847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28446-2025</t>
        </is>
      </c>
      <c r="B1891" s="1" t="n">
        <v>45819</v>
      </c>
      <c r="C1891" s="1" t="n">
        <v>45847</v>
      </c>
      <c r="D1891" t="inlineStr">
        <is>
          <t>GÄVLEBORGS LÄN</t>
        </is>
      </c>
      <c r="E1891" t="inlineStr">
        <is>
          <t>BOLLNÄS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28477-2025</t>
        </is>
      </c>
      <c r="B1892" s="1" t="n">
        <v>45819</v>
      </c>
      <c r="C1892" s="1" t="n">
        <v>45847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28570-2025</t>
        </is>
      </c>
      <c r="B1893" s="1" t="n">
        <v>45819</v>
      </c>
      <c r="C1893" s="1" t="n">
        <v>45847</v>
      </c>
      <c r="D1893" t="inlineStr">
        <is>
          <t>GÄVLEBORGS LÄN</t>
        </is>
      </c>
      <c r="E1893" t="inlineStr">
        <is>
          <t>BOLLNÄS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28462-2025</t>
        </is>
      </c>
      <c r="B1894" s="1" t="n">
        <v>45819</v>
      </c>
      <c r="C1894" s="1" t="n">
        <v>45847</v>
      </c>
      <c r="D1894" t="inlineStr">
        <is>
          <t>GÄVLEBORGS LÄN</t>
        </is>
      </c>
      <c r="E1894" t="inlineStr">
        <is>
          <t>BOLLNÄS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45847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45847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45847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45847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29777-2025</t>
        </is>
      </c>
      <c r="B1899" s="1" t="n">
        <v>45825</v>
      </c>
      <c r="C1899" s="1" t="n">
        <v>45847</v>
      </c>
      <c r="D1899" t="inlineStr">
        <is>
          <t>GÄVLEBORGS LÄN</t>
        </is>
      </c>
      <c r="E1899" t="inlineStr">
        <is>
          <t>BOLLNÄS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29780-2025</t>
        </is>
      </c>
      <c r="B1900" s="1" t="n">
        <v>45825</v>
      </c>
      <c r="C1900" s="1" t="n">
        <v>45847</v>
      </c>
      <c r="D1900" t="inlineStr">
        <is>
          <t>GÄVLEBORGS LÄN</t>
        </is>
      </c>
      <c r="E1900" t="inlineStr">
        <is>
          <t>BOLLNÄS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29766-2025</t>
        </is>
      </c>
      <c r="B1901" s="1" t="n">
        <v>45825</v>
      </c>
      <c r="C1901" s="1" t="n">
        <v>45847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Sveaskog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29575-2025</t>
        </is>
      </c>
      <c r="B1902" s="1" t="n">
        <v>45825</v>
      </c>
      <c r="C1902" s="1" t="n">
        <v>45847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29776-2025</t>
        </is>
      </c>
      <c r="B1903" s="1" t="n">
        <v>45825</v>
      </c>
      <c r="C1903" s="1" t="n">
        <v>45847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45847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45847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30308-2025</t>
        </is>
      </c>
      <c r="B1906" s="1" t="n">
        <v>45827</v>
      </c>
      <c r="C1906" s="1" t="n">
        <v>45847</v>
      </c>
      <c r="D1906" t="inlineStr">
        <is>
          <t>GÄVLEBORGS LÄN</t>
        </is>
      </c>
      <c r="E1906" t="inlineStr">
        <is>
          <t>BOLLNÄS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30292-2025</t>
        </is>
      </c>
      <c r="B1907" s="1" t="n">
        <v>45827</v>
      </c>
      <c r="C1907" s="1" t="n">
        <v>45847</v>
      </c>
      <c r="D1907" t="inlineStr">
        <is>
          <t>GÄVLEBORGS LÄN</t>
        </is>
      </c>
      <c r="E1907" t="inlineStr">
        <is>
          <t>BOLLNÄS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30458-2025</t>
        </is>
      </c>
      <c r="B1908" s="1" t="n">
        <v>45827</v>
      </c>
      <c r="C1908" s="1" t="n">
        <v>45847</v>
      </c>
      <c r="D1908" t="inlineStr">
        <is>
          <t>GÄVLEBORGS LÄN</t>
        </is>
      </c>
      <c r="E1908" t="inlineStr">
        <is>
          <t>BOLLNÄS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30454-2025</t>
        </is>
      </c>
      <c r="B1909" s="1" t="n">
        <v>45827</v>
      </c>
      <c r="C1909" s="1" t="n">
        <v>45847</v>
      </c>
      <c r="D1909" t="inlineStr">
        <is>
          <t>GÄVLEBORGS LÄN</t>
        </is>
      </c>
      <c r="E1909" t="inlineStr">
        <is>
          <t>BOLLNÄS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30456-2025</t>
        </is>
      </c>
      <c r="B1910" s="1" t="n">
        <v>45827</v>
      </c>
      <c r="C1910" s="1" t="n">
        <v>45847</v>
      </c>
      <c r="D1910" t="inlineStr">
        <is>
          <t>GÄVLEBORGS LÄN</t>
        </is>
      </c>
      <c r="E1910" t="inlineStr">
        <is>
          <t>BOLLNÄS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45847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45847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30749-2025</t>
        </is>
      </c>
      <c r="B1913" s="1" t="n">
        <v>45831</v>
      </c>
      <c r="C1913" s="1" t="n">
        <v>45847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30650-2025</t>
        </is>
      </c>
      <c r="B1914" s="1" t="n">
        <v>45831</v>
      </c>
      <c r="C1914" s="1" t="n">
        <v>45847</v>
      </c>
      <c r="D1914" t="inlineStr">
        <is>
          <t>GÄVLEBORGS LÄN</t>
        </is>
      </c>
      <c r="E1914" t="inlineStr">
        <is>
          <t>BOLLNÄS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45847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45847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45847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45847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45847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45847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31971-2025</t>
        </is>
      </c>
      <c r="B1921" s="1" t="n">
        <v>45835</v>
      </c>
      <c r="C1921" s="1" t="n">
        <v>45847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32189-2025</t>
        </is>
      </c>
      <c r="B1922" s="1" t="n">
        <v>45835</v>
      </c>
      <c r="C1922" s="1" t="n">
        <v>45847</v>
      </c>
      <c r="D1922" t="inlineStr">
        <is>
          <t>GÄVLEBORGS LÄN</t>
        </is>
      </c>
      <c r="E1922" t="inlineStr">
        <is>
          <t>BOLLNÄS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45847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45847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45847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45847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32603-2025</t>
        </is>
      </c>
      <c r="B1927" s="1" t="n">
        <v>45838</v>
      </c>
      <c r="C1927" s="1" t="n">
        <v>45847</v>
      </c>
      <c r="D1927" t="inlineStr">
        <is>
          <t>GÄVLEBORGS LÄN</t>
        </is>
      </c>
      <c r="E1927" t="inlineStr">
        <is>
          <t>BOLLNÄS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32588-2025</t>
        </is>
      </c>
      <c r="B1928" s="1" t="n">
        <v>45838</v>
      </c>
      <c r="C1928" s="1" t="n">
        <v>45847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33179-2025</t>
        </is>
      </c>
      <c r="B1929" s="1" t="n">
        <v>45840</v>
      </c>
      <c r="C1929" s="1" t="n">
        <v>45847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33137-2025</t>
        </is>
      </c>
      <c r="B1930" s="1" t="n">
        <v>45840</v>
      </c>
      <c r="C1930" s="1" t="n">
        <v>45847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33153-2025</t>
        </is>
      </c>
      <c r="B1931" s="1" t="n">
        <v>45840</v>
      </c>
      <c r="C1931" s="1" t="n">
        <v>45847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6.1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33259-2025</t>
        </is>
      </c>
      <c r="B1932" s="1" t="n">
        <v>45840</v>
      </c>
      <c r="C1932" s="1" t="n">
        <v>45847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33624-2025</t>
        </is>
      </c>
      <c r="B1933" s="1" t="n">
        <v>45841</v>
      </c>
      <c r="C1933" s="1" t="n">
        <v>45847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33642-2025</t>
        </is>
      </c>
      <c r="B1934" s="1" t="n">
        <v>45841</v>
      </c>
      <c r="C1934" s="1" t="n">
        <v>45847</v>
      </c>
      <c r="D1934" t="inlineStr">
        <is>
          <t>GÄVLEBORGS LÄN</t>
        </is>
      </c>
      <c r="E1934" t="inlineStr">
        <is>
          <t>BOLLNÄS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33630-2025</t>
        </is>
      </c>
      <c r="B1935" s="1" t="n">
        <v>45841</v>
      </c>
      <c r="C1935" s="1" t="n">
        <v>45847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33639-2025</t>
        </is>
      </c>
      <c r="B1936" s="1" t="n">
        <v>45841</v>
      </c>
      <c r="C1936" s="1" t="n">
        <v>45847</v>
      </c>
      <c r="D1936" t="inlineStr">
        <is>
          <t>GÄVLEBORGS LÄN</t>
        </is>
      </c>
      <c r="E1936" t="inlineStr">
        <is>
          <t>BOLLNÄS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33944-2025</t>
        </is>
      </c>
      <c r="B1937" s="1" t="n">
        <v>45842</v>
      </c>
      <c r="C1937" s="1" t="n">
        <v>45847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34202-2025</t>
        </is>
      </c>
      <c r="B1938" s="1" t="n">
        <v>45845</v>
      </c>
      <c r="C1938" s="1" t="n">
        <v>45847</v>
      </c>
      <c r="D1938" t="inlineStr">
        <is>
          <t>GÄVLEBORGS LÄN</t>
        </is>
      </c>
      <c r="E1938" t="inlineStr">
        <is>
          <t>BOLLNÄS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34224-2025</t>
        </is>
      </c>
      <c r="B1939" s="1" t="n">
        <v>45845</v>
      </c>
      <c r="C1939" s="1" t="n">
        <v>45847</v>
      </c>
      <c r="D1939" t="inlineStr">
        <is>
          <t>GÄVLEBORGS LÄN</t>
        </is>
      </c>
      <c r="E1939" t="inlineStr">
        <is>
          <t>BOLLNÄS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34216-2025</t>
        </is>
      </c>
      <c r="B1940" s="1" t="n">
        <v>45845</v>
      </c>
      <c r="C1940" s="1" t="n">
        <v>45847</v>
      </c>
      <c r="D1940" t="inlineStr">
        <is>
          <t>GÄVLEBORGS LÄN</t>
        </is>
      </c>
      <c r="E1940" t="inlineStr">
        <is>
          <t>BOLLNÄS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34233-2025</t>
        </is>
      </c>
      <c r="B1941" s="1" t="n">
        <v>45845</v>
      </c>
      <c r="C1941" s="1" t="n">
        <v>45847</v>
      </c>
      <c r="D1941" t="inlineStr">
        <is>
          <t>GÄVLEBORGS LÄN</t>
        </is>
      </c>
      <c r="E1941" t="inlineStr">
        <is>
          <t>BOLLNÄS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34239-2025</t>
        </is>
      </c>
      <c r="B1942" s="1" t="n">
        <v>45845</v>
      </c>
      <c r="C1942" s="1" t="n">
        <v>45847</v>
      </c>
      <c r="D1942" t="inlineStr">
        <is>
          <t>GÄVLEBORGS LÄN</t>
        </is>
      </c>
      <c r="E1942" t="inlineStr">
        <is>
          <t>BOLLNÄS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>
      <c r="A1943" t="inlineStr">
        <is>
          <t>A 34396-2025</t>
        </is>
      </c>
      <c r="B1943" s="1" t="n">
        <v>45846</v>
      </c>
      <c r="C1943" s="1" t="n">
        <v>45847</v>
      </c>
      <c r="D1943" t="inlineStr">
        <is>
          <t>GÄVLEBORGS LÄN</t>
        </is>
      </c>
      <c r="E1943" t="inlineStr">
        <is>
          <t>BOLLNÄS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2025-07-09T20:46:45Z</dcterms:created>
  <dcterms:modified xmlns:dcterms="http://purl.org/dc/terms/" xmlns:xsi="http://www.w3.org/2001/XMLSchema-instance" xsi:type="dcterms:W3CDTF">2025-07-09T20:46:46Z</dcterms:modified>
</cp:coreProperties>
</file>