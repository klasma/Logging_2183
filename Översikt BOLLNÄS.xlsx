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46296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46296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46296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46296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46296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46296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20710-2023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45058</v>
      </c>
      <c r="E12" s="1" t="n">
        <v>46296</v>
      </c>
      <c r="F12" t="inlineStr">
        <is>
          <t>GÄVLEBORGS LÄN</t>
        </is>
      </c>
      <c r="G12" t="inlineStr">
        <is>
          <t>BOLLNÄS</t>
        </is>
      </c>
      <c r="I12" t="n">
        <v>8.800000000000001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Lavskrika</t>
        </is>
      </c>
      <c r="W12">
        <f>HYPERLINK("https://klasma.github.io/Logging_2183/artfynd/A 20710-2023 artfynd.xlsx", "A 20710-2023")</f>
        <v/>
      </c>
      <c r="X12">
        <f>HYPERLINK("https://klasma.github.io/Logging_2183/kartor/A 20710-2023 karta.png", "A 20710-2023")</f>
        <v/>
      </c>
      <c r="Y12">
        <f>HYPERLINK("https://klasma.github.io/Logging_2183/kartor_geotiff/A 20710-2023 georefererad karta.tif", "A 20710-2023")</f>
        <v/>
      </c>
      <c r="Z12">
        <f>HYPERLINK("https://klasma.github.io/Logging_2183/knärot/A 20710-2023 karta knärot.png", "A 20710-2023")</f>
        <v/>
      </c>
      <c r="AA12">
        <f>HYPERLINK("https://klasma.github.io/Logging_2183/klagomål/A 20710-2023 FSC-klagomål.docx", "A 20710-2023")</f>
        <v/>
      </c>
      <c r="AB12">
        <f>HYPERLINK("https://klasma.github.io/Logging_2183/klagomålsmail/A 20710-2023 FSC-klagomål mail.docx", "A 20710-2023")</f>
        <v/>
      </c>
      <c r="AC12">
        <f>HYPERLINK("https://klasma.github.io/Logging_2183/tillsyn/A 20710-2023 tillsynsbegäran.docx", "A 20710-2023")</f>
        <v/>
      </c>
      <c r="AD12">
        <f>HYPERLINK("https://klasma.github.io/Logging_2183/tillsynsmail/A 20710-2023 tillsynsbegäran mail.docx", "A 20710-2023")</f>
        <v/>
      </c>
      <c r="AE12">
        <f>HYPERLINK("https://klasma.github.io/Logging_2183/fåglar/A 20710-2023 prioriterade fågelarter.docx", "A 20710-2023")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46296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46296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46296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46296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46296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46296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46296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46296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46296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46296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29712-2023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45107</v>
      </c>
      <c r="E23" s="1" t="n">
        <v>46296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Nordfladdermus</t>
        </is>
      </c>
      <c r="W23">
        <f>HYPERLINK("https://klasma.github.io/Logging_2183/artfynd/A 29712-2023 artfynd.xlsx", "A 29712-2023")</f>
        <v/>
      </c>
      <c r="X23">
        <f>HYPERLINK("https://klasma.github.io/Logging_2183/kartor/A 29712-2023 karta.png", "A 29712-2023")</f>
        <v/>
      </c>
      <c r="Y23">
        <f>HYPERLINK("https://klasma.github.io/Logging_2183/kartor_geotiff/A 29712-2023 georefererad karta.tif", "A 29712-2023")</f>
        <v/>
      </c>
      <c r="AA23">
        <f>HYPERLINK("https://klasma.github.io/Logging_2183/klagomål/A 29712-2023 FSC-klagomål.docx", "A 29712-2023")</f>
        <v/>
      </c>
      <c r="AB23">
        <f>HYPERLINK("https://klasma.github.io/Logging_2183/klagomålsmail/A 29712-2023 FSC-klagomål mail.docx", "A 29712-2023")</f>
        <v/>
      </c>
      <c r="AC23">
        <f>HYPERLINK("https://klasma.github.io/Logging_2183/tillsyn/A 29712-2023 tillsynsbegäran.docx", "A 29712-2023")</f>
        <v/>
      </c>
      <c r="AD23">
        <f>HYPERLINK("https://klasma.github.io/Logging_2183/tillsynsmail/A 29712-2023 tillsynsbegäran mail.docx", "A 29712-2023")</f>
        <v/>
      </c>
    </row>
    <row r="24" ht="15" customHeight="1">
      <c r="A24" t="inlineStr">
        <is>
          <t>A 5370-2025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45692</v>
      </c>
      <c r="E24" s="1" t="n">
        <v>46296</v>
      </c>
      <c r="F24" t="inlineStr">
        <is>
          <t>GÄVLEBORGS LÄN</t>
        </is>
      </c>
      <c r="G24" t="inlineStr">
        <is>
          <t>BOLLNÄS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HYPERLINK("https://klasma.github.io/Logging_2183/artfynd/A 5370-2025 artfynd.xlsx", "A 5370-2025")</f>
        <v/>
      </c>
      <c r="X24">
        <f>HYPERLINK("https://klasma.github.io/Logging_2183/kartor/A 5370-2025 karta.png", "A 5370-2025")</f>
        <v/>
      </c>
      <c r="Y24">
        <f>HYPERLINK("https://klasma.github.io/Logging_2183/kartor_geotiff/A 5370-2025 georefererad karta.tif", "A 5370-2025")</f>
        <v/>
      </c>
      <c r="AA24">
        <f>HYPERLINK("https://klasma.github.io/Logging_2183/klagomål/A 5370-2025 FSC-klagomål.docx", "A 5370-2025")</f>
        <v/>
      </c>
      <c r="AB24">
        <f>HYPERLINK("https://klasma.github.io/Logging_2183/klagomålsmail/A 5370-2025 FSC-klagomål mail.docx", "A 5370-2025")</f>
        <v/>
      </c>
      <c r="AC24">
        <f>HYPERLINK("https://klasma.github.io/Logging_2183/tillsyn/A 5370-2025 tillsynsbegäran.docx", "A 5370-2025")</f>
        <v/>
      </c>
      <c r="AD24">
        <f>HYPERLINK("https://klasma.github.io/Logging_2183/tillsynsmail/A 5370-2025 tillsynsbegäran mail.docx", "A 5370-2025")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46296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55048-2022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46296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55048-2022 artfynd.xlsx", "A 55048-2022")</f>
        <v/>
      </c>
      <c r="X26">
        <f>HYPERLINK("https://klasma.github.io/Logging_2183/kartor/A 55048-2022 karta.png", "A 55048-2022")</f>
        <v/>
      </c>
      <c r="Y26">
        <f>HYPERLINK("https://klasma.github.io/Logging_2183/kartor_geotiff/A 55048-2022 georefererad karta.tif", "A 55048-2022")</f>
        <v/>
      </c>
      <c r="AA26">
        <f>HYPERLINK("https://klasma.github.io/Logging_2183/klagomål/A 55048-2022 FSC-klagomål.docx", "A 55048-2022")</f>
        <v/>
      </c>
      <c r="AB26">
        <f>HYPERLINK("https://klasma.github.io/Logging_2183/klagomålsmail/A 55048-2022 FSC-klagomål mail.docx", "A 55048-2022")</f>
        <v/>
      </c>
      <c r="AC26">
        <f>HYPERLINK("https://klasma.github.io/Logging_2183/tillsyn/A 55048-2022 tillsynsbegäran.docx", "A 55048-2022")</f>
        <v/>
      </c>
      <c r="AD26">
        <f>HYPERLINK("https://klasma.github.io/Logging_2183/tillsynsmail/A 55048-2022 tillsynsbegäran mail.docx", "A 55048-2022")</f>
        <v/>
      </c>
    </row>
    <row r="27" ht="15" customHeight="1">
      <c r="A27" t="inlineStr">
        <is>
          <t>A 32754-2023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45123</v>
      </c>
      <c r="E27" s="1" t="n">
        <v>46296</v>
      </c>
      <c r="F27" t="inlineStr">
        <is>
          <t>GÄVLEBORGS LÄN</t>
        </is>
      </c>
      <c r="G27" t="inlineStr">
        <is>
          <t>BOLLNÄS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32754-2023 artfynd.xlsx", "A 32754-2023")</f>
        <v/>
      </c>
      <c r="X27">
        <f>HYPERLINK("https://klasma.github.io/Logging_2183/kartor/A 32754-2023 karta.png", "A 32754-2023")</f>
        <v/>
      </c>
      <c r="Y27">
        <f>HYPERLINK("https://klasma.github.io/Logging_2183/kartor_geotiff/A 32754-2023 georefererad karta.tif", "A 32754-2023")</f>
        <v/>
      </c>
      <c r="AA27">
        <f>HYPERLINK("https://klasma.github.io/Logging_2183/klagomål/A 32754-2023 FSC-klagomål.docx", "A 32754-2023")</f>
        <v/>
      </c>
      <c r="AB27">
        <f>HYPERLINK("https://klasma.github.io/Logging_2183/klagomålsmail/A 32754-2023 FSC-klagomål mail.docx", "A 32754-2023")</f>
        <v/>
      </c>
      <c r="AC27">
        <f>HYPERLINK("https://klasma.github.io/Logging_2183/tillsyn/A 32754-2023 tillsynsbegäran.docx", "A 32754-2023")</f>
        <v/>
      </c>
      <c r="AD27">
        <f>HYPERLINK("https://klasma.github.io/Logging_2183/tillsynsmail/A 32754-2023 tillsynsbegäran mail.docx", "A 32754-2023")</f>
        <v/>
      </c>
    </row>
    <row r="28" ht="15" customHeight="1">
      <c r="A28" t="inlineStr">
        <is>
          <t>A 22731-2022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44714</v>
      </c>
      <c r="E28" s="1" t="n">
        <v>46296</v>
      </c>
      <c r="F28" t="inlineStr">
        <is>
          <t>GÄVLEBORGS LÄN</t>
        </is>
      </c>
      <c r="G28" t="inlineStr">
        <is>
          <t>BOLLNÄS</t>
        </is>
      </c>
      <c r="I28" t="n">
        <v>3.1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Brunklöver</t>
        </is>
      </c>
      <c r="W28">
        <f>HYPERLINK("https://klasma.github.io/Logging_2183/artfynd/A 22731-2022 artfynd.xlsx", "A 22731-2022")</f>
        <v/>
      </c>
      <c r="X28">
        <f>HYPERLINK("https://klasma.github.io/Logging_2183/kartor/A 22731-2022 karta.png", "A 22731-2022")</f>
        <v/>
      </c>
      <c r="Y28">
        <f>HYPERLINK("https://klasma.github.io/Logging_2183/kartor_geotiff/A 22731-2022 georefererad karta.tif", "A 22731-2022")</f>
        <v/>
      </c>
      <c r="AA28">
        <f>HYPERLINK("https://klasma.github.io/Logging_2183/klagomål/A 22731-2022 FSC-klagomål.docx", "A 22731-2022")</f>
        <v/>
      </c>
      <c r="AB28">
        <f>HYPERLINK("https://klasma.github.io/Logging_2183/klagomålsmail/A 22731-2022 FSC-klagomål mail.docx", "A 22731-2022")</f>
        <v/>
      </c>
      <c r="AC28">
        <f>HYPERLINK("https://klasma.github.io/Logging_2183/tillsyn/A 22731-2022 tillsynsbegäran.docx", "A 22731-2022")</f>
        <v/>
      </c>
      <c r="AD28">
        <f>HYPERLINK("https://klasma.github.io/Logging_2183/tillsynsmail/A 22731-2022 tillsynsbegäran mail.docx", "A 22731-2022")</f>
        <v/>
      </c>
    </row>
    <row r="29" ht="15" customHeight="1">
      <c r="A29" t="inlineStr">
        <is>
          <t>A 54772-2022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46296</v>
      </c>
      <c r="F29" t="inlineStr">
        <is>
          <t>GÄVLEBORGS LÄN</t>
        </is>
      </c>
      <c r="G29" t="inlineStr">
        <is>
          <t>BOLLNÄS</t>
        </is>
      </c>
      <c r="I29" t="n">
        <v>12.5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Lavskrika</t>
        </is>
      </c>
      <c r="W29">
        <f>HYPERLINK("https://klasma.github.io/Logging_2183/artfynd/A 54772-2022 artfynd.xlsx", "A 54772-2022")</f>
        <v/>
      </c>
      <c r="X29">
        <f>HYPERLINK("https://klasma.github.io/Logging_2183/kartor/A 54772-2022 karta.png", "A 54772-2022")</f>
        <v/>
      </c>
      <c r="Y29">
        <f>HYPERLINK("https://klasma.github.io/Logging_2183/kartor_geotiff/A 54772-2022 georefererad karta.tif", "A 54772-2022")</f>
        <v/>
      </c>
      <c r="AA29">
        <f>HYPERLINK("https://klasma.github.io/Logging_2183/klagomål/A 54772-2022 FSC-klagomål.docx", "A 54772-2022")</f>
        <v/>
      </c>
      <c r="AB29">
        <f>HYPERLINK("https://klasma.github.io/Logging_2183/klagomålsmail/A 54772-2022 FSC-klagomål mail.docx", "A 54772-2022")</f>
        <v/>
      </c>
      <c r="AC29">
        <f>HYPERLINK("https://klasma.github.io/Logging_2183/tillsyn/A 54772-2022 tillsynsbegäran.docx", "A 54772-2022")</f>
        <v/>
      </c>
      <c r="AD29">
        <f>HYPERLINK("https://klasma.github.io/Logging_2183/tillsynsmail/A 54772-2022 tillsynsbegäran mail.docx", "A 54772-2022")</f>
        <v/>
      </c>
      <c r="AE29">
        <f>HYPERLINK("https://klasma.github.io/Logging_2183/fåglar/A 54772-2022 prioriterade fågelarter.docx", "A 54772-2022")</f>
        <v/>
      </c>
    </row>
    <row r="30" ht="15" customHeight="1">
      <c r="A30" t="inlineStr">
        <is>
          <t>A 12815-2025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46296</v>
      </c>
      <c r="F30" t="inlineStr">
        <is>
          <t>GÄVLEBORGS LÄN</t>
        </is>
      </c>
      <c r="G30" t="inlineStr">
        <is>
          <t>BOLLNÄS</t>
        </is>
      </c>
      <c r="I30" t="n">
        <v>2.9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Plattlummer</t>
        </is>
      </c>
      <c r="W30">
        <f>HYPERLINK("https://klasma.github.io/Logging_2183/artfynd/A 12815-2025 artfynd.xlsx", "A 12815-2025")</f>
        <v/>
      </c>
      <c r="X30">
        <f>HYPERLINK("https://klasma.github.io/Logging_2183/kartor/A 12815-2025 karta.png", "A 12815-2025")</f>
        <v/>
      </c>
      <c r="Y30">
        <f>HYPERLINK("https://klasma.github.io/Logging_2183/kartor_geotiff/A 12815-2025 georefererad karta.tif", "A 12815-2025")</f>
        <v/>
      </c>
      <c r="AA30">
        <f>HYPERLINK("https://klasma.github.io/Logging_2183/klagomål/A 12815-2025 FSC-klagomål.docx", "A 12815-2025")</f>
        <v/>
      </c>
      <c r="AB30">
        <f>HYPERLINK("https://klasma.github.io/Logging_2183/klagomålsmail/A 12815-2025 FSC-klagomål mail.docx", "A 12815-2025")</f>
        <v/>
      </c>
      <c r="AC30">
        <f>HYPERLINK("https://klasma.github.io/Logging_2183/tillsyn/A 12815-2025 tillsynsbegäran.docx", "A 12815-2025")</f>
        <v/>
      </c>
      <c r="AD30">
        <f>HYPERLINK("https://klasma.github.io/Logging_2183/tillsynsmail/A 12815-2025 tillsynsbegäran mail.docx", "A 12815-2025")</f>
        <v/>
      </c>
    </row>
    <row r="31" ht="15" customHeight="1">
      <c r="A31" t="inlineStr">
        <is>
          <t>A 12817-2025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46296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HYPERLINK("https://klasma.github.io/Logging_2183/artfynd/A 12817-2025 artfynd.xlsx", "A 12817-2025")</f>
        <v/>
      </c>
      <c r="X31">
        <f>HYPERLINK("https://klasma.github.io/Logging_2183/kartor/A 12817-2025 karta.png", "A 12817-2025")</f>
        <v/>
      </c>
      <c r="Y31">
        <f>HYPERLINK("https://klasma.github.io/Logging_2183/kartor_geotiff/A 12817-2025 georefererad karta.tif", "A 12817-2025")</f>
        <v/>
      </c>
      <c r="AA31">
        <f>HYPERLINK("https://klasma.github.io/Logging_2183/klagomål/A 12817-2025 FSC-klagomål.docx", "A 12817-2025")</f>
        <v/>
      </c>
      <c r="AB31">
        <f>HYPERLINK("https://klasma.github.io/Logging_2183/klagomålsmail/A 12817-2025 FSC-klagomål mail.docx", "A 12817-2025")</f>
        <v/>
      </c>
      <c r="AC31">
        <f>HYPERLINK("https://klasma.github.io/Logging_2183/tillsyn/A 12817-2025 tillsynsbegäran.docx", "A 12817-2025")</f>
        <v/>
      </c>
      <c r="AD31">
        <f>HYPERLINK("https://klasma.github.io/Logging_2183/tillsynsmail/A 12817-2025 tillsynsbegäran mail.docx", "A 12817-2025")</f>
        <v/>
      </c>
    </row>
    <row r="32" ht="15" customHeight="1">
      <c r="A32" t="inlineStr">
        <is>
          <t>A 38529-2022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44813</v>
      </c>
      <c r="E32" s="1" t="n">
        <v>46296</v>
      </c>
      <c r="F32" t="inlineStr">
        <is>
          <t>GÄVLEBORGS LÄN</t>
        </is>
      </c>
      <c r="G32" t="inlineStr">
        <is>
          <t>BOLLNÄS</t>
        </is>
      </c>
      <c r="I32" t="n">
        <v>0.9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Skrovlig taggsvamp</t>
        </is>
      </c>
      <c r="W32">
        <f>HYPERLINK("https://klasma.github.io/Logging_2183/artfynd/A 38529-2022 artfynd.xlsx", "A 38529-2022")</f>
        <v/>
      </c>
      <c r="X32">
        <f>HYPERLINK("https://klasma.github.io/Logging_2183/kartor/A 38529-2022 karta.png", "A 38529-2022")</f>
        <v/>
      </c>
      <c r="Y32">
        <f>HYPERLINK("https://klasma.github.io/Logging_2183/kartor_geotiff/A 38529-2022 georefererad karta.tif", "A 38529-2022")</f>
        <v/>
      </c>
      <c r="AA32">
        <f>HYPERLINK("https://klasma.github.io/Logging_2183/klagomål/A 38529-2022 FSC-klagomål.docx", "A 38529-2022")</f>
        <v/>
      </c>
      <c r="AB32">
        <f>HYPERLINK("https://klasma.github.io/Logging_2183/klagomålsmail/A 38529-2022 FSC-klagomål mail.docx", "A 38529-2022")</f>
        <v/>
      </c>
      <c r="AC32">
        <f>HYPERLINK("https://klasma.github.io/Logging_2183/tillsyn/A 38529-2022 tillsynsbegäran.docx", "A 38529-2022")</f>
        <v/>
      </c>
      <c r="AD32">
        <f>HYPERLINK("https://klasma.github.io/Logging_2183/tillsynsmail/A 38529-2022 tillsynsbegäran mail.docx", "A 38529-2022")</f>
        <v/>
      </c>
    </row>
    <row r="33" ht="15" customHeight="1">
      <c r="A33" t="inlineStr">
        <is>
          <t>A 32411-2025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46296</v>
      </c>
      <c r="F33" t="inlineStr">
        <is>
          <t>GÄVLEBORGS LÄN</t>
        </is>
      </c>
      <c r="G33" t="inlineStr">
        <is>
          <t>BOLLNÄS</t>
        </is>
      </c>
      <c r="H33" t="inlineStr">
        <is>
          <t>Bergvik skog väst AB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HYPERLINK("https://klasma.github.io/Logging_2183/artfynd/A 32411-2025 artfynd.xlsx", "A 32411-2025")</f>
        <v/>
      </c>
      <c r="X33">
        <f>HYPERLINK("https://klasma.github.io/Logging_2183/kartor/A 32411-2025 karta.png", "A 32411-2025")</f>
        <v/>
      </c>
      <c r="Y33">
        <f>HYPERLINK("https://klasma.github.io/Logging_2183/kartor_geotiff/A 32411-2025 georefererad karta.tif", "A 32411-2025")</f>
        <v/>
      </c>
      <c r="AA33">
        <f>HYPERLINK("https://klasma.github.io/Logging_2183/klagomål/A 32411-2025 FSC-klagomål.docx", "A 32411-2025")</f>
        <v/>
      </c>
      <c r="AB33">
        <f>HYPERLINK("https://klasma.github.io/Logging_2183/klagomålsmail/A 32411-2025 FSC-klagomål mail.docx", "A 32411-2025")</f>
        <v/>
      </c>
      <c r="AC33">
        <f>HYPERLINK("https://klasma.github.io/Logging_2183/tillsyn/A 32411-2025 tillsynsbegäran.docx", "A 32411-2025")</f>
        <v/>
      </c>
      <c r="AD33">
        <f>HYPERLINK("https://klasma.github.io/Logging_2183/tillsynsmail/A 32411-2025 tillsynsbegäran mail.docx", "A 32411-2025")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46296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46997-2025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46296</v>
      </c>
      <c r="F35" t="inlineStr">
        <is>
          <t>GÄVLEBORGS LÄN</t>
        </is>
      </c>
      <c r="G35" t="inlineStr">
        <is>
          <t>BOLLNÄS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46997-2025 artfynd.xlsx", "A 46997-2025")</f>
        <v/>
      </c>
      <c r="X35">
        <f>HYPERLINK("https://klasma.github.io/Logging_2183/kartor/A 46997-2025 karta.png", "A 46997-2025")</f>
        <v/>
      </c>
      <c r="Y35">
        <f>HYPERLINK("https://klasma.github.io/Logging_2183/kartor_geotiff/A 46997-2025 georefererad karta.tif", "A 46997-2025")</f>
        <v/>
      </c>
      <c r="AA35">
        <f>HYPERLINK("https://klasma.github.io/Logging_2183/klagomål/A 46997-2025 FSC-klagomål.docx", "A 46997-2025")</f>
        <v/>
      </c>
      <c r="AB35">
        <f>HYPERLINK("https://klasma.github.io/Logging_2183/klagomålsmail/A 46997-2025 FSC-klagomål mail.docx", "A 46997-2025")</f>
        <v/>
      </c>
      <c r="AC35">
        <f>HYPERLINK("https://klasma.github.io/Logging_2183/tillsyn/A 46997-2025 tillsynsbegäran.docx", "A 46997-2025")</f>
        <v/>
      </c>
      <c r="AD35">
        <f>HYPERLINK("https://klasma.github.io/Logging_2183/tillsynsmail/A 46997-2025 tillsynsbegäran mail.docx", "A 46997-2025")</f>
        <v/>
      </c>
    </row>
    <row r="36" ht="15" customHeight="1">
      <c r="A36" t="inlineStr">
        <is>
          <t>A 47000-2025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46296</v>
      </c>
      <c r="F36" t="inlineStr">
        <is>
          <t>GÄVLEBORGS LÄN</t>
        </is>
      </c>
      <c r="G36" t="inlineStr">
        <is>
          <t>BOLLNÄS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HYPERLINK("https://klasma.github.io/Logging_2183/artfynd/A 47000-2025 artfynd.xlsx", "A 47000-2025")</f>
        <v/>
      </c>
      <c r="X36">
        <f>HYPERLINK("https://klasma.github.io/Logging_2183/kartor/A 47000-2025 karta.png", "A 47000-2025")</f>
        <v/>
      </c>
      <c r="Y36">
        <f>HYPERLINK("https://klasma.github.io/Logging_2183/kartor_geotiff/A 47000-2025 georefererad karta.tif", "A 47000-2025")</f>
        <v/>
      </c>
      <c r="AA36">
        <f>HYPERLINK("https://klasma.github.io/Logging_2183/klagomål/A 47000-2025 FSC-klagomål.docx", "A 47000-2025")</f>
        <v/>
      </c>
      <c r="AB36">
        <f>HYPERLINK("https://klasma.github.io/Logging_2183/klagomålsmail/A 47000-2025 FSC-klagomål mail.docx", "A 47000-2025")</f>
        <v/>
      </c>
      <c r="AC36">
        <f>HYPERLINK("https://klasma.github.io/Logging_2183/tillsyn/A 47000-2025 tillsynsbegäran.docx", "A 47000-2025")</f>
        <v/>
      </c>
      <c r="AD36">
        <f>HYPERLINK("https://klasma.github.io/Logging_2183/tillsynsmail/A 47000-2025 tillsynsbegäran mail.docx", "A 47000-2025")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46296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Flodkräfta</t>
        </is>
      </c>
      <c r="W37">
        <f>HYPERLINK("https://klasma.github.io/Logging_2183/artfynd/A 3140-2026 artfynd.xlsx", "A 3140-2026")</f>
        <v/>
      </c>
      <c r="X37">
        <f>HYPERLINK("https://klasma.github.io/Logging_2183/kartor/A 3140-2026 karta.png", "A 3140-2026")</f>
        <v/>
      </c>
      <c r="Y37">
        <f>HYPERLINK("https://klasma.github.io/Logging_2183/kartor_geotiff/A 3140-2026 georefererad karta.tif", "A 3140-2026")</f>
        <v/>
      </c>
      <c r="AA37">
        <f>HYPERLINK("https://klasma.github.io/Logging_2183/klagomål/A 3140-2026 FSC-klagomål.docx", "A 3140-2026")</f>
        <v/>
      </c>
      <c r="AB37">
        <f>HYPERLINK("https://klasma.github.io/Logging_2183/klagomålsmail/A 3140-2026 FSC-klagomål mail.docx", "A 3140-2026")</f>
        <v/>
      </c>
      <c r="AC37">
        <f>HYPERLINK("https://klasma.github.io/Logging_2183/tillsyn/A 3140-2026 tillsynsbegäran.docx", "A 3140-2026")</f>
        <v/>
      </c>
      <c r="AD37">
        <f>HYPERLINK("https://klasma.github.io/Logging_2183/tillsynsmail/A 3140-2026 tillsynsbegäran mail.docx", "A 3140-2026")</f>
        <v/>
      </c>
    </row>
    <row r="38" ht="15" customHeight="1">
      <c r="A38" t="inlineStr">
        <is>
          <t>A 5130-2026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46296</v>
      </c>
      <c r="F38" t="inlineStr">
        <is>
          <t>GÄVLEBORGS LÄN</t>
        </is>
      </c>
      <c r="G38" t="inlineStr">
        <is>
          <t>BOLLNÄS</t>
        </is>
      </c>
      <c r="I38" t="n">
        <v>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HYPERLINK("https://klasma.github.io/Logging_2183/artfynd/A 5130-2026 artfynd.xlsx", "A 5130-2026")</f>
        <v/>
      </c>
      <c r="X38">
        <f>HYPERLINK("https://klasma.github.io/Logging_2183/kartor/A 5130-2026 karta.png", "A 5130-2026")</f>
        <v/>
      </c>
      <c r="Y38">
        <f>HYPERLINK("https://klasma.github.io/Logging_2183/kartor_geotiff/A 5130-2026 georefererad karta.tif", "A 5130-2026")</f>
        <v/>
      </c>
      <c r="AA38">
        <f>HYPERLINK("https://klasma.github.io/Logging_2183/klagomål/A 5130-2026 FSC-klagomål.docx", "A 5130-2026")</f>
        <v/>
      </c>
      <c r="AB38">
        <f>HYPERLINK("https://klasma.github.io/Logging_2183/klagomålsmail/A 5130-2026 FSC-klagomål mail.docx", "A 5130-2026")</f>
        <v/>
      </c>
      <c r="AC38">
        <f>HYPERLINK("https://klasma.github.io/Logging_2183/tillsyn/A 5130-2026 tillsynsbegäran.docx", "A 5130-2026")</f>
        <v/>
      </c>
      <c r="AD38">
        <f>HYPERLINK("https://klasma.github.io/Logging_2183/tillsynsmail/A 5130-2026 tillsynsbegäran mail.docx", "A 5130-2026")</f>
        <v/>
      </c>
    </row>
    <row r="39" ht="15" customHeight="1">
      <c r="A39" t="inlineStr">
        <is>
          <t>A 8200-2026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46296</v>
      </c>
      <c r="F39" t="inlineStr">
        <is>
          <t>GÄVLEBORGS LÄN</t>
        </is>
      </c>
      <c r="G39" t="inlineStr">
        <is>
          <t>BOLLNÄS</t>
        </is>
      </c>
      <c r="I39" t="n">
        <v>28.4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Nordfladdermus</t>
        </is>
      </c>
      <c r="W39">
        <f>HYPERLINK("https://klasma.github.io/Logging_2183/artfynd/A 8200-2026 artfynd.xlsx", "A 8200-2026")</f>
        <v/>
      </c>
      <c r="X39">
        <f>HYPERLINK("https://klasma.github.io/Logging_2183/kartor/A 8200-2026 karta.png", "A 8200-2026")</f>
        <v/>
      </c>
      <c r="Y39">
        <f>HYPERLINK("https://klasma.github.io/Logging_2183/kartor_geotiff/A 8200-2026 georefererad karta.tif", "A 8200-2026")</f>
        <v/>
      </c>
      <c r="AA39">
        <f>HYPERLINK("https://klasma.github.io/Logging_2183/klagomål/A 8200-2026 FSC-klagomål.docx", "A 8200-2026")</f>
        <v/>
      </c>
      <c r="AB39">
        <f>HYPERLINK("https://klasma.github.io/Logging_2183/klagomålsmail/A 8200-2026 FSC-klagomål mail.docx", "A 8200-2026")</f>
        <v/>
      </c>
      <c r="AC39">
        <f>HYPERLINK("https://klasma.github.io/Logging_2183/tillsyn/A 8200-2026 tillsynsbegäran.docx", "A 8200-2026")</f>
        <v/>
      </c>
      <c r="AD39">
        <f>HYPERLINK("https://klasma.github.io/Logging_2183/tillsynsmail/A 8200-2026 tillsynsbegäran mail.docx", "A 8200-2026")</f>
        <v/>
      </c>
    </row>
    <row r="40" ht="15" customHeight="1">
      <c r="A40" t="inlineStr">
        <is>
          <t>A 12962-2026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46296</v>
      </c>
      <c r="F40" t="inlineStr">
        <is>
          <t>GÄVLEBORGS LÄN</t>
        </is>
      </c>
      <c r="G40" t="inlineStr">
        <is>
          <t>BOLLNÄS</t>
        </is>
      </c>
      <c r="I40" t="n">
        <v>0.6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Ryl</t>
        </is>
      </c>
      <c r="W40">
        <f>HYPERLINK("https://klasma.github.io/Logging_2183/artfynd/A 12962-2026 artfynd.xlsx", "A 12962-2026")</f>
        <v/>
      </c>
      <c r="X40">
        <f>HYPERLINK("https://klasma.github.io/Logging_2183/kartor/A 12962-2026 karta.png", "A 12962-2026")</f>
        <v/>
      </c>
      <c r="Y40">
        <f>HYPERLINK("https://klasma.github.io/Logging_2183/kartor_geotiff/A 12962-2026 georefererad karta.tif", "A 12962-2026")</f>
        <v/>
      </c>
      <c r="AA40">
        <f>HYPERLINK("https://klasma.github.io/Logging_2183/klagomål/A 12962-2026 FSC-klagomål.docx", "A 12962-2026")</f>
        <v/>
      </c>
      <c r="AB40">
        <f>HYPERLINK("https://klasma.github.io/Logging_2183/klagomålsmail/A 12962-2026 FSC-klagomål mail.docx", "A 12962-2026")</f>
        <v/>
      </c>
      <c r="AC40">
        <f>HYPERLINK("https://klasma.github.io/Logging_2183/tillsyn/A 12962-2026 tillsynsbegäran.docx", "A 12962-2026")</f>
        <v/>
      </c>
      <c r="AD40">
        <f>HYPERLINK("https://klasma.github.io/Logging_2183/tillsynsmail/A 12962-2026 tillsynsbegäran mail.docx", "A 12962-2026")</f>
        <v/>
      </c>
    </row>
    <row r="41" ht="15" customHeight="1">
      <c r="A41" t="inlineStr">
        <is>
          <t>A 14438-2026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46296</v>
      </c>
      <c r="F41" t="inlineStr">
        <is>
          <t>GÄVLEBORGS LÄN</t>
        </is>
      </c>
      <c r="G41" t="inlineStr">
        <is>
          <t>BOLLNÄS</t>
        </is>
      </c>
      <c r="I41" t="n">
        <v>26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Dofttaggsvamp</t>
        </is>
      </c>
      <c r="W41">
        <f>HYPERLINK("https://klasma.github.io/Logging_2183/artfynd/A 14438-2026 artfynd.xlsx", "A 14438-2026")</f>
        <v/>
      </c>
      <c r="X41">
        <f>HYPERLINK("https://klasma.github.io/Logging_2183/kartor/A 14438-2026 karta.png", "A 14438-2026")</f>
        <v/>
      </c>
      <c r="Y41">
        <f>HYPERLINK("https://klasma.github.io/Logging_2183/kartor_geotiff/A 14438-2026 georefererad karta.tif", "A 14438-2026")</f>
        <v/>
      </c>
      <c r="AA41">
        <f>HYPERLINK("https://klasma.github.io/Logging_2183/klagomål/A 14438-2026 FSC-klagomål.docx", "A 14438-2026")</f>
        <v/>
      </c>
      <c r="AB41">
        <f>HYPERLINK("https://klasma.github.io/Logging_2183/klagomålsmail/A 14438-2026 FSC-klagomål mail.docx", "A 14438-2026")</f>
        <v/>
      </c>
      <c r="AC41">
        <f>HYPERLINK("https://klasma.github.io/Logging_2183/tillsyn/A 14438-2026 tillsynsbegäran.docx", "A 14438-2026")</f>
        <v/>
      </c>
      <c r="AD41">
        <f>HYPERLINK("https://klasma.github.io/Logging_2183/tillsynsmail/A 14438-2026 tillsynsbegäran mail.docx", "A 14438-2026")</f>
        <v/>
      </c>
    </row>
    <row r="42" ht="15" customHeight="1">
      <c r="A42" t="inlineStr">
        <is>
          <t>A 19648-2026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46296</v>
      </c>
      <c r="F42" t="inlineStr">
        <is>
          <t>GÄVLEBORGS LÄN</t>
        </is>
      </c>
      <c r="G42" t="inlineStr">
        <is>
          <t>BOLLNÄS</t>
        </is>
      </c>
      <c r="I42" t="n">
        <v>3.4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Lappuggla</t>
        </is>
      </c>
      <c r="W42">
        <f>HYPERLINK("https://klasma.github.io/Logging_2183/artfynd/A 19648-2026 artfynd.xlsx", "A 19648-2026")</f>
        <v/>
      </c>
      <c r="X42">
        <f>HYPERLINK("https://klasma.github.io/Logging_2183/kartor/A 19648-2026 karta.png", "A 19648-2026")</f>
        <v/>
      </c>
      <c r="Y42">
        <f>HYPERLINK("https://klasma.github.io/Logging_2183/kartor_geotiff/A 19648-2026 georefererad karta.tif", "A 19648-2026")</f>
        <v/>
      </c>
      <c r="AA42">
        <f>HYPERLINK("https://klasma.github.io/Logging_2183/klagomål/A 19648-2026 FSC-klagomål.docx", "A 19648-2026")</f>
        <v/>
      </c>
      <c r="AB42">
        <f>HYPERLINK("https://klasma.github.io/Logging_2183/klagomålsmail/A 19648-2026 FSC-klagomål mail.docx", "A 19648-2026")</f>
        <v/>
      </c>
      <c r="AC42">
        <f>HYPERLINK("https://klasma.github.io/Logging_2183/tillsyn/A 19648-2026 tillsynsbegäran.docx", "A 19648-2026")</f>
        <v/>
      </c>
      <c r="AD42">
        <f>HYPERLINK("https://klasma.github.io/Logging_2183/tillsynsmail/A 19648-2026 tillsynsbegäran mail.docx", "A 19648-2026")</f>
        <v/>
      </c>
      <c r="AE42">
        <f>HYPERLINK("https://klasma.github.io/Logging_2183/fåglar/A 19648-2026 prioriterade fågelarter.docx", "A 19648-2026")</f>
        <v/>
      </c>
    </row>
    <row r="43" ht="15" customHeight="1">
      <c r="A43" t="inlineStr">
        <is>
          <t>A 3090-2026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46040</v>
      </c>
      <c r="E43" s="1" t="n">
        <v>46296</v>
      </c>
      <c r="F43" t="inlineStr">
        <is>
          <t>GÄVLEBORGS LÄN</t>
        </is>
      </c>
      <c r="G43" t="inlineStr">
        <is>
          <t>BOLLNÄS</t>
        </is>
      </c>
      <c r="I43" t="n">
        <v>11.8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HYPERLINK("https://klasma.github.io/Logging_2183/artfynd/A 3090-2026 artfynd.xlsx", "A 3090-2026")</f>
        <v/>
      </c>
      <c r="X43">
        <f>HYPERLINK("https://klasma.github.io/Logging_2183/kartor/A 3090-2026 karta.png", "A 3090-2026")</f>
        <v/>
      </c>
      <c r="Y43">
        <f>HYPERLINK("https://klasma.github.io/Logging_2183/kartor_geotiff/A 3090-2026 georefererad karta.tif", "A 3090-2026")</f>
        <v/>
      </c>
      <c r="AA43">
        <f>HYPERLINK("https://klasma.github.io/Logging_2183/klagomål/A 3090-2026 FSC-klagomål.docx", "A 3090-2026")</f>
        <v/>
      </c>
      <c r="AB43">
        <f>HYPERLINK("https://klasma.github.io/Logging_2183/klagomålsmail/A 3090-2026 FSC-klagomål mail.docx", "A 3090-2026")</f>
        <v/>
      </c>
      <c r="AC43">
        <f>HYPERLINK("https://klasma.github.io/Logging_2183/tillsyn/A 3090-2026 tillsynsbegäran.docx", "A 3090-2026")</f>
        <v/>
      </c>
      <c r="AD43">
        <f>HYPERLINK("https://klasma.github.io/Logging_2183/tillsynsmail/A 3090-2026 tillsynsbegäran mail.docx", "A 3090-2026")</f>
        <v/>
      </c>
      <c r="AE43">
        <f>HYPERLINK("https://klasma.github.io/Logging_2183/fåglar/A 3090-2026 prioriterade fågelarter.docx", "A 3090-2026")</f>
        <v/>
      </c>
    </row>
    <row r="44" ht="15" customHeight="1">
      <c r="A44" t="inlineStr">
        <is>
          <t>A 14979-2026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46296</v>
      </c>
      <c r="F44" t="inlineStr">
        <is>
          <t>GÄVLEBORGS LÄN</t>
        </is>
      </c>
      <c r="G44" t="inlineStr">
        <is>
          <t>BOLLNÄS</t>
        </is>
      </c>
      <c r="I44" t="n">
        <v>25.1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HYPERLINK("https://klasma.github.io/Logging_2183/artfynd/A 14979-2026 artfynd.xlsx", "A 14979-2026")</f>
        <v/>
      </c>
      <c r="X44">
        <f>HYPERLINK("https://klasma.github.io/Logging_2183/kartor/A 14979-2026 karta.png", "A 14979-2026")</f>
        <v/>
      </c>
      <c r="Y44">
        <f>HYPERLINK("https://klasma.github.io/Logging_2183/kartor_geotiff/A 14979-2026 georefererad karta.tif", "A 14979-2026")</f>
        <v/>
      </c>
      <c r="AA44">
        <f>HYPERLINK("https://klasma.github.io/Logging_2183/klagomål/A 14979-2026 FSC-klagomål.docx", "A 14979-2026")</f>
        <v/>
      </c>
      <c r="AB44">
        <f>HYPERLINK("https://klasma.github.io/Logging_2183/klagomålsmail/A 14979-2026 FSC-klagomål mail.docx", "A 14979-2026")</f>
        <v/>
      </c>
      <c r="AC44">
        <f>HYPERLINK("https://klasma.github.io/Logging_2183/tillsyn/A 14979-2026 tillsynsbegäran.docx", "A 14979-2026")</f>
        <v/>
      </c>
      <c r="AD44">
        <f>HYPERLINK("https://klasma.github.io/Logging_2183/tillsynsmail/A 14979-2026 tillsynsbegäran mail.docx", "A 14979-2026")</f>
        <v/>
      </c>
    </row>
    <row r="45" ht="15" customHeight="1">
      <c r="A45" t="inlineStr">
        <is>
          <t>A 510-2026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46296</v>
      </c>
      <c r="F45" t="inlineStr">
        <is>
          <t>GÄVLEBORGS LÄN</t>
        </is>
      </c>
      <c r="G45" t="inlineStr">
        <is>
          <t>BOLLNÄS</t>
        </is>
      </c>
      <c r="I45" t="n">
        <v>2.1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HYPERLINK("https://klasma.github.io/Logging_2183/artfynd/A 510-2026 artfynd.xlsx", "A 510-2026")</f>
        <v/>
      </c>
      <c r="X45">
        <f>HYPERLINK("https://klasma.github.io/Logging_2183/kartor/A 510-2026 karta.png", "A 510-2026")</f>
        <v/>
      </c>
      <c r="Y45">
        <f>HYPERLINK("https://klasma.github.io/Logging_2183/kartor_geotiff/A 510-2026 georefererad karta.tif", "A 510-2026")</f>
        <v/>
      </c>
      <c r="AA45">
        <f>HYPERLINK("https://klasma.github.io/Logging_2183/klagomål/A 510-2026 FSC-klagomål.docx", "A 510-2026")</f>
        <v/>
      </c>
      <c r="AB45">
        <f>HYPERLINK("https://klasma.github.io/Logging_2183/klagomålsmail/A 510-2026 FSC-klagomål mail.docx", "A 510-2026")</f>
        <v/>
      </c>
      <c r="AC45">
        <f>HYPERLINK("https://klasma.github.io/Logging_2183/tillsyn/A 510-2026 tillsynsbegäran.docx", "A 510-2026")</f>
        <v/>
      </c>
      <c r="AD45">
        <f>HYPERLINK("https://klasma.github.io/Logging_2183/tillsynsmail/A 510-2026 tillsynsbegäran mail.docx", "A 510-2026")</f>
        <v/>
      </c>
      <c r="AE45">
        <f>HYPERLINK("https://klasma.github.io/Logging_2183/fåglar/A 510-2026 prioriterade fågelarter.docx", "A 510-2026")</f>
        <v/>
      </c>
    </row>
    <row r="46" ht="15" customHeight="1">
      <c r="A46" t="inlineStr">
        <is>
          <t>A 13034-2026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46093</v>
      </c>
      <c r="E46" s="1" t="n">
        <v>46296</v>
      </c>
      <c r="F46" t="inlineStr">
        <is>
          <t>GÄVLEBORGS LÄN</t>
        </is>
      </c>
      <c r="G46" t="inlineStr">
        <is>
          <t>BOLLNÄS</t>
        </is>
      </c>
      <c r="I46" t="n">
        <v>0.8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Skogsfru</t>
        </is>
      </c>
      <c r="W46">
        <f>HYPERLINK("https://klasma.github.io/Logging_2183/artfynd/A 13034-2026 artfynd.xlsx", "A 13034-2026")</f>
        <v/>
      </c>
      <c r="X46">
        <f>HYPERLINK("https://klasma.github.io/Logging_2183/kartor/A 13034-2026 karta.png", "A 13034-2026")</f>
        <v/>
      </c>
      <c r="Y46">
        <f>HYPERLINK("https://klasma.github.io/Logging_2183/kartor_geotiff/A 13034-2026 georefererad karta.tif", "A 13034-2026")</f>
        <v/>
      </c>
      <c r="AA46">
        <f>HYPERLINK("https://klasma.github.io/Logging_2183/klagomål/A 13034-2026 FSC-klagomål.docx", "A 13034-2026")</f>
        <v/>
      </c>
      <c r="AB46">
        <f>HYPERLINK("https://klasma.github.io/Logging_2183/klagomålsmail/A 13034-2026 FSC-klagomål mail.docx", "A 13034-2026")</f>
        <v/>
      </c>
      <c r="AC46">
        <f>HYPERLINK("https://klasma.github.io/Logging_2183/tillsyn/A 13034-2026 tillsynsbegäran.docx", "A 13034-2026")</f>
        <v/>
      </c>
      <c r="AD46">
        <f>HYPERLINK("https://klasma.github.io/Logging_2183/tillsynsmail/A 13034-2026 tillsynsbegäran mail.docx", "A 13034-2026")</f>
        <v/>
      </c>
    </row>
    <row r="47" ht="15" customHeight="1">
      <c r="A47" t="inlineStr">
        <is>
          <t>A 41663-2025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45902</v>
      </c>
      <c r="E47" s="1" t="n">
        <v>46296</v>
      </c>
      <c r="F47" t="inlineStr">
        <is>
          <t>GÄVLEBORGS LÄN</t>
        </is>
      </c>
      <c r="G47" t="inlineStr">
        <is>
          <t>BOLLNÄS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HYPERLINK("https://klasma.github.io/Logging_2183/artfynd/A 41663-2025 artfynd.xlsx", "A 41663-2025")</f>
        <v/>
      </c>
      <c r="X47">
        <f>HYPERLINK("https://klasma.github.io/Logging_2183/kartor/A 41663-2025 karta.png", "A 41663-2025")</f>
        <v/>
      </c>
      <c r="Y47">
        <f>HYPERLINK("https://klasma.github.io/Logging_2183/kartor_geotiff/A 41663-2025 georefererad karta.tif", "A 41663-2025")</f>
        <v/>
      </c>
      <c r="AA47">
        <f>HYPERLINK("https://klasma.github.io/Logging_2183/klagomål/A 41663-2025 FSC-klagomål.docx", "A 41663-2025")</f>
        <v/>
      </c>
      <c r="AB47">
        <f>HYPERLINK("https://klasma.github.io/Logging_2183/klagomålsmail/A 41663-2025 FSC-klagomål mail.docx", "A 41663-2025")</f>
        <v/>
      </c>
      <c r="AC47">
        <f>HYPERLINK("https://klasma.github.io/Logging_2183/tillsyn/A 41663-2025 tillsynsbegäran.docx", "A 41663-2025")</f>
        <v/>
      </c>
      <c r="AD47">
        <f>HYPERLINK("https://klasma.github.io/Logging_2183/tillsynsmail/A 41663-2025 tillsynsbegäran mail.docx", "A 41663-2025")</f>
        <v/>
      </c>
    </row>
    <row r="48" ht="15" customHeight="1">
      <c r="A48" t="inlineStr">
        <is>
          <t>A 24035-2026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46296</v>
      </c>
      <c r="F48" t="inlineStr">
        <is>
          <t>GÄVLEBORGS LÄN</t>
        </is>
      </c>
      <c r="G48" t="inlineStr">
        <is>
          <t>BOLLNÄS</t>
        </is>
      </c>
      <c r="H48" t="inlineStr">
        <is>
          <t>Bergvik skog väst AB</t>
        </is>
      </c>
      <c r="I48" t="n">
        <v>14.6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HYPERLINK("https://klasma.github.io/Logging_2183/artfynd/A 24035-2026 artfynd.xlsx", "A 24035-2026")</f>
        <v/>
      </c>
      <c r="X48">
        <f>HYPERLINK("https://klasma.github.io/Logging_2183/kartor/A 24035-2026 karta.png", "A 24035-2026")</f>
        <v/>
      </c>
      <c r="Y48">
        <f>HYPERLINK("https://klasma.github.io/Logging_2183/kartor_geotiff/A 24035-2026 georefererad karta.tif", "A 24035-2026")</f>
        <v/>
      </c>
      <c r="AA48">
        <f>HYPERLINK("https://klasma.github.io/Logging_2183/klagomål/A 24035-2026 FSC-klagomål.docx", "A 24035-2026")</f>
        <v/>
      </c>
      <c r="AB48">
        <f>HYPERLINK("https://klasma.github.io/Logging_2183/klagomålsmail/A 24035-2026 FSC-klagomål mail.docx", "A 24035-2026")</f>
        <v/>
      </c>
      <c r="AC48">
        <f>HYPERLINK("https://klasma.github.io/Logging_2183/tillsyn/A 24035-2026 tillsynsbegäran.docx", "A 24035-2026")</f>
        <v/>
      </c>
      <c r="AD48">
        <f>HYPERLINK("https://klasma.github.io/Logging_2183/tillsynsmail/A 24035-2026 tillsynsbegäran mail.docx", "A 24035-2026")</f>
        <v/>
      </c>
    </row>
    <row r="49" ht="15" customHeight="1">
      <c r="A49" t="inlineStr">
        <is>
          <t>A 16124-2026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46108</v>
      </c>
      <c r="E49" s="1" t="n">
        <v>46296</v>
      </c>
      <c r="F49" t="inlineStr">
        <is>
          <t>GÄVLEBORGS LÄN</t>
        </is>
      </c>
      <c r="G49" t="inlineStr">
        <is>
          <t>BOLLNÄS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Tallgråticka</t>
        </is>
      </c>
      <c r="W49">
        <f>HYPERLINK("https://klasma.github.io/Logging_2183/artfynd/A 16124-2026 artfynd.xlsx", "A 16124-2026")</f>
        <v/>
      </c>
      <c r="X49">
        <f>HYPERLINK("https://klasma.github.io/Logging_2183/kartor/A 16124-2026 karta.png", "A 16124-2026")</f>
        <v/>
      </c>
      <c r="Y49">
        <f>HYPERLINK("https://klasma.github.io/Logging_2183/kartor_geotiff/A 16124-2026 georefererad karta.tif", "A 16124-2026")</f>
        <v/>
      </c>
      <c r="AA49">
        <f>HYPERLINK("https://klasma.github.io/Logging_2183/klagomål/A 16124-2026 FSC-klagomål.docx", "A 16124-2026")</f>
        <v/>
      </c>
      <c r="AB49">
        <f>HYPERLINK("https://klasma.github.io/Logging_2183/klagomålsmail/A 16124-2026 FSC-klagomål mail.docx", "A 16124-2026")</f>
        <v/>
      </c>
      <c r="AC49">
        <f>HYPERLINK("https://klasma.github.io/Logging_2183/tillsyn/A 16124-2026 tillsynsbegäran.docx", "A 16124-2026")</f>
        <v/>
      </c>
      <c r="AD49">
        <f>HYPERLINK("https://klasma.github.io/Logging_2183/tillsynsmail/A 16124-2026 tillsynsbegäran mail.docx", "A 16124-2026")</f>
        <v/>
      </c>
    </row>
    <row r="50" ht="15" customHeight="1">
      <c r="A50" t="inlineStr">
        <is>
          <t>A 35088-2026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46260</v>
      </c>
      <c r="E50" s="1" t="n">
        <v>46296</v>
      </c>
      <c r="F50" t="inlineStr">
        <is>
          <t>GÄVLEBORGS LÄN</t>
        </is>
      </c>
      <c r="G50" t="inlineStr">
        <is>
          <t>BOLLNÄS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Skogsfru</t>
        </is>
      </c>
      <c r="W50">
        <f>HYPERLINK("https://klasma.github.io/Logging_2183/artfynd/A 35088-2026 artfynd.xlsx", "A 35088-2026")</f>
        <v/>
      </c>
      <c r="X50">
        <f>HYPERLINK("https://klasma.github.io/Logging_2183/kartor/A 35088-2026 karta.png", "A 35088-2026")</f>
        <v/>
      </c>
      <c r="Y50">
        <f>HYPERLINK("https://klasma.github.io/Logging_2183/kartor_geotiff/A 35088-2026 georefererad karta.tif", "A 35088-2026")</f>
        <v/>
      </c>
      <c r="AA50">
        <f>HYPERLINK("https://klasma.github.io/Logging_2183/klagomål/A 35088-2026 FSC-klagomål.docx", "A 35088-2026")</f>
        <v/>
      </c>
      <c r="AB50">
        <f>HYPERLINK("https://klasma.github.io/Logging_2183/klagomålsmail/A 35088-2026 FSC-klagomål mail.docx", "A 35088-2026")</f>
        <v/>
      </c>
      <c r="AC50">
        <f>HYPERLINK("https://klasma.github.io/Logging_2183/tillsyn/A 35088-2026 tillsynsbegäran.docx", "A 35088-2026")</f>
        <v/>
      </c>
      <c r="AD50">
        <f>HYPERLINK("https://klasma.github.io/Logging_2183/tillsynsmail/A 35088-2026 tillsynsbegäran mail.docx", "A 35088-2026")</f>
        <v/>
      </c>
    </row>
    <row r="51" ht="15" customHeight="1">
      <c r="A51" t="inlineStr">
        <is>
          <t>A 33032-2026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46244</v>
      </c>
      <c r="E51" s="1" t="n">
        <v>46296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Lunglav</t>
        </is>
      </c>
      <c r="W51">
        <f>HYPERLINK("https://klasma.github.io/Logging_2183/artfynd/A 33032-2026 artfynd.xlsx", "A 33032-2026")</f>
        <v/>
      </c>
      <c r="X51">
        <f>HYPERLINK("https://klasma.github.io/Logging_2183/kartor/A 33032-2026 karta.png", "A 33032-2026")</f>
        <v/>
      </c>
      <c r="Y51">
        <f>HYPERLINK("https://klasma.github.io/Logging_2183/kartor_geotiff/A 33032-2026 georefererad karta.tif", "A 33032-2026")</f>
        <v/>
      </c>
      <c r="AA51">
        <f>HYPERLINK("https://klasma.github.io/Logging_2183/klagomål/A 33032-2026 FSC-klagomål.docx", "A 33032-2026")</f>
        <v/>
      </c>
      <c r="AB51">
        <f>HYPERLINK("https://klasma.github.io/Logging_2183/klagomålsmail/A 33032-2026 FSC-klagomål mail.docx", "A 33032-2026")</f>
        <v/>
      </c>
      <c r="AC51">
        <f>HYPERLINK("https://klasma.github.io/Logging_2183/tillsyn/A 33032-2026 tillsynsbegäran.docx", "A 33032-2026")</f>
        <v/>
      </c>
      <c r="AD51">
        <f>HYPERLINK("https://klasma.github.io/Logging_2183/tillsynsmail/A 33032-2026 tillsynsbegäran mail.docx", "A 33032-2026")</f>
        <v/>
      </c>
    </row>
    <row r="52" ht="15" customHeight="1">
      <c r="A52" t="inlineStr">
        <is>
          <t>A 39550-2026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46296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6.1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39550-2026 artfynd.xlsx", "A 39550-2026")</f>
        <v/>
      </c>
      <c r="X52">
        <f>HYPERLINK("https://klasma.github.io/Logging_2183/kartor/A 39550-2026 karta.png", "A 39550-2026")</f>
        <v/>
      </c>
      <c r="Y52">
        <f>HYPERLINK("https://klasma.github.io/Logging_2183/kartor_geotiff/A 39550-2026 georefererad karta.tif", "A 39550-2026")</f>
        <v/>
      </c>
      <c r="AA52">
        <f>HYPERLINK("https://klasma.github.io/Logging_2183/klagomål/A 39550-2026 FSC-klagomål.docx", "A 39550-2026")</f>
        <v/>
      </c>
      <c r="AB52">
        <f>HYPERLINK("https://klasma.github.io/Logging_2183/klagomålsmail/A 39550-2026 FSC-klagomål mail.docx", "A 39550-2026")</f>
        <v/>
      </c>
      <c r="AC52">
        <f>HYPERLINK("https://klasma.github.io/Logging_2183/tillsyn/A 39550-2026 tillsynsbegäran.docx", "A 39550-2026")</f>
        <v/>
      </c>
      <c r="AD52">
        <f>HYPERLINK("https://klasma.github.io/Logging_2183/tillsynsmail/A 39550-2026 tillsynsbegäran mail.docx", "A 39550-2026")</f>
        <v/>
      </c>
    </row>
    <row r="53" ht="15" customHeight="1">
      <c r="A53" t="inlineStr">
        <is>
          <t>A 39551-2026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46296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HYPERLINK("https://klasma.github.io/Logging_2183/artfynd/A 39551-2026 artfynd.xlsx", "A 39551-2026")</f>
        <v/>
      </c>
      <c r="X53">
        <f>HYPERLINK("https://klasma.github.io/Logging_2183/kartor/A 39551-2026 karta.png", "A 39551-2026")</f>
        <v/>
      </c>
      <c r="Y53">
        <f>HYPERLINK("https://klasma.github.io/Logging_2183/kartor_geotiff/A 39551-2026 georefererad karta.tif", "A 39551-2026")</f>
        <v/>
      </c>
      <c r="AA53">
        <f>HYPERLINK("https://klasma.github.io/Logging_2183/klagomål/A 39551-2026 FSC-klagomål.docx", "A 39551-2026")</f>
        <v/>
      </c>
      <c r="AB53">
        <f>HYPERLINK("https://klasma.github.io/Logging_2183/klagomålsmail/A 39551-2026 FSC-klagomål mail.docx", "A 39551-2026")</f>
        <v/>
      </c>
      <c r="AC53">
        <f>HYPERLINK("https://klasma.github.io/Logging_2183/tillsyn/A 39551-2026 tillsynsbegäran.docx", "A 39551-2026")</f>
        <v/>
      </c>
      <c r="AD53">
        <f>HYPERLINK("https://klasma.github.io/Logging_2183/tillsynsmail/A 39551-2026 tillsynsbegäran mail.docx", "A 39551-2026")</f>
        <v/>
      </c>
    </row>
    <row r="54" ht="15" customHeight="1">
      <c r="A54" t="inlineStr">
        <is>
          <t>A 39582-2026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46296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HYPERLINK("https://klasma.github.io/Logging_2183/artfynd/A 39582-2026 artfynd.xlsx", "A 39582-2026")</f>
        <v/>
      </c>
      <c r="X54">
        <f>HYPERLINK("https://klasma.github.io/Logging_2183/kartor/A 39582-2026 karta.png", "A 39582-2026")</f>
        <v/>
      </c>
      <c r="Y54">
        <f>HYPERLINK("https://klasma.github.io/Logging_2183/kartor_geotiff/A 39582-2026 georefererad karta.tif", "A 39582-2026")</f>
        <v/>
      </c>
      <c r="AA54">
        <f>HYPERLINK("https://klasma.github.io/Logging_2183/klagomål/A 39582-2026 FSC-klagomål.docx", "A 39582-2026")</f>
        <v/>
      </c>
      <c r="AB54">
        <f>HYPERLINK("https://klasma.github.io/Logging_2183/klagomålsmail/A 39582-2026 FSC-klagomål mail.docx", "A 39582-2026")</f>
        <v/>
      </c>
      <c r="AC54">
        <f>HYPERLINK("https://klasma.github.io/Logging_2183/tillsyn/A 39582-2026 tillsynsbegäran.docx", "A 39582-2026")</f>
        <v/>
      </c>
      <c r="AD54">
        <f>HYPERLINK("https://klasma.github.io/Logging_2183/tillsynsmail/A 39582-2026 tillsynsbegäran mail.docx", "A 39582-2026")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46296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S 4448-2023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45268</v>
      </c>
      <c r="E56" s="1" t="n">
        <v>46296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HYPERLINK("https://klasma.github.io/Logging_2183/artfynd/S 4448-2023 artfynd.xlsx", "S 4448-2023")</f>
        <v/>
      </c>
      <c r="X56">
        <f>HYPERLINK("https://klasma.github.io/Logging_2183/kartor/S 4448-2023 karta.png", "S 4448-2023")</f>
        <v/>
      </c>
      <c r="Y56">
        <f>HYPERLINK("https://klasma.github.io/Logging_2183/kartor_geotiff/S 4448-2023 georefererad karta.tif", "S 4448-2023")</f>
        <v/>
      </c>
      <c r="AA56">
        <f>HYPERLINK("https://klasma.github.io/Logging_2183/klagomål/S 4448-2023 FSC-klagomål.docx", "S 4448-2023")</f>
        <v/>
      </c>
      <c r="AB56">
        <f>HYPERLINK("https://klasma.github.io/Logging_2183/klagomålsmail/S 4448-2023 FSC-klagomål mail.docx", "S 4448-2023")</f>
        <v/>
      </c>
      <c r="AC56">
        <f>HYPERLINK("https://klasma.github.io/Logging_2183/tillsyn/S 4448-2023 tillsynsbegäran.docx", "S 4448-2023")</f>
        <v/>
      </c>
      <c r="AD56">
        <f>HYPERLINK("https://klasma.github.io/Logging_2183/tillsynsmail/S 4448-2023 tillsynsbegäran mail.docx", "S 4448-2023")</f>
        <v/>
      </c>
      <c r="AE56">
        <f>HYPERLINK("https://klasma.github.io/Logging_2183/fåglar/S 4448-2023 prioriterade fågelarter.docx", "S 4448-2023")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46296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1535-2023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45054</v>
      </c>
      <c r="E58" s="1" t="n">
        <v>46296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13.8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HYPERLINK("https://klasma.github.io/Logging_2183/artfynd/S 1535-2023 artfynd.xlsx", "S 1535-2023")</f>
        <v/>
      </c>
      <c r="X58">
        <f>HYPERLINK("https://klasma.github.io/Logging_2183/kartor/S 1535-2023 karta.png", "S 1535-2023")</f>
        <v/>
      </c>
      <c r="Y58">
        <f>HYPERLINK("https://klasma.github.io/Logging_2183/kartor_geotiff/S 1535-2023 georefererad karta.tif", "S 1535-2023")</f>
        <v/>
      </c>
      <c r="AA58">
        <f>HYPERLINK("https://klasma.github.io/Logging_2183/klagomål/S 1535-2023 FSC-klagomål.docx", "S 1535-2023")</f>
        <v/>
      </c>
      <c r="AB58">
        <f>HYPERLINK("https://klasma.github.io/Logging_2183/klagomålsmail/S 1535-2023 FSC-klagomål mail.docx", "S 1535-2023")</f>
        <v/>
      </c>
      <c r="AC58">
        <f>HYPERLINK("https://klasma.github.io/Logging_2183/tillsyn/S 1535-2023 tillsynsbegäran.docx", "S 1535-2023")</f>
        <v/>
      </c>
      <c r="AD58">
        <f>HYPERLINK("https://klasma.github.io/Logging_2183/tillsynsmail/S 1535-2023 tillsynsbegäran mail.docx", "S 1535-2023")</f>
        <v/>
      </c>
      <c r="AE58">
        <f>HYPERLINK("https://klasma.github.io/Logging_2183/fåglar/S 1535-2023 prioriterade fågelarter.docx", "S 1535-2023")</f>
        <v/>
      </c>
    </row>
    <row r="59" ht="15" customHeight="1">
      <c r="A59" t="inlineStr">
        <is>
          <t>S 2952-2025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45952</v>
      </c>
      <c r="E59" s="1" t="n">
        <v>46296</v>
      </c>
      <c r="F59" t="inlineStr">
        <is>
          <t>GÄVLEBORGS LÄN</t>
        </is>
      </c>
      <c r="G59" t="inlineStr">
        <is>
          <t>BOLLNÄS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HYPERLINK("https://klasma.github.io/Logging_2183/artfynd/S 2952-2025 artfynd.xlsx", "S 2952-2025")</f>
        <v/>
      </c>
      <c r="X59">
        <f>HYPERLINK("https://klasma.github.io/Logging_2183/kartor/S 2952-2025 karta.png", "S 2952-2025")</f>
        <v/>
      </c>
      <c r="Y59">
        <f>HYPERLINK("https://klasma.github.io/Logging_2183/kartor_geotiff/S 2952-2025 georefererad karta.tif", "S 2952-2025")</f>
        <v/>
      </c>
      <c r="AA59">
        <f>HYPERLINK("https://klasma.github.io/Logging_2183/klagomål/S 2952-2025 FSC-klagomål.docx", "S 2952-2025")</f>
        <v/>
      </c>
      <c r="AB59">
        <f>HYPERLINK("https://klasma.github.io/Logging_2183/klagomålsmail/S 2952-2025 FSC-klagomål mail.docx", "S 2952-2025")</f>
        <v/>
      </c>
      <c r="AC59">
        <f>HYPERLINK("https://klasma.github.io/Logging_2183/tillsyn/S 2952-2025 tillsynsbegäran.docx", "S 2952-2025")</f>
        <v/>
      </c>
      <c r="AD59">
        <f>HYPERLINK("https://klasma.github.io/Logging_2183/tillsynsmail/S 2952-2025 tillsynsbegäran mail.docx", "S 2952-2025")</f>
        <v/>
      </c>
    </row>
    <row r="60" ht="15" customHeight="1">
      <c r="A60" t="inlineStr">
        <is>
          <t>A 53069-2022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46296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46296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46296</v>
      </c>
      <c r="F62" t="inlineStr">
        <is>
          <t>GÄVLEBORGS LÄN</t>
        </is>
      </c>
      <c r="G62" t="inlineStr">
        <is>
          <t>BOLLNÄS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46296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46296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46296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46296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46296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46296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46296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46296</v>
      </c>
      <c r="F70" t="inlineStr">
        <is>
          <t>GÄVLEBORGS LÄN</t>
        </is>
      </c>
      <c r="G70" t="inlineStr">
        <is>
          <t>BOLLNÄS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46296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46296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46296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46296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46296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46296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46296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46296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46296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46296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46296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46296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44831</v>
      </c>
      <c r="E83" s="1" t="n">
        <v>46296</v>
      </c>
      <c r="F83" t="inlineStr">
        <is>
          <t>GÄVLEBORGS LÄN</t>
        </is>
      </c>
      <c r="G83" t="inlineStr">
        <is>
          <t>BOLLNÄS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46296</v>
      </c>
      <c r="F84" t="inlineStr">
        <is>
          <t>GÄVLEBORGS LÄN</t>
        </is>
      </c>
      <c r="G84" t="inlineStr">
        <is>
          <t>BOLLNÄS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44480</v>
      </c>
      <c r="E85" s="1" t="n">
        <v>46296</v>
      </c>
      <c r="F85" t="inlineStr">
        <is>
          <t>GÄVLEBORGS LÄN</t>
        </is>
      </c>
      <c r="G85" t="inlineStr">
        <is>
          <t>BOLLNÄS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46296</v>
      </c>
      <c r="F86" t="inlineStr">
        <is>
          <t>GÄVLEBORGS LÄN</t>
        </is>
      </c>
      <c r="G86" t="inlineStr">
        <is>
          <t>BOLLNÄS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46296</v>
      </c>
      <c r="F87" t="inlineStr">
        <is>
          <t>GÄVLEBORGS LÄN</t>
        </is>
      </c>
      <c r="G87" t="inlineStr">
        <is>
          <t>BOLLNÄS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44566</v>
      </c>
      <c r="E88" s="1" t="n">
        <v>46296</v>
      </c>
      <c r="F88" t="inlineStr">
        <is>
          <t>GÄVLEBORGS LÄN</t>
        </is>
      </c>
      <c r="G88" t="inlineStr">
        <is>
          <t>BOLLNÄS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54398-2022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46296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44483</v>
      </c>
      <c r="E90" s="1" t="n">
        <v>46296</v>
      </c>
      <c r="F90" t="inlineStr">
        <is>
          <t>GÄVLEBORGS LÄN</t>
        </is>
      </c>
      <c r="G90" t="inlineStr">
        <is>
          <t>BOLLNÄS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46296</v>
      </c>
      <c r="F91" t="inlineStr">
        <is>
          <t>GÄVLEBORGS LÄN</t>
        </is>
      </c>
      <c r="G91" t="inlineStr">
        <is>
          <t>BOLLNÄS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46296</v>
      </c>
      <c r="F92" t="inlineStr">
        <is>
          <t>GÄVLEBORGS LÄN</t>
        </is>
      </c>
      <c r="G92" t="inlineStr">
        <is>
          <t>BOLLNÄS</t>
        </is>
      </c>
      <c r="I92" t="n">
        <v>13.5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46296</v>
      </c>
      <c r="F93" t="inlineStr">
        <is>
          <t>GÄVLEBORGS LÄN</t>
        </is>
      </c>
      <c r="G93" t="inlineStr">
        <is>
          <t>BOLLNÄS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56686-2021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44481</v>
      </c>
      <c r="E94" s="1" t="n">
        <v>46296</v>
      </c>
      <c r="F94" t="inlineStr">
        <is>
          <t>GÄVLEBORGS LÄN</t>
        </is>
      </c>
      <c r="G94" t="inlineStr">
        <is>
          <t>BOLLNÄS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46296</v>
      </c>
      <c r="F95" t="inlineStr">
        <is>
          <t>GÄVLEBORGS LÄN</t>
        </is>
      </c>
      <c r="G95" t="inlineStr">
        <is>
          <t>BOLLNÄS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46296</v>
      </c>
      <c r="F96" t="inlineStr">
        <is>
          <t>GÄVLEBORGS LÄN</t>
        </is>
      </c>
      <c r="G96" t="inlineStr">
        <is>
          <t>BOLLNÄS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46296</v>
      </c>
      <c r="F97" t="inlineStr">
        <is>
          <t>GÄVLEBORGS LÄN</t>
        </is>
      </c>
      <c r="G97" t="inlineStr">
        <is>
          <t>BOLLNÄS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30615-2022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44763</v>
      </c>
      <c r="E98" s="1" t="n">
        <v>46296</v>
      </c>
      <c r="F98" t="inlineStr">
        <is>
          <t>GÄVLEBORGS LÄN</t>
        </is>
      </c>
      <c r="G98" t="inlineStr">
        <is>
          <t>BOLLNÄS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44603</v>
      </c>
      <c r="E99" s="1" t="n">
        <v>46296</v>
      </c>
      <c r="F99" t="inlineStr">
        <is>
          <t>GÄVLEBORGS LÄN</t>
        </is>
      </c>
      <c r="G99" t="inlineStr">
        <is>
          <t>BOLLNÄS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66120-2021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46296</v>
      </c>
      <c r="F100" t="inlineStr">
        <is>
          <t>GÄVLEBORGS LÄN</t>
        </is>
      </c>
      <c r="G100" t="inlineStr">
        <is>
          <t>BOLLNÄS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66128-2021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46296</v>
      </c>
      <c r="F101" t="inlineStr">
        <is>
          <t>GÄVLEBORGS LÄN</t>
        </is>
      </c>
      <c r="G101" t="inlineStr">
        <is>
          <t>BOLLNÄS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66129-2021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46296</v>
      </c>
      <c r="F102" t="inlineStr">
        <is>
          <t>GÄVLEBORGS LÄN</t>
        </is>
      </c>
      <c r="G102" t="inlineStr">
        <is>
          <t>BOLLNÄS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46296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46296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44650</v>
      </c>
      <c r="E105" s="1" t="n">
        <v>46296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46296</v>
      </c>
      <c r="F106" t="inlineStr">
        <is>
          <t>GÄVLEBORGS LÄN</t>
        </is>
      </c>
      <c r="G106" t="inlineStr">
        <is>
          <t>BOLLNÄS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46296</v>
      </c>
      <c r="F107" t="inlineStr">
        <is>
          <t>GÄVLEBORGS LÄN</t>
        </is>
      </c>
      <c r="G107" t="inlineStr">
        <is>
          <t>BOLLNÄS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44796</v>
      </c>
      <c r="E108" s="1" t="n">
        <v>46296</v>
      </c>
      <c r="F108" t="inlineStr">
        <is>
          <t>GÄVLEBORGS LÄN</t>
        </is>
      </c>
      <c r="G108" t="inlineStr">
        <is>
          <t>BOLLNÄS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24763-2022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44728</v>
      </c>
      <c r="E109" s="1" t="n">
        <v>46296</v>
      </c>
      <c r="F109" t="inlineStr">
        <is>
          <t>GÄVLEBORGS LÄN</t>
        </is>
      </c>
      <c r="G109" t="inlineStr">
        <is>
          <t>BOLLNÄS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23925-2022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44722</v>
      </c>
      <c r="E110" s="1" t="n">
        <v>46296</v>
      </c>
      <c r="F110" t="inlineStr">
        <is>
          <t>GÄVLEBORGS LÄN</t>
        </is>
      </c>
      <c r="G110" t="inlineStr">
        <is>
          <t>BOLLNÄS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64633-2021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44511</v>
      </c>
      <c r="E111" s="1" t="n">
        <v>46296</v>
      </c>
      <c r="F111" t="inlineStr">
        <is>
          <t>GÄVLEBORGS LÄN</t>
        </is>
      </c>
      <c r="G111" t="inlineStr">
        <is>
          <t>BOLLNÄS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46296</v>
      </c>
      <c r="F112" t="inlineStr">
        <is>
          <t>GÄVLEBORGS LÄN</t>
        </is>
      </c>
      <c r="G112" t="inlineStr">
        <is>
          <t>BOLLNÄS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53618-2022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46296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46296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46296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63882-2021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44509</v>
      </c>
      <c r="E116" s="1" t="n">
        <v>46296</v>
      </c>
      <c r="F116" t="inlineStr">
        <is>
          <t>GÄVLEBORGS LÄN</t>
        </is>
      </c>
      <c r="G116" t="inlineStr">
        <is>
          <t>BOLLNÄS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46296</v>
      </c>
      <c r="F117" t="inlineStr">
        <is>
          <t>GÄVLEBORGS LÄN</t>
        </is>
      </c>
      <c r="G117" t="inlineStr">
        <is>
          <t>BOLLNÄS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46296</v>
      </c>
      <c r="F118" t="inlineStr">
        <is>
          <t>GÄVLEBORGS LÄN</t>
        </is>
      </c>
      <c r="G118" t="inlineStr">
        <is>
          <t>BOLLNÄS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44151-2022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44839</v>
      </c>
      <c r="E119" s="1" t="n">
        <v>46296</v>
      </c>
      <c r="F119" t="inlineStr">
        <is>
          <t>GÄVLEBORGS LÄN</t>
        </is>
      </c>
      <c r="G119" t="inlineStr">
        <is>
          <t>BOLLNÄS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46296</v>
      </c>
      <c r="F120" t="inlineStr">
        <is>
          <t>GÄVLEBORGS LÄN</t>
        </is>
      </c>
      <c r="G120" t="inlineStr">
        <is>
          <t>BOLLNÄS</t>
        </is>
      </c>
      <c r="H120" t="inlineStr">
        <is>
          <t>Bergvik skog väst AB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46296</v>
      </c>
      <c r="F121" t="inlineStr">
        <is>
          <t>GÄVLEBORGS LÄN</t>
        </is>
      </c>
      <c r="G121" t="inlineStr">
        <is>
          <t>BOLLNÄS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44487</v>
      </c>
      <c r="E122" s="1" t="n">
        <v>46296</v>
      </c>
      <c r="F122" t="inlineStr">
        <is>
          <t>GÄVLEBORGS LÄN</t>
        </is>
      </c>
      <c r="G122" t="inlineStr">
        <is>
          <t>BOLLNÄS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53815-2022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46296</v>
      </c>
      <c r="F123" t="inlineStr">
        <is>
          <t>GÄVLEBORGS LÄN</t>
        </is>
      </c>
      <c r="G123" t="inlineStr">
        <is>
          <t>BOLLNÄS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46296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46296</v>
      </c>
      <c r="F125" t="inlineStr">
        <is>
          <t>GÄVLEBORGS LÄN</t>
        </is>
      </c>
      <c r="G125" t="inlineStr">
        <is>
          <t>BOLLNÄS</t>
        </is>
      </c>
      <c r="H125" t="inlineStr">
        <is>
          <t>Kyrkan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46296</v>
      </c>
      <c r="F126" t="inlineStr">
        <is>
          <t>GÄVLEBORGS LÄN</t>
        </is>
      </c>
      <c r="G126" t="inlineStr">
        <is>
          <t>BOLLNÄS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46296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46296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46296</v>
      </c>
      <c r="F129" t="inlineStr">
        <is>
          <t>GÄVLEBORGS LÄN</t>
        </is>
      </c>
      <c r="G129" t="inlineStr">
        <is>
          <t>BOLLNÄS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46296</v>
      </c>
      <c r="F130" t="inlineStr">
        <is>
          <t>GÄVLEBORGS LÄN</t>
        </is>
      </c>
      <c r="G130" t="inlineStr">
        <is>
          <t>BOLLNÄS</t>
        </is>
      </c>
      <c r="H130" t="inlineStr">
        <is>
          <t>Holmen skog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45542</v>
      </c>
      <c r="E131" s="1" t="n">
        <v>46296</v>
      </c>
      <c r="F131" t="inlineStr">
        <is>
          <t>GÄVLEBORGS LÄN</t>
        </is>
      </c>
      <c r="G131" t="inlineStr">
        <is>
          <t>BOLLNÄS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45471</v>
      </c>
      <c r="E132" s="1" t="n">
        <v>46296</v>
      </c>
      <c r="F132" t="inlineStr">
        <is>
          <t>GÄVLEBORGS LÄN</t>
        </is>
      </c>
      <c r="G132" t="inlineStr">
        <is>
          <t>BOLLNÄS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46296</v>
      </c>
      <c r="F133" t="inlineStr">
        <is>
          <t>GÄVLEBORGS LÄN</t>
        </is>
      </c>
      <c r="G133" t="inlineStr">
        <is>
          <t>BOLLNÄS</t>
        </is>
      </c>
      <c r="H133" t="inlineStr">
        <is>
          <t>Sveaskog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46296</v>
      </c>
      <c r="F134" t="inlineStr">
        <is>
          <t>GÄVLEBORGS LÄN</t>
        </is>
      </c>
      <c r="G134" t="inlineStr">
        <is>
          <t>BOLLNÄS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46296</v>
      </c>
      <c r="F135" t="inlineStr">
        <is>
          <t>GÄVLEBORGS LÄN</t>
        </is>
      </c>
      <c r="G135" t="inlineStr">
        <is>
          <t>BOLLNÄS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44886</v>
      </c>
      <c r="E136" s="1" t="n">
        <v>46296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44856</v>
      </c>
      <c r="E137" s="1" t="n">
        <v>46296</v>
      </c>
      <c r="F137" t="inlineStr">
        <is>
          <t>GÄVLEBORGS LÄN</t>
        </is>
      </c>
      <c r="G137" t="inlineStr">
        <is>
          <t>BOLLNÄS</t>
        </is>
      </c>
      <c r="H137" t="inlineStr">
        <is>
          <t>Bergvik skog väst AB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45565</v>
      </c>
      <c r="E138" s="1" t="n">
        <v>46296</v>
      </c>
      <c r="F138" t="inlineStr">
        <is>
          <t>GÄVLEBORGS LÄN</t>
        </is>
      </c>
      <c r="G138" t="inlineStr">
        <is>
          <t>BOLLNÄS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45085</v>
      </c>
      <c r="E139" s="1" t="n">
        <v>46296</v>
      </c>
      <c r="F139" t="inlineStr">
        <is>
          <t>GÄVLEBORGS LÄN</t>
        </is>
      </c>
      <c r="G139" t="inlineStr">
        <is>
          <t>BOLLNÄS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46296</v>
      </c>
      <c r="F140" t="inlineStr">
        <is>
          <t>GÄVLEBORGS LÄN</t>
        </is>
      </c>
      <c r="G140" t="inlineStr">
        <is>
          <t>BOLLNÄS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46296</v>
      </c>
      <c r="F141" t="inlineStr">
        <is>
          <t>GÄVLEBORGS LÄN</t>
        </is>
      </c>
      <c r="G141" t="inlineStr">
        <is>
          <t>BOLLNÄS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46296</v>
      </c>
      <c r="F142" t="inlineStr">
        <is>
          <t>GÄVLEBORGS LÄN</t>
        </is>
      </c>
      <c r="G142" t="inlineStr">
        <is>
          <t>BOLLNÄS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63108-2021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44505</v>
      </c>
      <c r="E143" s="1" t="n">
        <v>46296</v>
      </c>
      <c r="F143" t="inlineStr">
        <is>
          <t>GÄVLEBORGS LÄN</t>
        </is>
      </c>
      <c r="G143" t="inlineStr">
        <is>
          <t>BOLLNÄS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46296</v>
      </c>
      <c r="F144" t="inlineStr">
        <is>
          <t>GÄVLEBORGS LÄN</t>
        </is>
      </c>
      <c r="G144" t="inlineStr">
        <is>
          <t>BOLLNÄS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46296</v>
      </c>
      <c r="F145" t="inlineStr">
        <is>
          <t>GÄVLEBORGS LÄN</t>
        </is>
      </c>
      <c r="G145" t="inlineStr">
        <is>
          <t>BOLLNÄS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46296</v>
      </c>
      <c r="F146" t="inlineStr">
        <is>
          <t>GÄVLEBORGS LÄN</t>
        </is>
      </c>
      <c r="G146" t="inlineStr">
        <is>
          <t>BOLLNÄS</t>
        </is>
      </c>
      <c r="H146" t="inlineStr">
        <is>
          <t>Bergvik skog väst AB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46296</v>
      </c>
      <c r="F147" t="inlineStr">
        <is>
          <t>GÄVLEBORGS LÄN</t>
        </is>
      </c>
      <c r="G147" t="inlineStr">
        <is>
          <t>BOLLNÄS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45149</v>
      </c>
      <c r="E148" s="1" t="n">
        <v>46296</v>
      </c>
      <c r="F148" t="inlineStr">
        <is>
          <t>GÄVLEBORGS LÄN</t>
        </is>
      </c>
      <c r="G148" t="inlineStr">
        <is>
          <t>BOLLNÄS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46296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46296</v>
      </c>
      <c r="F150" t="inlineStr">
        <is>
          <t>GÄVLEBORGS LÄN</t>
        </is>
      </c>
      <c r="G150" t="inlineStr">
        <is>
          <t>BOLLNÄS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56208-2023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46296</v>
      </c>
      <c r="F151" t="inlineStr">
        <is>
          <t>GÄVLEBORGS LÄN</t>
        </is>
      </c>
      <c r="G151" t="inlineStr">
        <is>
          <t>BOLLNÄS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45149</v>
      </c>
      <c r="E152" s="1" t="n">
        <v>46296</v>
      </c>
      <c r="F152" t="inlineStr">
        <is>
          <t>GÄVLEBORGS LÄN</t>
        </is>
      </c>
      <c r="G152" t="inlineStr">
        <is>
          <t>BOLLNÄS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46296</v>
      </c>
      <c r="F153" t="inlineStr">
        <is>
          <t>GÄVLEBORGS LÄN</t>
        </is>
      </c>
      <c r="G153" t="inlineStr">
        <is>
          <t>BOLLNÄS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46296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28983-2022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46296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45624</v>
      </c>
      <c r="E156" s="1" t="n">
        <v>46296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44910</v>
      </c>
      <c r="E157" s="1" t="n">
        <v>46296</v>
      </c>
      <c r="F157" t="inlineStr">
        <is>
          <t>GÄVLEBORGS LÄN</t>
        </is>
      </c>
      <c r="G157" t="inlineStr">
        <is>
          <t>BOLLNÄS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44995</v>
      </c>
      <c r="E158" s="1" t="n">
        <v>46296</v>
      </c>
      <c r="F158" t="inlineStr">
        <is>
          <t>GÄVLEBORGS LÄN</t>
        </is>
      </c>
      <c r="G158" t="inlineStr">
        <is>
          <t>BOLLNÄS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46296</v>
      </c>
      <c r="F159" t="inlineStr">
        <is>
          <t>GÄVLEBORGS LÄN</t>
        </is>
      </c>
      <c r="G159" t="inlineStr">
        <is>
          <t>BOLLNÄS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14261-2025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45740</v>
      </c>
      <c r="E160" s="1" t="n">
        <v>46296</v>
      </c>
      <c r="F160" t="inlineStr">
        <is>
          <t>GÄVLEBORGS LÄN</t>
        </is>
      </c>
      <c r="G160" t="inlineStr">
        <is>
          <t>BOLLNÄS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46296</v>
      </c>
      <c r="F161" t="inlineStr">
        <is>
          <t>GÄVLEBORGS LÄN</t>
        </is>
      </c>
      <c r="G161" t="inlineStr">
        <is>
          <t>BOLLNÄS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46296</v>
      </c>
      <c r="F162" t="inlineStr">
        <is>
          <t>GÄVLEBORGS LÄN</t>
        </is>
      </c>
      <c r="G162" t="inlineStr">
        <is>
          <t>BOLLNÄS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45586</v>
      </c>
      <c r="E163" s="1" t="n">
        <v>46296</v>
      </c>
      <c r="F163" t="inlineStr">
        <is>
          <t>GÄVLEBORGS LÄN</t>
        </is>
      </c>
      <c r="G163" t="inlineStr">
        <is>
          <t>BOLLNÄS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44580</v>
      </c>
      <c r="E164" s="1" t="n">
        <v>46296</v>
      </c>
      <c r="F164" t="inlineStr">
        <is>
          <t>GÄVLEBORGS LÄN</t>
        </is>
      </c>
      <c r="G164" t="inlineStr">
        <is>
          <t>BOLLNÄS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60428-2024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45643</v>
      </c>
      <c r="E165" s="1" t="n">
        <v>46296</v>
      </c>
      <c r="F165" t="inlineStr">
        <is>
          <t>GÄVLEBORGS LÄN</t>
        </is>
      </c>
      <c r="G165" t="inlineStr">
        <is>
          <t>BOLLNÄS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45205</v>
      </c>
      <c r="E166" s="1" t="n">
        <v>46296</v>
      </c>
      <c r="F166" t="inlineStr">
        <is>
          <t>GÄVLEBORGS LÄN</t>
        </is>
      </c>
      <c r="G166" t="inlineStr">
        <is>
          <t>BOLLNÄS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46296</v>
      </c>
      <c r="F167" t="inlineStr">
        <is>
          <t>GÄVLEBORGS LÄN</t>
        </is>
      </c>
      <c r="G167" t="inlineStr">
        <is>
          <t>BOLLNÄS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46296</v>
      </c>
      <c r="F168" t="inlineStr">
        <is>
          <t>GÄVLEBORGS LÄN</t>
        </is>
      </c>
      <c r="G168" t="inlineStr">
        <is>
          <t>BOLLNÄS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71657-2021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44543</v>
      </c>
      <c r="E169" s="1" t="n">
        <v>46296</v>
      </c>
      <c r="F169" t="inlineStr">
        <is>
          <t>GÄVLEBORGS LÄN</t>
        </is>
      </c>
      <c r="G169" t="inlineStr">
        <is>
          <t>BOLLNÄS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46296</v>
      </c>
      <c r="F170" t="inlineStr">
        <is>
          <t>GÄVLEBORGS LÄN</t>
        </is>
      </c>
      <c r="G170" t="inlineStr">
        <is>
          <t>BOLLNÄS</t>
        </is>
      </c>
      <c r="H170" t="inlineStr">
        <is>
          <t>Sveaskog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45217</v>
      </c>
      <c r="E171" s="1" t="n">
        <v>46296</v>
      </c>
      <c r="F171" t="inlineStr">
        <is>
          <t>GÄVLEBORGS LÄN</t>
        </is>
      </c>
      <c r="G171" t="inlineStr">
        <is>
          <t>BOLLNÄS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45453</v>
      </c>
      <c r="E172" s="1" t="n">
        <v>46296</v>
      </c>
      <c r="F172" t="inlineStr">
        <is>
          <t>GÄVLEBORGS LÄN</t>
        </is>
      </c>
      <c r="G172" t="inlineStr">
        <is>
          <t>BOLLNÄS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54949-2022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46296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46296</v>
      </c>
      <c r="F174" t="inlineStr">
        <is>
          <t>GÄVLEBORGS LÄN</t>
        </is>
      </c>
      <c r="G174" t="inlineStr">
        <is>
          <t>BOLLNÄS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46296</v>
      </c>
      <c r="F175" t="inlineStr">
        <is>
          <t>GÄVLEBORGS LÄN</t>
        </is>
      </c>
      <c r="G175" t="inlineStr">
        <is>
          <t>BOLLNÄS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46296</v>
      </c>
      <c r="F176" t="inlineStr">
        <is>
          <t>GÄVLEBORGS LÄN</t>
        </is>
      </c>
      <c r="G176" t="inlineStr">
        <is>
          <t>BOLLNÄS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45439</v>
      </c>
      <c r="E177" s="1" t="n">
        <v>46296</v>
      </c>
      <c r="F177" t="inlineStr">
        <is>
          <t>GÄVLEBORGS LÄN</t>
        </is>
      </c>
      <c r="G177" t="inlineStr">
        <is>
          <t>BOLLNÄS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45239</v>
      </c>
      <c r="E178" s="1" t="n">
        <v>46296</v>
      </c>
      <c r="F178" t="inlineStr">
        <is>
          <t>GÄVLEBORGS LÄN</t>
        </is>
      </c>
      <c r="G178" t="inlineStr">
        <is>
          <t>BOLLNÄS</t>
        </is>
      </c>
      <c r="H178" t="inlineStr">
        <is>
          <t>Kommuner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45016</v>
      </c>
      <c r="E179" s="1" t="n">
        <v>46296</v>
      </c>
      <c r="F179" t="inlineStr">
        <is>
          <t>GÄVLEBORGS LÄN</t>
        </is>
      </c>
      <c r="G179" t="inlineStr">
        <is>
          <t>BOLLNÄS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46296</v>
      </c>
      <c r="F180" t="inlineStr">
        <is>
          <t>GÄVLEBORGS LÄN</t>
        </is>
      </c>
      <c r="G180" t="inlineStr">
        <is>
          <t>BOLLNÄS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46296</v>
      </c>
      <c r="F181" t="inlineStr">
        <is>
          <t>GÄVLEBORGS LÄN</t>
        </is>
      </c>
      <c r="G181" t="inlineStr">
        <is>
          <t>BOLLNÄS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45310</v>
      </c>
      <c r="E182" s="1" t="n">
        <v>46296</v>
      </c>
      <c r="F182" t="inlineStr">
        <is>
          <t>GÄVLEBORGS LÄN</t>
        </is>
      </c>
      <c r="G182" t="inlineStr">
        <is>
          <t>BOLLNÄS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46296</v>
      </c>
      <c r="F183" t="inlineStr">
        <is>
          <t>GÄVLEBORGS LÄN</t>
        </is>
      </c>
      <c r="G183" t="inlineStr">
        <is>
          <t>BOLLNÄS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46296</v>
      </c>
      <c r="F184" t="inlineStr">
        <is>
          <t>GÄVLEBORGS LÄN</t>
        </is>
      </c>
      <c r="G184" t="inlineStr">
        <is>
          <t>BOLLNÄS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18614-2023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45043</v>
      </c>
      <c r="E185" s="1" t="n">
        <v>46296</v>
      </c>
      <c r="F185" t="inlineStr">
        <is>
          <t>GÄVLEBORGS LÄN</t>
        </is>
      </c>
      <c r="G185" t="inlineStr">
        <is>
          <t>BOLLNÄS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46296</v>
      </c>
      <c r="F186" t="inlineStr">
        <is>
          <t>GÄVLEBORGS LÄN</t>
        </is>
      </c>
      <c r="G186" t="inlineStr">
        <is>
          <t>BOLLNÄS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28314-2023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46296</v>
      </c>
      <c r="F187" t="inlineStr">
        <is>
          <t>GÄVLEBORGS LÄN</t>
        </is>
      </c>
      <c r="G187" t="inlineStr">
        <is>
          <t>BOLLNÄS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45450</v>
      </c>
      <c r="E188" s="1" t="n">
        <v>46296</v>
      </c>
      <c r="F188" t="inlineStr">
        <is>
          <t>GÄVLEBORGS LÄN</t>
        </is>
      </c>
      <c r="G188" t="inlineStr">
        <is>
          <t>BOLLNÄS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43177-2024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45567</v>
      </c>
      <c r="E189" s="1" t="n">
        <v>46296</v>
      </c>
      <c r="F189" t="inlineStr">
        <is>
          <t>GÄVLEBORGS LÄN</t>
        </is>
      </c>
      <c r="G189" t="inlineStr">
        <is>
          <t>BOLLNÄS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45774</v>
      </c>
      <c r="E190" s="1" t="n">
        <v>46296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45644</v>
      </c>
      <c r="E191" s="1" t="n">
        <v>46296</v>
      </c>
      <c r="F191" t="inlineStr">
        <is>
          <t>GÄVLEBORGS LÄN</t>
        </is>
      </c>
      <c r="G191" t="inlineStr">
        <is>
          <t>BOLLNÄS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46296</v>
      </c>
      <c r="F192" t="inlineStr">
        <is>
          <t>GÄVLEBORGS LÄN</t>
        </is>
      </c>
      <c r="G192" t="inlineStr">
        <is>
          <t>BOLLNÄS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45639</v>
      </c>
      <c r="E193" s="1" t="n">
        <v>46296</v>
      </c>
      <c r="F193" t="inlineStr">
        <is>
          <t>GÄVLEBORGS LÄN</t>
        </is>
      </c>
      <c r="G193" t="inlineStr">
        <is>
          <t>BOLLNÄS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44839</v>
      </c>
      <c r="E194" s="1" t="n">
        <v>46296</v>
      </c>
      <c r="F194" t="inlineStr">
        <is>
          <t>GÄVLEBORGS LÄN</t>
        </is>
      </c>
      <c r="G194" t="inlineStr">
        <is>
          <t>BOLLNÄS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35941-2022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44802</v>
      </c>
      <c r="E195" s="1" t="n">
        <v>46296</v>
      </c>
      <c r="F195" t="inlineStr">
        <is>
          <t>GÄVLEBORGS LÄN</t>
        </is>
      </c>
      <c r="G195" t="inlineStr">
        <is>
          <t>BOLLNÄS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46296</v>
      </c>
      <c r="F196" t="inlineStr">
        <is>
          <t>GÄVLEBORGS LÄN</t>
        </is>
      </c>
      <c r="G196" t="inlineStr">
        <is>
          <t>BOLLNÄS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45457</v>
      </c>
      <c r="E197" s="1" t="n">
        <v>46296</v>
      </c>
      <c r="F197" t="inlineStr">
        <is>
          <t>GÄVLEBORGS LÄN</t>
        </is>
      </c>
      <c r="G197" t="inlineStr">
        <is>
          <t>BOLLNÄS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45364</v>
      </c>
      <c r="E198" s="1" t="n">
        <v>46296</v>
      </c>
      <c r="F198" t="inlineStr">
        <is>
          <t>GÄVLEBORGS LÄN</t>
        </is>
      </c>
      <c r="G198" t="inlineStr">
        <is>
          <t>BOLLNÄS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45364</v>
      </c>
      <c r="E199" s="1" t="n">
        <v>46296</v>
      </c>
      <c r="F199" t="inlineStr">
        <is>
          <t>GÄVLEBORGS LÄN</t>
        </is>
      </c>
      <c r="G199" t="inlineStr">
        <is>
          <t>BOLLNÄS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45280</v>
      </c>
      <c r="E200" s="1" t="n">
        <v>46296</v>
      </c>
      <c r="F200" t="inlineStr">
        <is>
          <t>GÄVLEBORGS LÄN</t>
        </is>
      </c>
      <c r="G200" t="inlineStr">
        <is>
          <t>BOLLNÄS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46296</v>
      </c>
      <c r="F201" t="inlineStr">
        <is>
          <t>GÄVLEBORGS LÄN</t>
        </is>
      </c>
      <c r="G201" t="inlineStr">
        <is>
          <t>BOLLNÄS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46296</v>
      </c>
      <c r="F202" t="inlineStr">
        <is>
          <t>GÄVLEBORGS LÄN</t>
        </is>
      </c>
      <c r="G202" t="inlineStr">
        <is>
          <t>BOLLNÄS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45310</v>
      </c>
      <c r="E203" s="1" t="n">
        <v>46296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44869</v>
      </c>
      <c r="E204" s="1" t="n">
        <v>46296</v>
      </c>
      <c r="F204" t="inlineStr">
        <is>
          <t>GÄVLEBORGS LÄN</t>
        </is>
      </c>
      <c r="G204" t="inlineStr">
        <is>
          <t>BOLLNÄS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45583</v>
      </c>
      <c r="E205" s="1" t="n">
        <v>46296</v>
      </c>
      <c r="F205" t="inlineStr">
        <is>
          <t>GÄVLEBORGS LÄN</t>
        </is>
      </c>
      <c r="G205" t="inlineStr">
        <is>
          <t>BOLLNÄS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45583</v>
      </c>
      <c r="E206" s="1" t="n">
        <v>46296</v>
      </c>
      <c r="F206" t="inlineStr">
        <is>
          <t>GÄVLEBORGS LÄN</t>
        </is>
      </c>
      <c r="G206" t="inlineStr">
        <is>
          <t>BOLLNÄS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45183</v>
      </c>
      <c r="E207" s="1" t="n">
        <v>46296</v>
      </c>
      <c r="F207" t="inlineStr">
        <is>
          <t>GÄVLEBORGS LÄN</t>
        </is>
      </c>
      <c r="G207" t="inlineStr">
        <is>
          <t>BOLLNÄS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46296</v>
      </c>
      <c r="F208" t="inlineStr">
        <is>
          <t>GÄVLEBORGS LÄN</t>
        </is>
      </c>
      <c r="G208" t="inlineStr">
        <is>
          <t>BOLLNÄS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12166-2024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45377</v>
      </c>
      <c r="E209" s="1" t="n">
        <v>46296</v>
      </c>
      <c r="F209" t="inlineStr">
        <is>
          <t>GÄVLEBORGS LÄN</t>
        </is>
      </c>
      <c r="G209" t="inlineStr">
        <is>
          <t>BOLLNÄS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46296</v>
      </c>
      <c r="F210" t="inlineStr">
        <is>
          <t>GÄVLEBORGS LÄN</t>
        </is>
      </c>
      <c r="G210" t="inlineStr">
        <is>
          <t>BOLLNÄS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48308-2024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45590</v>
      </c>
      <c r="E211" s="1" t="n">
        <v>46296</v>
      </c>
      <c r="F211" t="inlineStr">
        <is>
          <t>GÄVLEBORGS LÄN</t>
        </is>
      </c>
      <c r="G211" t="inlineStr">
        <is>
          <t>BOLLNÄS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41962-2022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44830</v>
      </c>
      <c r="E212" s="1" t="n">
        <v>46296</v>
      </c>
      <c r="F212" t="inlineStr">
        <is>
          <t>GÄVLEBORGS LÄN</t>
        </is>
      </c>
      <c r="G212" t="inlineStr">
        <is>
          <t>BOLLNÄS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45161</v>
      </c>
      <c r="E213" s="1" t="n">
        <v>46296</v>
      </c>
      <c r="F213" t="inlineStr">
        <is>
          <t>GÄVLEBORGS LÄN</t>
        </is>
      </c>
      <c r="G213" t="inlineStr">
        <is>
          <t>BOLLNÄS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34613-2024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45526</v>
      </c>
      <c r="E214" s="1" t="n">
        <v>46296</v>
      </c>
      <c r="F214" t="inlineStr">
        <is>
          <t>GÄVLEBORGS LÄN</t>
        </is>
      </c>
      <c r="G214" t="inlineStr">
        <is>
          <t>BOLLNÄS</t>
        </is>
      </c>
      <c r="H214" t="inlineStr">
        <is>
          <t>Sveaskog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46296</v>
      </c>
      <c r="F215" t="inlineStr">
        <is>
          <t>GÄVLEBORGS LÄN</t>
        </is>
      </c>
      <c r="G215" t="inlineStr">
        <is>
          <t>BOLLNÄS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46296</v>
      </c>
      <c r="F216" t="inlineStr">
        <is>
          <t>GÄVLEBORGS LÄN</t>
        </is>
      </c>
      <c r="G216" t="inlineStr">
        <is>
          <t>BOLLNÄS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45497</v>
      </c>
      <c r="E217" s="1" t="n">
        <v>46296</v>
      </c>
      <c r="F217" t="inlineStr">
        <is>
          <t>GÄVLEBORGS LÄN</t>
        </is>
      </c>
      <c r="G217" t="inlineStr">
        <is>
          <t>BOLLNÄS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45497</v>
      </c>
      <c r="E218" s="1" t="n">
        <v>46296</v>
      </c>
      <c r="F218" t="inlineStr">
        <is>
          <t>GÄVLEBORGS LÄN</t>
        </is>
      </c>
      <c r="G218" t="inlineStr">
        <is>
          <t>BOLLNÄS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46296</v>
      </c>
      <c r="F219" t="inlineStr">
        <is>
          <t>GÄVLEBORGS LÄN</t>
        </is>
      </c>
      <c r="G219" t="inlineStr">
        <is>
          <t>BOLLNÄS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45310</v>
      </c>
      <c r="E220" s="1" t="n">
        <v>46296</v>
      </c>
      <c r="F220" t="inlineStr">
        <is>
          <t>GÄVLEBORGS LÄN</t>
        </is>
      </c>
      <c r="G220" t="inlineStr">
        <is>
          <t>BOLLNÄS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45486</v>
      </c>
      <c r="E221" s="1" t="n">
        <v>46296</v>
      </c>
      <c r="F221" t="inlineStr">
        <is>
          <t>GÄVLEBORGS LÄN</t>
        </is>
      </c>
      <c r="G221" t="inlineStr">
        <is>
          <t>BOLLNÄS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45261</v>
      </c>
      <c r="E222" s="1" t="n">
        <v>46296</v>
      </c>
      <c r="F222" t="inlineStr">
        <is>
          <t>GÄVLEBORGS LÄN</t>
        </is>
      </c>
      <c r="G222" t="inlineStr">
        <is>
          <t>BOLLNÄS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46296</v>
      </c>
      <c r="F223" t="inlineStr">
        <is>
          <t>GÄVLEBORGS LÄN</t>
        </is>
      </c>
      <c r="G223" t="inlineStr">
        <is>
          <t>BOLLNÄS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46296</v>
      </c>
      <c r="F224" t="inlineStr">
        <is>
          <t>GÄVLEBORGS LÄN</t>
        </is>
      </c>
      <c r="G224" t="inlineStr">
        <is>
          <t>BOLLNÄS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65403-2021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44515</v>
      </c>
      <c r="E225" s="1" t="n">
        <v>46296</v>
      </c>
      <c r="F225" t="inlineStr">
        <is>
          <t>GÄVLEBORGS LÄN</t>
        </is>
      </c>
      <c r="G225" t="inlineStr">
        <is>
          <t>BOLLNÄS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51137-2023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45219</v>
      </c>
      <c r="E226" s="1" t="n">
        <v>46296</v>
      </c>
      <c r="F226" t="inlineStr">
        <is>
          <t>GÄVLEBORGS LÄN</t>
        </is>
      </c>
      <c r="G226" t="inlineStr">
        <is>
          <t>BOLLNÄS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51867-2022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44872</v>
      </c>
      <c r="E227" s="1" t="n">
        <v>46296</v>
      </c>
      <c r="F227" t="inlineStr">
        <is>
          <t>GÄVLEBORGS LÄN</t>
        </is>
      </c>
      <c r="G227" t="inlineStr">
        <is>
          <t>BOLLNÄS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52613-2024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45609</v>
      </c>
      <c r="E228" s="1" t="n">
        <v>46296</v>
      </c>
      <c r="F228" t="inlineStr">
        <is>
          <t>GÄVLEBORGS LÄN</t>
        </is>
      </c>
      <c r="G228" t="inlineStr">
        <is>
          <t>BOLLNÄS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45420</v>
      </c>
      <c r="E229" s="1" t="n">
        <v>46296</v>
      </c>
      <c r="F229" t="inlineStr">
        <is>
          <t>GÄVLEBORGS LÄN</t>
        </is>
      </c>
      <c r="G229" t="inlineStr">
        <is>
          <t>BOLLNÄS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46296</v>
      </c>
      <c r="F230" t="inlineStr">
        <is>
          <t>GÄVLEBORGS LÄN</t>
        </is>
      </c>
      <c r="G230" t="inlineStr">
        <is>
          <t>BOLLNÄS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45733</v>
      </c>
      <c r="E231" s="1" t="n">
        <v>46296</v>
      </c>
      <c r="F231" t="inlineStr">
        <is>
          <t>GÄVLEBORGS LÄN</t>
        </is>
      </c>
      <c r="G231" t="inlineStr">
        <is>
          <t>BOLLNÄS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45733</v>
      </c>
      <c r="E232" s="1" t="n">
        <v>46296</v>
      </c>
      <c r="F232" t="inlineStr">
        <is>
          <t>GÄVLEBORGS LÄN</t>
        </is>
      </c>
      <c r="G232" t="inlineStr">
        <is>
          <t>BOLLNÄS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28658-2024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45478</v>
      </c>
      <c r="E233" s="1" t="n">
        <v>46296</v>
      </c>
      <c r="F233" t="inlineStr">
        <is>
          <t>GÄVLEBORGS LÄN</t>
        </is>
      </c>
      <c r="G233" t="inlineStr">
        <is>
          <t>BOLLNÄS</t>
        </is>
      </c>
      <c r="H233" t="inlineStr">
        <is>
          <t>Bergvik skog väst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45506</v>
      </c>
      <c r="E234" s="1" t="n">
        <v>46296</v>
      </c>
      <c r="F234" t="inlineStr">
        <is>
          <t>GÄVLEBORGS LÄN</t>
        </is>
      </c>
      <c r="G234" t="inlineStr">
        <is>
          <t>BOLLNÄS</t>
        </is>
      </c>
      <c r="H234" t="inlineStr">
        <is>
          <t>Sveaskog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71678-2021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44543</v>
      </c>
      <c r="E235" s="1" t="n">
        <v>46296</v>
      </c>
      <c r="F235" t="inlineStr">
        <is>
          <t>GÄVLEBORGS LÄN</t>
        </is>
      </c>
      <c r="G235" t="inlineStr">
        <is>
          <t>BOLLNÄS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46296</v>
      </c>
      <c r="F236" t="inlineStr">
        <is>
          <t>GÄVLEBORGS LÄN</t>
        </is>
      </c>
      <c r="G236" t="inlineStr">
        <is>
          <t>BOLLNÄS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45455</v>
      </c>
      <c r="E237" s="1" t="n">
        <v>46296</v>
      </c>
      <c r="F237" t="inlineStr">
        <is>
          <t>GÄVLEBORGS LÄN</t>
        </is>
      </c>
      <c r="G237" t="inlineStr">
        <is>
          <t>BOLLNÄS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46296</v>
      </c>
      <c r="F238" t="inlineStr">
        <is>
          <t>GÄVLEBORGS LÄN</t>
        </is>
      </c>
      <c r="G238" t="inlineStr">
        <is>
          <t>BOLLNÄS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46296</v>
      </c>
      <c r="F239" t="inlineStr">
        <is>
          <t>GÄVLEBORGS LÄN</t>
        </is>
      </c>
      <c r="G239" t="inlineStr">
        <is>
          <t>BOLLNÄS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44616</v>
      </c>
      <c r="E240" s="1" t="n">
        <v>46296</v>
      </c>
      <c r="F240" t="inlineStr">
        <is>
          <t>GÄVLEBORGS LÄN</t>
        </is>
      </c>
      <c r="G240" t="inlineStr">
        <is>
          <t>BOLLNÄS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44967</v>
      </c>
      <c r="E241" s="1" t="n">
        <v>46296</v>
      </c>
      <c r="F241" t="inlineStr">
        <is>
          <t>GÄVLEBORGS LÄN</t>
        </is>
      </c>
      <c r="G241" t="inlineStr">
        <is>
          <t>BOLLNÄS</t>
        </is>
      </c>
      <c r="I241" t="n">
        <v>11.1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45566</v>
      </c>
      <c r="E242" s="1" t="n">
        <v>46296</v>
      </c>
      <c r="F242" t="inlineStr">
        <is>
          <t>GÄVLEBORGS LÄN</t>
        </is>
      </c>
      <c r="G242" t="inlineStr">
        <is>
          <t>BOLLNÄS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45566</v>
      </c>
      <c r="E243" s="1" t="n">
        <v>46296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46296</v>
      </c>
      <c r="F244" t="inlineStr">
        <is>
          <t>GÄVLEBORGS LÄN</t>
        </is>
      </c>
      <c r="G244" t="inlineStr">
        <is>
          <t>BOLLNÄS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46296</v>
      </c>
      <c r="F245" t="inlineStr">
        <is>
          <t>GÄVLEBORGS LÄN</t>
        </is>
      </c>
      <c r="G245" t="inlineStr">
        <is>
          <t>BOLLNÄS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45734</v>
      </c>
      <c r="E246" s="1" t="n">
        <v>46296</v>
      </c>
      <c r="F246" t="inlineStr">
        <is>
          <t>GÄVLEBORGS LÄN</t>
        </is>
      </c>
      <c r="G246" t="inlineStr">
        <is>
          <t>BOLLNÄS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46296</v>
      </c>
      <c r="F247" t="inlineStr">
        <is>
          <t>GÄVLEBORGS LÄN</t>
        </is>
      </c>
      <c r="G247" t="inlineStr">
        <is>
          <t>BOLLNÄS</t>
        </is>
      </c>
      <c r="H247" t="inlineStr">
        <is>
          <t>Sveaskog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46296</v>
      </c>
      <c r="F248" t="inlineStr">
        <is>
          <t>GÄVLEBORGS LÄN</t>
        </is>
      </c>
      <c r="G248" t="inlineStr">
        <is>
          <t>BOLLNÄS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46296</v>
      </c>
      <c r="F249" t="inlineStr">
        <is>
          <t>GÄVLEBORGS LÄN</t>
        </is>
      </c>
      <c r="G249" t="inlineStr">
        <is>
          <t>BOLLNÄS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45758</v>
      </c>
      <c r="E250" s="1" t="n">
        <v>46296</v>
      </c>
      <c r="F250" t="inlineStr">
        <is>
          <t>GÄVLEBORGS LÄN</t>
        </is>
      </c>
      <c r="G250" t="inlineStr">
        <is>
          <t>BOLLNÄS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45153</v>
      </c>
      <c r="E251" s="1" t="n">
        <v>46296</v>
      </c>
      <c r="F251" t="inlineStr">
        <is>
          <t>GÄVLEBORGS LÄN</t>
        </is>
      </c>
      <c r="G251" t="inlineStr">
        <is>
          <t>BOLLNÄS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45258</v>
      </c>
      <c r="E252" s="1" t="n">
        <v>46296</v>
      </c>
      <c r="F252" t="inlineStr">
        <is>
          <t>GÄVLEBORGS LÄN</t>
        </is>
      </c>
      <c r="G252" t="inlineStr">
        <is>
          <t>BOLLNÄS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45629-2023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45194</v>
      </c>
      <c r="E253" s="1" t="n">
        <v>46296</v>
      </c>
      <c r="F253" t="inlineStr">
        <is>
          <t>GÄVLEBORGS LÄN</t>
        </is>
      </c>
      <c r="G253" t="inlineStr">
        <is>
          <t>BOLLNÄS</t>
        </is>
      </c>
      <c r="I253" t="n">
        <v>11.5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26304-2022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44735</v>
      </c>
      <c r="E254" s="1" t="n">
        <v>46296</v>
      </c>
      <c r="F254" t="inlineStr">
        <is>
          <t>GÄVLEBORGS LÄN</t>
        </is>
      </c>
      <c r="G254" t="inlineStr">
        <is>
          <t>BOLLNÄS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45405</v>
      </c>
      <c r="E255" s="1" t="n">
        <v>46296</v>
      </c>
      <c r="F255" t="inlineStr">
        <is>
          <t>GÄVLEBORGS LÄN</t>
        </is>
      </c>
      <c r="G255" t="inlineStr">
        <is>
          <t>BOLLNÄS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45422</v>
      </c>
      <c r="E256" s="1" t="n">
        <v>46296</v>
      </c>
      <c r="F256" t="inlineStr">
        <is>
          <t>GÄVLEBORGS LÄN</t>
        </is>
      </c>
      <c r="G256" t="inlineStr">
        <is>
          <t>BOLLNÄS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45299</v>
      </c>
      <c r="E257" s="1" t="n">
        <v>46296</v>
      </c>
      <c r="F257" t="inlineStr">
        <is>
          <t>GÄVLEBORGS LÄN</t>
        </is>
      </c>
      <c r="G257" t="inlineStr">
        <is>
          <t>BOLLNÄS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35067-2023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46296</v>
      </c>
      <c r="F258" t="inlineStr">
        <is>
          <t>GÄVLEBORGS LÄN</t>
        </is>
      </c>
      <c r="G258" t="inlineStr">
        <is>
          <t>BOLLNÄS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45643</v>
      </c>
      <c r="E259" s="1" t="n">
        <v>46296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41730-2023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46296</v>
      </c>
      <c r="F260" t="inlineStr">
        <is>
          <t>GÄVLEBORGS LÄN</t>
        </is>
      </c>
      <c r="G260" t="inlineStr">
        <is>
          <t>BOLLNÄS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45748</v>
      </c>
      <c r="E261" s="1" t="n">
        <v>46296</v>
      </c>
      <c r="F261" t="inlineStr">
        <is>
          <t>GÄVLEBORGS LÄN</t>
        </is>
      </c>
      <c r="G261" t="inlineStr">
        <is>
          <t>BOLLNÄS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45677</v>
      </c>
      <c r="E262" s="1" t="n">
        <v>46296</v>
      </c>
      <c r="F262" t="inlineStr">
        <is>
          <t>GÄVLEBORGS LÄN</t>
        </is>
      </c>
      <c r="G262" t="inlineStr">
        <is>
          <t>BOLLNÄS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46296</v>
      </c>
      <c r="F263" t="inlineStr">
        <is>
          <t>GÄVLEBORGS LÄN</t>
        </is>
      </c>
      <c r="G263" t="inlineStr">
        <is>
          <t>BOLLNÄS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60426-2024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45643</v>
      </c>
      <c r="E264" s="1" t="n">
        <v>46296</v>
      </c>
      <c r="F264" t="inlineStr">
        <is>
          <t>GÄVLEBORGS LÄN</t>
        </is>
      </c>
      <c r="G264" t="inlineStr">
        <is>
          <t>BOLLNÄS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45448</v>
      </c>
      <c r="E265" s="1" t="n">
        <v>46296</v>
      </c>
      <c r="F265" t="inlineStr">
        <is>
          <t>GÄVLEBORGS LÄN</t>
        </is>
      </c>
      <c r="G265" t="inlineStr">
        <is>
          <t>BOLLNÄS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61592-2022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44916</v>
      </c>
      <c r="E266" s="1" t="n">
        <v>46296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45377</v>
      </c>
      <c r="E267" s="1" t="n">
        <v>46296</v>
      </c>
      <c r="F267" t="inlineStr">
        <is>
          <t>GÄVLEBORGS LÄN</t>
        </is>
      </c>
      <c r="G267" t="inlineStr">
        <is>
          <t>BOLLNÄS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45377</v>
      </c>
      <c r="E268" s="1" t="n">
        <v>46296</v>
      </c>
      <c r="F268" t="inlineStr">
        <is>
          <t>GÄVLEBORGS LÄN</t>
        </is>
      </c>
      <c r="G268" t="inlineStr">
        <is>
          <t>BOLLNÄS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46296</v>
      </c>
      <c r="F269" t="inlineStr">
        <is>
          <t>GÄVLEBORGS LÄN</t>
        </is>
      </c>
      <c r="G269" t="inlineStr">
        <is>
          <t>BOLLNÄS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45205</v>
      </c>
      <c r="E270" s="1" t="n">
        <v>46296</v>
      </c>
      <c r="F270" t="inlineStr">
        <is>
          <t>GÄVLEBORGS LÄN</t>
        </is>
      </c>
      <c r="G270" t="inlineStr">
        <is>
          <t>BOLLNÄS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55570-2024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46296</v>
      </c>
      <c r="F271" t="inlineStr">
        <is>
          <t>GÄVLEBORGS LÄN</t>
        </is>
      </c>
      <c r="G271" t="inlineStr">
        <is>
          <t>BOLLNÄS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13465-2025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45736</v>
      </c>
      <c r="E272" s="1" t="n">
        <v>46296</v>
      </c>
      <c r="F272" t="inlineStr">
        <is>
          <t>GÄVLEBORGS LÄN</t>
        </is>
      </c>
      <c r="G272" t="inlineStr">
        <is>
          <t>BOLLNÄS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26922-2024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45470</v>
      </c>
      <c r="E273" s="1" t="n">
        <v>46296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46296</v>
      </c>
      <c r="F274" t="inlineStr">
        <is>
          <t>GÄVLEBORGS LÄN</t>
        </is>
      </c>
      <c r="G274" t="inlineStr">
        <is>
          <t>BOLLNÄS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34887-2022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44796</v>
      </c>
      <c r="E275" s="1" t="n">
        <v>46296</v>
      </c>
      <c r="F275" t="inlineStr">
        <is>
          <t>GÄVLEBORGS LÄN</t>
        </is>
      </c>
      <c r="G275" t="inlineStr">
        <is>
          <t>BOLLNÄS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45677</v>
      </c>
      <c r="E276" s="1" t="n">
        <v>46296</v>
      </c>
      <c r="F276" t="inlineStr">
        <is>
          <t>GÄVLEBORGS LÄN</t>
        </is>
      </c>
      <c r="G276" t="inlineStr">
        <is>
          <t>BOLLNÄS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40928-2024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46296</v>
      </c>
      <c r="F277" t="inlineStr">
        <is>
          <t>GÄVLEBORGS LÄN</t>
        </is>
      </c>
      <c r="G277" t="inlineStr">
        <is>
          <t>BOLLNÄS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45414</v>
      </c>
      <c r="E278" s="1" t="n">
        <v>46296</v>
      </c>
      <c r="F278" t="inlineStr">
        <is>
          <t>GÄVLEBORGS LÄN</t>
        </is>
      </c>
      <c r="G278" t="inlineStr">
        <is>
          <t>BOLLNÄS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69620-2021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44532</v>
      </c>
      <c r="E279" s="1" t="n">
        <v>46296</v>
      </c>
      <c r="F279" t="inlineStr">
        <is>
          <t>GÄVLEBORGS LÄN</t>
        </is>
      </c>
      <c r="G279" t="inlineStr">
        <is>
          <t>BOLLNÄS</t>
        </is>
      </c>
      <c r="H279" t="inlineStr">
        <is>
          <t>Bergvik skog väst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55367-2023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46296</v>
      </c>
      <c r="F280" t="inlineStr">
        <is>
          <t>GÄVLEBORGS LÄN</t>
        </is>
      </c>
      <c r="G280" t="inlineStr">
        <is>
          <t>BOLLNÄS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45755</v>
      </c>
      <c r="E281" s="1" t="n">
        <v>46296</v>
      </c>
      <c r="F281" t="inlineStr">
        <is>
          <t>GÄVLEBORGS LÄN</t>
        </is>
      </c>
      <c r="G281" t="inlineStr">
        <is>
          <t>BOLLNÄS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44594</v>
      </c>
      <c r="E282" s="1" t="n">
        <v>46296</v>
      </c>
      <c r="F282" t="inlineStr">
        <is>
          <t>GÄVLEBORGS LÄN</t>
        </is>
      </c>
      <c r="G282" t="inlineStr">
        <is>
          <t>BOLLNÄS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45155</v>
      </c>
      <c r="E283" s="1" t="n">
        <v>46296</v>
      </c>
      <c r="F283" t="inlineStr">
        <is>
          <t>GÄVLEBORGS LÄN</t>
        </is>
      </c>
      <c r="G283" t="inlineStr">
        <is>
          <t>BOLLNÄS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37233-2023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45155</v>
      </c>
      <c r="E284" s="1" t="n">
        <v>46296</v>
      </c>
      <c r="F284" t="inlineStr">
        <is>
          <t>GÄVLEBORGS LÄN</t>
        </is>
      </c>
      <c r="G284" t="inlineStr">
        <is>
          <t>BOLLNÄS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46296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44944</v>
      </c>
      <c r="E286" s="1" t="n">
        <v>46296</v>
      </c>
      <c r="F286" t="inlineStr">
        <is>
          <t>GÄVLEBORGS LÄN</t>
        </is>
      </c>
      <c r="G286" t="inlineStr">
        <is>
          <t>BOLLNÄS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45743</v>
      </c>
      <c r="E287" s="1" t="n">
        <v>46296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46296</v>
      </c>
      <c r="F288" t="inlineStr">
        <is>
          <t>GÄVLEBORGS LÄN</t>
        </is>
      </c>
      <c r="G288" t="inlineStr">
        <is>
          <t>BOLLNÄS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38837-2024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45547</v>
      </c>
      <c r="E289" s="1" t="n">
        <v>46296</v>
      </c>
      <c r="F289" t="inlineStr">
        <is>
          <t>GÄVLEBORGS LÄN</t>
        </is>
      </c>
      <c r="G289" t="inlineStr">
        <is>
          <t>BOLLNÄS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59637-2024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45639</v>
      </c>
      <c r="E290" s="1" t="n">
        <v>46296</v>
      </c>
      <c r="F290" t="inlineStr">
        <is>
          <t>GÄVLEBORGS LÄN</t>
        </is>
      </c>
      <c r="G290" t="inlineStr">
        <is>
          <t>BOLLNÄS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63716-2021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44509</v>
      </c>
      <c r="E291" s="1" t="n">
        <v>46296</v>
      </c>
      <c r="F291" t="inlineStr">
        <is>
          <t>GÄVLEBORGS LÄN</t>
        </is>
      </c>
      <c r="G291" t="inlineStr">
        <is>
          <t>BOLLNÄS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46296</v>
      </c>
      <c r="F292" t="inlineStr">
        <is>
          <t>GÄVLEBORGS LÄN</t>
        </is>
      </c>
      <c r="G292" t="inlineStr">
        <is>
          <t>BOLLNÄS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45675</v>
      </c>
      <c r="E293" s="1" t="n">
        <v>46296</v>
      </c>
      <c r="F293" t="inlineStr">
        <is>
          <t>GÄVLEBORGS LÄN</t>
        </is>
      </c>
      <c r="G293" t="inlineStr">
        <is>
          <t>BOLLNÄS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45631</v>
      </c>
      <c r="E294" s="1" t="n">
        <v>46296</v>
      </c>
      <c r="F294" t="inlineStr">
        <is>
          <t>GÄVLEBORGS LÄN</t>
        </is>
      </c>
      <c r="G294" t="inlineStr">
        <is>
          <t>BOLLNÄS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45660</v>
      </c>
      <c r="E295" s="1" t="n">
        <v>46296</v>
      </c>
      <c r="F295" t="inlineStr">
        <is>
          <t>GÄVLEBORGS LÄN</t>
        </is>
      </c>
      <c r="G295" t="inlineStr">
        <is>
          <t>BOLLNÄS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46296</v>
      </c>
      <c r="F296" t="inlineStr">
        <is>
          <t>GÄVLEBORGS LÄN</t>
        </is>
      </c>
      <c r="G296" t="inlineStr">
        <is>
          <t>BOLLNÄS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45776</v>
      </c>
      <c r="E297" s="1" t="n">
        <v>46296</v>
      </c>
      <c r="F297" t="inlineStr">
        <is>
          <t>GÄVLEBORGS LÄN</t>
        </is>
      </c>
      <c r="G297" t="inlineStr">
        <is>
          <t>BOLLNÄS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8035-2025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46296</v>
      </c>
      <c r="F298" t="inlineStr">
        <is>
          <t>GÄVLEBORGS LÄN</t>
        </is>
      </c>
      <c r="G298" t="inlineStr">
        <is>
          <t>BOLLNÄS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67547-2021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46296</v>
      </c>
      <c r="F299" t="inlineStr">
        <is>
          <t>GÄVLEBORGS LÄN</t>
        </is>
      </c>
      <c r="G299" t="inlineStr">
        <is>
          <t>BOLLNÄS</t>
        </is>
      </c>
      <c r="H299" t="inlineStr">
        <is>
          <t>Övriga statliga verk och myndigheter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45776</v>
      </c>
      <c r="E300" s="1" t="n">
        <v>46296</v>
      </c>
      <c r="F300" t="inlineStr">
        <is>
          <t>GÄVLEBORGS LÄN</t>
        </is>
      </c>
      <c r="G300" t="inlineStr">
        <is>
          <t>BOLLNÄS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46296</v>
      </c>
      <c r="F301" t="inlineStr">
        <is>
          <t>GÄVLEBORGS LÄN</t>
        </is>
      </c>
      <c r="G301" t="inlineStr">
        <is>
          <t>BOLLNÄS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45782</v>
      </c>
      <c r="E302" s="1" t="n">
        <v>46296</v>
      </c>
      <c r="F302" t="inlineStr">
        <is>
          <t>GÄVLEBORGS LÄN</t>
        </is>
      </c>
      <c r="G302" t="inlineStr">
        <is>
          <t>BOLLNÄS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68516-2021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44526</v>
      </c>
      <c r="E303" s="1" t="n">
        <v>46296</v>
      </c>
      <c r="F303" t="inlineStr">
        <is>
          <t>GÄVLEBORGS LÄN</t>
        </is>
      </c>
      <c r="G303" t="inlineStr">
        <is>
          <t>BOLLNÄS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46296</v>
      </c>
      <c r="F304" t="inlineStr">
        <is>
          <t>GÄVLEBORGS LÄN</t>
        </is>
      </c>
      <c r="G304" t="inlineStr">
        <is>
          <t>BOLLNÄS</t>
        </is>
      </c>
      <c r="I304" t="n">
        <v>9.199999999999999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19135-2024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45428</v>
      </c>
      <c r="E305" s="1" t="n">
        <v>46296</v>
      </c>
      <c r="F305" t="inlineStr">
        <is>
          <t>GÄVLEBORGS LÄN</t>
        </is>
      </c>
      <c r="G305" t="inlineStr">
        <is>
          <t>BOLLNÄS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21562-2025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45782</v>
      </c>
      <c r="E306" s="1" t="n">
        <v>46296</v>
      </c>
      <c r="F306" t="inlineStr">
        <is>
          <t>GÄVLEBORGS LÄN</t>
        </is>
      </c>
      <c r="G306" t="inlineStr">
        <is>
          <t>BOLLNÄS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48141-2022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44858</v>
      </c>
      <c r="E307" s="1" t="n">
        <v>46296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väst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45784</v>
      </c>
      <c r="E308" s="1" t="n">
        <v>46296</v>
      </c>
      <c r="F308" t="inlineStr">
        <is>
          <t>GÄVLEBORGS LÄN</t>
        </is>
      </c>
      <c r="G308" t="inlineStr">
        <is>
          <t>BOLLNÄS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26440-2024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46296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45534</v>
      </c>
      <c r="E310" s="1" t="n">
        <v>46296</v>
      </c>
      <c r="F310" t="inlineStr">
        <is>
          <t>GÄVLEBORGS LÄN</t>
        </is>
      </c>
      <c r="G310" t="inlineStr">
        <is>
          <t>BOLLNÄS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42579-2024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45565</v>
      </c>
      <c r="E311" s="1" t="n">
        <v>46296</v>
      </c>
      <c r="F311" t="inlineStr">
        <is>
          <t>GÄVLEBORGS LÄN</t>
        </is>
      </c>
      <c r="G311" t="inlineStr">
        <is>
          <t>BOLLNÄS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45590</v>
      </c>
      <c r="E312" s="1" t="n">
        <v>46296</v>
      </c>
      <c r="F312" t="inlineStr">
        <is>
          <t>GÄVLEBORGS LÄN</t>
        </is>
      </c>
      <c r="G312" t="inlineStr">
        <is>
          <t>BOLLNÄS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45453</v>
      </c>
      <c r="E313" s="1" t="n">
        <v>46296</v>
      </c>
      <c r="F313" t="inlineStr">
        <is>
          <t>GÄVLEBORGS LÄN</t>
        </is>
      </c>
      <c r="G313" t="inlineStr">
        <is>
          <t>BOLLNÄS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53566-2022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44879</v>
      </c>
      <c r="E314" s="1" t="n">
        <v>46296</v>
      </c>
      <c r="F314" t="inlineStr">
        <is>
          <t>GÄVLEBORGS LÄN</t>
        </is>
      </c>
      <c r="G314" t="inlineStr">
        <is>
          <t>BOLLNÄS</t>
        </is>
      </c>
      <c r="H314" t="inlineStr">
        <is>
          <t>Holmen skog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45428</v>
      </c>
      <c r="E315" s="1" t="n">
        <v>46296</v>
      </c>
      <c r="F315" t="inlineStr">
        <is>
          <t>GÄVLEBORGS LÄN</t>
        </is>
      </c>
      <c r="G315" t="inlineStr">
        <is>
          <t>BOLLNÄS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45506</v>
      </c>
      <c r="E316" s="1" t="n">
        <v>46296</v>
      </c>
      <c r="F316" t="inlineStr">
        <is>
          <t>GÄVLEBORGS LÄN</t>
        </is>
      </c>
      <c r="G316" t="inlineStr">
        <is>
          <t>BOLLNÄS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45565</v>
      </c>
      <c r="E317" s="1" t="n">
        <v>46296</v>
      </c>
      <c r="F317" t="inlineStr">
        <is>
          <t>GÄVLEBORGS LÄN</t>
        </is>
      </c>
      <c r="G317" t="inlineStr">
        <is>
          <t>BOLLNÄS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45733</v>
      </c>
      <c r="E318" s="1" t="n">
        <v>46296</v>
      </c>
      <c r="F318" t="inlineStr">
        <is>
          <t>GÄVLEBORGS LÄN</t>
        </is>
      </c>
      <c r="G318" t="inlineStr">
        <is>
          <t>BOLLNÄS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52748-2024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45610</v>
      </c>
      <c r="E319" s="1" t="n">
        <v>46296</v>
      </c>
      <c r="F319" t="inlineStr">
        <is>
          <t>GÄVLEBORGS LÄN</t>
        </is>
      </c>
      <c r="G319" t="inlineStr">
        <is>
          <t>BOLLNÄS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45624</v>
      </c>
      <c r="E320" s="1" t="n">
        <v>46296</v>
      </c>
      <c r="F320" t="inlineStr">
        <is>
          <t>GÄVLEBORGS LÄN</t>
        </is>
      </c>
      <c r="G320" t="inlineStr">
        <is>
          <t>BOLLNÄS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28083-2024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45476</v>
      </c>
      <c r="E321" s="1" t="n">
        <v>46296</v>
      </c>
      <c r="F321" t="inlineStr">
        <is>
          <t>GÄVLEBORGS LÄN</t>
        </is>
      </c>
      <c r="G321" t="inlineStr">
        <is>
          <t>BOLLNÄS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44344-2024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45573</v>
      </c>
      <c r="E322" s="1" t="n">
        <v>46296</v>
      </c>
      <c r="F322" t="inlineStr">
        <is>
          <t>GÄVLEBORGS LÄN</t>
        </is>
      </c>
      <c r="G322" t="inlineStr">
        <is>
          <t>BOLLNÄS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44120-2022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44839</v>
      </c>
      <c r="E323" s="1" t="n">
        <v>46296</v>
      </c>
      <c r="F323" t="inlineStr">
        <is>
          <t>GÄVLEBORGS LÄN</t>
        </is>
      </c>
      <c r="G323" t="inlineStr">
        <is>
          <t>BOLLNÄS</t>
        </is>
      </c>
      <c r="I323" t="n">
        <v>10.3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45187</v>
      </c>
      <c r="E324" s="1" t="n">
        <v>46296</v>
      </c>
      <c r="F324" t="inlineStr">
        <is>
          <t>GÄVLEBORGS LÄN</t>
        </is>
      </c>
      <c r="G324" t="inlineStr">
        <is>
          <t>BOLLNÄS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45261</v>
      </c>
      <c r="E325" s="1" t="n">
        <v>46296</v>
      </c>
      <c r="F325" t="inlineStr">
        <is>
          <t>GÄVLEBORGS LÄN</t>
        </is>
      </c>
      <c r="G325" t="inlineStr">
        <is>
          <t>BOLLNÄS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45785</v>
      </c>
      <c r="E326" s="1" t="n">
        <v>46296</v>
      </c>
      <c r="F326" t="inlineStr">
        <is>
          <t>GÄVLEBORGS LÄN</t>
        </is>
      </c>
      <c r="G326" t="inlineStr">
        <is>
          <t>BOLLNÄS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46296</v>
      </c>
      <c r="F327" t="inlineStr">
        <is>
          <t>GÄVLEBORGS LÄN</t>
        </is>
      </c>
      <c r="G327" t="inlineStr">
        <is>
          <t>BOLLNÄS</t>
        </is>
      </c>
      <c r="I327" t="n">
        <v>11.5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59729-2022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46296</v>
      </c>
      <c r="F328" t="inlineStr">
        <is>
          <t>GÄVLEBORGS LÄN</t>
        </is>
      </c>
      <c r="G328" t="inlineStr">
        <is>
          <t>BOLLNÄS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45163</v>
      </c>
      <c r="E329" s="1" t="n">
        <v>46296</v>
      </c>
      <c r="F329" t="inlineStr">
        <is>
          <t>GÄVLEBORGS LÄN</t>
        </is>
      </c>
      <c r="G329" t="inlineStr">
        <is>
          <t>BOLLNÄS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45789</v>
      </c>
      <c r="E330" s="1" t="n">
        <v>46296</v>
      </c>
      <c r="F330" t="inlineStr">
        <is>
          <t>GÄVLEBORGS LÄN</t>
        </is>
      </c>
      <c r="G330" t="inlineStr">
        <is>
          <t>BOLLNÄS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44865</v>
      </c>
      <c r="E331" s="1" t="n">
        <v>46296</v>
      </c>
      <c r="F331" t="inlineStr">
        <is>
          <t>GÄVLEBORGS LÄN</t>
        </is>
      </c>
      <c r="G331" t="inlineStr">
        <is>
          <t>BOLLNÄS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46296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8119-2024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45351</v>
      </c>
      <c r="E333" s="1" t="n">
        <v>46296</v>
      </c>
      <c r="F333" t="inlineStr">
        <is>
          <t>GÄVLEBORGS LÄN</t>
        </is>
      </c>
      <c r="G333" t="inlineStr">
        <is>
          <t>BOLLNÄS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45644</v>
      </c>
      <c r="E334" s="1" t="n">
        <v>46296</v>
      </c>
      <c r="F334" t="inlineStr">
        <is>
          <t>GÄVLEBORGS LÄN</t>
        </is>
      </c>
      <c r="G334" t="inlineStr">
        <is>
          <t>BOLLNÄS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45672</v>
      </c>
      <c r="E335" s="1" t="n">
        <v>46296</v>
      </c>
      <c r="F335" t="inlineStr">
        <is>
          <t>GÄVLEBORGS LÄN</t>
        </is>
      </c>
      <c r="G335" t="inlineStr">
        <is>
          <t>BOLLNÄS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28981-2022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46296</v>
      </c>
      <c r="F336" t="inlineStr">
        <is>
          <t>GÄVLEBORGS LÄN</t>
        </is>
      </c>
      <c r="G336" t="inlineStr">
        <is>
          <t>BOLLNÄS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45672</v>
      </c>
      <c r="E337" s="1" t="n">
        <v>46296</v>
      </c>
      <c r="F337" t="inlineStr">
        <is>
          <t>GÄVLEBORGS LÄN</t>
        </is>
      </c>
      <c r="G337" t="inlineStr">
        <is>
          <t>BOLLNÄS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45672</v>
      </c>
      <c r="E338" s="1" t="n">
        <v>46296</v>
      </c>
      <c r="F338" t="inlineStr">
        <is>
          <t>GÄVLEBORGS LÄN</t>
        </is>
      </c>
      <c r="G338" t="inlineStr">
        <is>
          <t>BOLLNÄS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60956-2022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44914</v>
      </c>
      <c r="E339" s="1" t="n">
        <v>46296</v>
      </c>
      <c r="F339" t="inlineStr">
        <is>
          <t>GÄVLEBORGS LÄN</t>
        </is>
      </c>
      <c r="G339" t="inlineStr">
        <is>
          <t>BOLLNÄS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29715-2024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45485</v>
      </c>
      <c r="E340" s="1" t="n">
        <v>46296</v>
      </c>
      <c r="F340" t="inlineStr">
        <is>
          <t>GÄVLEBORGS LÄN</t>
        </is>
      </c>
      <c r="G340" t="inlineStr">
        <is>
          <t>BOLLNÄS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46296</v>
      </c>
      <c r="F341" t="inlineStr">
        <is>
          <t>GÄVLEBORGS LÄN</t>
        </is>
      </c>
      <c r="G341" t="inlineStr">
        <is>
          <t>BOLLNÄS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44872</v>
      </c>
      <c r="E342" s="1" t="n">
        <v>46296</v>
      </c>
      <c r="F342" t="inlineStr">
        <is>
          <t>GÄVLEBORGS LÄN</t>
        </is>
      </c>
      <c r="G342" t="inlineStr">
        <is>
          <t>BOLLNÄS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49993-2024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45597</v>
      </c>
      <c r="E343" s="1" t="n">
        <v>46296</v>
      </c>
      <c r="F343" t="inlineStr">
        <is>
          <t>GÄVLEBORGS LÄN</t>
        </is>
      </c>
      <c r="G343" t="inlineStr">
        <is>
          <t>BOLLNÄS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46296</v>
      </c>
      <c r="F344" t="inlineStr">
        <is>
          <t>GÄVLEBORGS LÄN</t>
        </is>
      </c>
      <c r="G344" t="inlineStr">
        <is>
          <t>BOLLNÄS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46296</v>
      </c>
      <c r="F345" t="inlineStr">
        <is>
          <t>GÄVLEBORGS LÄN</t>
        </is>
      </c>
      <c r="G345" t="inlineStr">
        <is>
          <t>BOLLNÄS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45790</v>
      </c>
      <c r="E346" s="1" t="n">
        <v>46296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45793</v>
      </c>
      <c r="E347" s="1" t="n">
        <v>46296</v>
      </c>
      <c r="F347" t="inlineStr">
        <is>
          <t>GÄVLEBORGS LÄN</t>
        </is>
      </c>
      <c r="G347" t="inlineStr">
        <is>
          <t>BOLLNÄS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45588</v>
      </c>
      <c r="E348" s="1" t="n">
        <v>46296</v>
      </c>
      <c r="F348" t="inlineStr">
        <is>
          <t>GÄVLEBORGS LÄN</t>
        </is>
      </c>
      <c r="G348" t="inlineStr">
        <is>
          <t>BOLLNÄS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47894-2024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46296</v>
      </c>
      <c r="F349" t="inlineStr">
        <is>
          <t>GÄVLEBORGS LÄN</t>
        </is>
      </c>
      <c r="G349" t="inlineStr">
        <is>
          <t>BOLLNÄS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8519-2025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45709</v>
      </c>
      <c r="E350" s="1" t="n">
        <v>46296</v>
      </c>
      <c r="F350" t="inlineStr">
        <is>
          <t>GÄVLEBORGS LÄN</t>
        </is>
      </c>
      <c r="G350" t="inlineStr">
        <is>
          <t>BOLLNÄS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45793</v>
      </c>
      <c r="E351" s="1" t="n">
        <v>46296</v>
      </c>
      <c r="F351" t="inlineStr">
        <is>
          <t>GÄVLEBORGS LÄN</t>
        </is>
      </c>
      <c r="G351" t="inlineStr">
        <is>
          <t>BOLLNÄS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45366</v>
      </c>
      <c r="E352" s="1" t="n">
        <v>46296</v>
      </c>
      <c r="F352" t="inlineStr">
        <is>
          <t>GÄVLEBORGS LÄN</t>
        </is>
      </c>
      <c r="G352" t="inlineStr">
        <is>
          <t>BOLLNÄS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56755-2022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44894</v>
      </c>
      <c r="E353" s="1" t="n">
        <v>46296</v>
      </c>
      <c r="F353" t="inlineStr">
        <is>
          <t>GÄVLEBORGS LÄN</t>
        </is>
      </c>
      <c r="G353" t="inlineStr">
        <is>
          <t>BOLLNÄS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48666-2022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44859</v>
      </c>
      <c r="E354" s="1" t="n">
        <v>46296</v>
      </c>
      <c r="F354" t="inlineStr">
        <is>
          <t>GÄVLEBORGS LÄN</t>
        </is>
      </c>
      <c r="G354" t="inlineStr">
        <is>
          <t>BOLLNÄS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45583</v>
      </c>
      <c r="E355" s="1" t="n">
        <v>46296</v>
      </c>
      <c r="F355" t="inlineStr">
        <is>
          <t>GÄVLEBORGS LÄN</t>
        </is>
      </c>
      <c r="G355" t="inlineStr">
        <is>
          <t>BOLLNÄS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49883-2023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45213</v>
      </c>
      <c r="E356" s="1" t="n">
        <v>46296</v>
      </c>
      <c r="F356" t="inlineStr">
        <is>
          <t>GÄVLEBORGS LÄN</t>
        </is>
      </c>
      <c r="G356" t="inlineStr">
        <is>
          <t>BOLLNÄS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23882-2025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45793</v>
      </c>
      <c r="E357" s="1" t="n">
        <v>46296</v>
      </c>
      <c r="F357" t="inlineStr">
        <is>
          <t>GÄVLEBORGS LÄN</t>
        </is>
      </c>
      <c r="G357" t="inlineStr">
        <is>
          <t>BOLLNÄS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46296</v>
      </c>
      <c r="F358" t="inlineStr">
        <is>
          <t>GÄVLEBORGS LÄN</t>
        </is>
      </c>
      <c r="G358" t="inlineStr">
        <is>
          <t>BOLLNÄS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56547-2023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45243</v>
      </c>
      <c r="E359" s="1" t="n">
        <v>46296</v>
      </c>
      <c r="F359" t="inlineStr">
        <is>
          <t>GÄVLEBORGS LÄN</t>
        </is>
      </c>
      <c r="G359" t="inlineStr">
        <is>
          <t>BOLLNÄS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38594-2024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45546</v>
      </c>
      <c r="E360" s="1" t="n">
        <v>46296</v>
      </c>
      <c r="F360" t="inlineStr">
        <is>
          <t>GÄVLEBORGS LÄN</t>
        </is>
      </c>
      <c r="G360" t="inlineStr">
        <is>
          <t>BOLLNÄS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45414</v>
      </c>
      <c r="E361" s="1" t="n">
        <v>46296</v>
      </c>
      <c r="F361" t="inlineStr">
        <is>
          <t>GÄVLEBORGS LÄN</t>
        </is>
      </c>
      <c r="G361" t="inlineStr">
        <is>
          <t>BOLLNÄS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28795-2024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45478</v>
      </c>
      <c r="E362" s="1" t="n">
        <v>46296</v>
      </c>
      <c r="F362" t="inlineStr">
        <is>
          <t>GÄVLEBORGS LÄN</t>
        </is>
      </c>
      <c r="G362" t="inlineStr">
        <is>
          <t>BOLLNÄS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59331-2022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44904</v>
      </c>
      <c r="E363" s="1" t="n">
        <v>46296</v>
      </c>
      <c r="F363" t="inlineStr">
        <is>
          <t>GÄVLEBORGS LÄN</t>
        </is>
      </c>
      <c r="G363" t="inlineStr">
        <is>
          <t>BOLLNÄS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18311-2023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45041</v>
      </c>
      <c r="E364" s="1" t="n">
        <v>46296</v>
      </c>
      <c r="F364" t="inlineStr">
        <is>
          <t>GÄVLEBORGS LÄN</t>
        </is>
      </c>
      <c r="G364" t="inlineStr">
        <is>
          <t>BOLLNÄS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57041-2022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44895</v>
      </c>
      <c r="E365" s="1" t="n">
        <v>46296</v>
      </c>
      <c r="F365" t="inlineStr">
        <is>
          <t>GÄVLEBORGS LÄN</t>
        </is>
      </c>
      <c r="G365" t="inlineStr">
        <is>
          <t>BOLLNÄS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45797</v>
      </c>
      <c r="E366" s="1" t="n">
        <v>46296</v>
      </c>
      <c r="F366" t="inlineStr">
        <is>
          <t>GÄVLEBORGS LÄN</t>
        </is>
      </c>
      <c r="G366" t="inlineStr">
        <is>
          <t>BOLLNÄS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51681-2024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45607</v>
      </c>
      <c r="E367" s="1" t="n">
        <v>46296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45016</v>
      </c>
      <c r="E368" s="1" t="n">
        <v>46296</v>
      </c>
      <c r="F368" t="inlineStr">
        <is>
          <t>GÄVLEBORGS LÄN</t>
        </is>
      </c>
      <c r="G368" t="inlineStr">
        <is>
          <t>BOLLNÄS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31022-2024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45500</v>
      </c>
      <c r="E369" s="1" t="n">
        <v>46296</v>
      </c>
      <c r="F369" t="inlineStr">
        <is>
          <t>GÄVLEBORGS LÄN</t>
        </is>
      </c>
      <c r="G369" t="inlineStr">
        <is>
          <t>BOLLNÄS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24770-2022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44728</v>
      </c>
      <c r="E370" s="1" t="n">
        <v>46296</v>
      </c>
      <c r="F370" t="inlineStr">
        <is>
          <t>GÄVLEBORGS LÄN</t>
        </is>
      </c>
      <c r="G370" t="inlineStr">
        <is>
          <t>BOLLNÄS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2311-2024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45310</v>
      </c>
      <c r="E371" s="1" t="n">
        <v>46296</v>
      </c>
      <c r="F371" t="inlineStr">
        <is>
          <t>GÄVLEBORGS LÄN</t>
        </is>
      </c>
      <c r="G371" t="inlineStr">
        <is>
          <t>BOLLNÄS</t>
        </is>
      </c>
      <c r="H371" t="inlineStr">
        <is>
          <t>Övriga statliga verk och myndigheter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24319-2025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45797</v>
      </c>
      <c r="E372" s="1" t="n">
        <v>46296</v>
      </c>
      <c r="F372" t="inlineStr">
        <is>
          <t>GÄVLEBORGS LÄN</t>
        </is>
      </c>
      <c r="G372" t="inlineStr">
        <is>
          <t>BOLLNÄS</t>
        </is>
      </c>
      <c r="I372" t="n">
        <v>7.6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44686</v>
      </c>
      <c r="E373" s="1" t="n">
        <v>46296</v>
      </c>
      <c r="F373" t="inlineStr">
        <is>
          <t>GÄVLEBORGS LÄN</t>
        </is>
      </c>
      <c r="G373" t="inlineStr">
        <is>
          <t>BOLLNÄS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45008</v>
      </c>
      <c r="E374" s="1" t="n">
        <v>46296</v>
      </c>
      <c r="F374" t="inlineStr">
        <is>
          <t>GÄVLEBORGS LÄN</t>
        </is>
      </c>
      <c r="G374" t="inlineStr">
        <is>
          <t>BOLLNÄS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45114</v>
      </c>
      <c r="E375" s="1" t="n">
        <v>46296</v>
      </c>
      <c r="F375" t="inlineStr">
        <is>
          <t>GÄVLEBORGS LÄN</t>
        </is>
      </c>
      <c r="G375" t="inlineStr">
        <is>
          <t>BOLLNÄS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45743</v>
      </c>
      <c r="E376" s="1" t="n">
        <v>46296</v>
      </c>
      <c r="F376" t="inlineStr">
        <is>
          <t>GÄVLEBORGS LÄN</t>
        </is>
      </c>
      <c r="G376" t="inlineStr">
        <is>
          <t>BOLLNÄS</t>
        </is>
      </c>
      <c r="I376" t="n">
        <v>11.7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29742-2024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45485</v>
      </c>
      <c r="E377" s="1" t="n">
        <v>46296</v>
      </c>
      <c r="F377" t="inlineStr">
        <is>
          <t>GÄVLEBORGS LÄN</t>
        </is>
      </c>
      <c r="G377" t="inlineStr">
        <is>
          <t>BOLLNÄS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59085-2021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44490</v>
      </c>
      <c r="E378" s="1" t="n">
        <v>46296</v>
      </c>
      <c r="F378" t="inlineStr">
        <is>
          <t>GÄVLEBORGS LÄN</t>
        </is>
      </c>
      <c r="G378" t="inlineStr">
        <is>
          <t>BOLLNÄS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61220-2022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44915</v>
      </c>
      <c r="E379" s="1" t="n">
        <v>46296</v>
      </c>
      <c r="F379" t="inlineStr">
        <is>
          <t>GÄVLEBORGS LÄN</t>
        </is>
      </c>
      <c r="G379" t="inlineStr">
        <is>
          <t>BOLLNÄS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45799</v>
      </c>
      <c r="E380" s="1" t="n">
        <v>46296</v>
      </c>
      <c r="F380" t="inlineStr">
        <is>
          <t>GÄVLEBORGS LÄN</t>
        </is>
      </c>
      <c r="G380" t="inlineStr">
        <is>
          <t>BOLLNÄS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45799</v>
      </c>
      <c r="E381" s="1" t="n">
        <v>46296</v>
      </c>
      <c r="F381" t="inlineStr">
        <is>
          <t>GÄVLEBORGS LÄN</t>
        </is>
      </c>
      <c r="G381" t="inlineStr">
        <is>
          <t>BOLLNÄS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24920-2025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45799</v>
      </c>
      <c r="E382" s="1" t="n">
        <v>46296</v>
      </c>
      <c r="F382" t="inlineStr">
        <is>
          <t>GÄVLEBORGS LÄN</t>
        </is>
      </c>
      <c r="G382" t="inlineStr">
        <is>
          <t>BOLLNÄS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46664-2024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45583</v>
      </c>
      <c r="E383" s="1" t="n">
        <v>46296</v>
      </c>
      <c r="F383" t="inlineStr">
        <is>
          <t>GÄVLEBORGS LÄN</t>
        </is>
      </c>
      <c r="G383" t="inlineStr">
        <is>
          <t>BOLLNÄS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45583</v>
      </c>
      <c r="E384" s="1" t="n">
        <v>46296</v>
      </c>
      <c r="F384" t="inlineStr">
        <is>
          <t>GÄVLEBORGS LÄN</t>
        </is>
      </c>
      <c r="G384" t="inlineStr">
        <is>
          <t>BOLLNÄS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45490</v>
      </c>
      <c r="E385" s="1" t="n">
        <v>46296</v>
      </c>
      <c r="F385" t="inlineStr">
        <is>
          <t>GÄVLEBORGS LÄN</t>
        </is>
      </c>
      <c r="G385" t="inlineStr">
        <is>
          <t>BOLLNÄS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21616-2022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44706</v>
      </c>
      <c r="E386" s="1" t="n">
        <v>46296</v>
      </c>
      <c r="F386" t="inlineStr">
        <is>
          <t>GÄVLEBORGS LÄN</t>
        </is>
      </c>
      <c r="G386" t="inlineStr">
        <is>
          <t>BOLLNÄS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45664</v>
      </c>
      <c r="E387" s="1" t="n">
        <v>46296</v>
      </c>
      <c r="F387" t="inlineStr">
        <is>
          <t>GÄVLEBORGS LÄN</t>
        </is>
      </c>
      <c r="G387" t="inlineStr">
        <is>
          <t>BOLLNÄS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45086</v>
      </c>
      <c r="E388" s="1" t="n">
        <v>46296</v>
      </c>
      <c r="F388" t="inlineStr">
        <is>
          <t>GÄVLEBORGS LÄN</t>
        </is>
      </c>
      <c r="G388" t="inlineStr">
        <is>
          <t>BOLLNÄS</t>
        </is>
      </c>
      <c r="H388" t="inlineStr">
        <is>
          <t>Sveaskog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11645-2022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44631</v>
      </c>
      <c r="E389" s="1" t="n">
        <v>46296</v>
      </c>
      <c r="F389" t="inlineStr">
        <is>
          <t>GÄVLEBORGS LÄN</t>
        </is>
      </c>
      <c r="G389" t="inlineStr">
        <is>
          <t>BOLLNÄS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45453</v>
      </c>
      <c r="E390" s="1" t="n">
        <v>46296</v>
      </c>
      <c r="F390" t="inlineStr">
        <is>
          <t>GÄVLEBORGS LÄN</t>
        </is>
      </c>
      <c r="G390" t="inlineStr">
        <is>
          <t>BOLLNÄS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63862-2023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45278</v>
      </c>
      <c r="E391" s="1" t="n">
        <v>46296</v>
      </c>
      <c r="F391" t="inlineStr">
        <is>
          <t>GÄVLEBORGS LÄN</t>
        </is>
      </c>
      <c r="G391" t="inlineStr">
        <is>
          <t>BOLLNÄS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60495-2023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45258</v>
      </c>
      <c r="E392" s="1" t="n">
        <v>46296</v>
      </c>
      <c r="F392" t="inlineStr">
        <is>
          <t>GÄVLEBORGS LÄN</t>
        </is>
      </c>
      <c r="G392" t="inlineStr">
        <is>
          <t>BOLLNÄS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25631-2022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44732</v>
      </c>
      <c r="E393" s="1" t="n">
        <v>46296</v>
      </c>
      <c r="F393" t="inlineStr">
        <is>
          <t>GÄVLEBORGS LÄN</t>
        </is>
      </c>
      <c r="G393" t="inlineStr">
        <is>
          <t>BOLLNÄS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45733</v>
      </c>
      <c r="E394" s="1" t="n">
        <v>46296</v>
      </c>
      <c r="F394" t="inlineStr">
        <is>
          <t>GÄVLEBORGS LÄN</t>
        </is>
      </c>
      <c r="G394" t="inlineStr">
        <is>
          <t>BOLLNÄS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45800</v>
      </c>
      <c r="E395" s="1" t="n">
        <v>46296</v>
      </c>
      <c r="F395" t="inlineStr">
        <is>
          <t>GÄVLEBORGS LÄN</t>
        </is>
      </c>
      <c r="G395" t="inlineStr">
        <is>
          <t>BOLLNÄS</t>
        </is>
      </c>
      <c r="H395" t="inlineStr">
        <is>
          <t>Holmen skog AB</t>
        </is>
      </c>
      <c r="I395" t="n">
        <v>17.7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45803</v>
      </c>
      <c r="E396" s="1" t="n">
        <v>46296</v>
      </c>
      <c r="F396" t="inlineStr">
        <is>
          <t>GÄVLEBORGS LÄN</t>
        </is>
      </c>
      <c r="G396" t="inlineStr">
        <is>
          <t>BOLLNÄS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45805</v>
      </c>
      <c r="E397" s="1" t="n">
        <v>46296</v>
      </c>
      <c r="F397" t="inlineStr">
        <is>
          <t>GÄVLEBORGS LÄN</t>
        </is>
      </c>
      <c r="G397" t="inlineStr">
        <is>
          <t>BOLLNÄS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51156-2023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45212</v>
      </c>
      <c r="E398" s="1" t="n">
        <v>46296</v>
      </c>
      <c r="F398" t="inlineStr">
        <is>
          <t>GÄVLEBORGS LÄN</t>
        </is>
      </c>
      <c r="G398" t="inlineStr">
        <is>
          <t>BOLLNÄS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46296</v>
      </c>
      <c r="F399" t="inlineStr">
        <is>
          <t>GÄVLEBORGS LÄN</t>
        </is>
      </c>
      <c r="G399" t="inlineStr">
        <is>
          <t>BOLLNÄS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46296</v>
      </c>
      <c r="F400" t="inlineStr">
        <is>
          <t>GÄVLEBORGS LÄN</t>
        </is>
      </c>
      <c r="G400" t="inlineStr">
        <is>
          <t>BOLLNÄS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51310-2023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45219</v>
      </c>
      <c r="E401" s="1" t="n">
        <v>46296</v>
      </c>
      <c r="F401" t="inlineStr">
        <is>
          <t>GÄVLEBORGS LÄN</t>
        </is>
      </c>
      <c r="G401" t="inlineStr">
        <is>
          <t>BOLLNÄS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45805</v>
      </c>
      <c r="E402" s="1" t="n">
        <v>46296</v>
      </c>
      <c r="F402" t="inlineStr">
        <is>
          <t>GÄVLEBORGS LÄN</t>
        </is>
      </c>
      <c r="G402" t="inlineStr">
        <is>
          <t>BOLLNÄS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45804</v>
      </c>
      <c r="E403" s="1" t="n">
        <v>46296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37071-2022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44806</v>
      </c>
      <c r="E404" s="1" t="n">
        <v>46296</v>
      </c>
      <c r="F404" t="inlineStr">
        <is>
          <t>GÄVLEBORGS LÄN</t>
        </is>
      </c>
      <c r="G404" t="inlineStr">
        <is>
          <t>BOLLNÄS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45637</v>
      </c>
      <c r="E405" s="1" t="n">
        <v>46296</v>
      </c>
      <c r="F405" t="inlineStr">
        <is>
          <t>GÄVLEBORGS LÄN</t>
        </is>
      </c>
      <c r="G405" t="inlineStr">
        <is>
          <t>BOLLNÄS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22646-2022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44714</v>
      </c>
      <c r="E406" s="1" t="n">
        <v>46296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26723-2025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45810</v>
      </c>
      <c r="E407" s="1" t="n">
        <v>46296</v>
      </c>
      <c r="F407" t="inlineStr">
        <is>
          <t>GÄVLEBORGS LÄN</t>
        </is>
      </c>
      <c r="G407" t="inlineStr">
        <is>
          <t>BOLLNÄS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57510-2023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45246</v>
      </c>
      <c r="E408" s="1" t="n">
        <v>46296</v>
      </c>
      <c r="F408" t="inlineStr">
        <is>
          <t>GÄVLEBORGS LÄN</t>
        </is>
      </c>
      <c r="G408" t="inlineStr">
        <is>
          <t>BOLLNÄS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69613-2021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44532</v>
      </c>
      <c r="E409" s="1" t="n">
        <v>46296</v>
      </c>
      <c r="F409" t="inlineStr">
        <is>
          <t>GÄVLEBORGS LÄN</t>
        </is>
      </c>
      <c r="G409" t="inlineStr">
        <is>
          <t>BOLLNÄS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58716-2023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45251</v>
      </c>
      <c r="E410" s="1" t="n">
        <v>46296</v>
      </c>
      <c r="F410" t="inlineStr">
        <is>
          <t>GÄVLEBORGS LÄN</t>
        </is>
      </c>
      <c r="G410" t="inlineStr">
        <is>
          <t>BOLLNÄS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46296</v>
      </c>
      <c r="F411" t="inlineStr">
        <is>
          <t>GÄVLEBORGS LÄN</t>
        </is>
      </c>
      <c r="G411" t="inlineStr">
        <is>
          <t>BOLLNÄS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46296</v>
      </c>
      <c r="F412" t="inlineStr">
        <is>
          <t>GÄVLEBORGS LÄN</t>
        </is>
      </c>
      <c r="G412" t="inlineStr">
        <is>
          <t>BOLLNÄS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27345-2025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45812</v>
      </c>
      <c r="E413" s="1" t="n">
        <v>46296</v>
      </c>
      <c r="F413" t="inlineStr">
        <is>
          <t>GÄVLEBORGS LÄN</t>
        </is>
      </c>
      <c r="G413" t="inlineStr">
        <is>
          <t>BOLLNÄS</t>
        </is>
      </c>
      <c r="I413" t="n">
        <v>9.199999999999999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45812</v>
      </c>
      <c r="E414" s="1" t="n">
        <v>46296</v>
      </c>
      <c r="F414" t="inlineStr">
        <is>
          <t>GÄVLEBORGS LÄN</t>
        </is>
      </c>
      <c r="G414" t="inlineStr">
        <is>
          <t>BOLLNÄS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32859-2024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45516</v>
      </c>
      <c r="E415" s="1" t="n">
        <v>46296</v>
      </c>
      <c r="F415" t="inlineStr">
        <is>
          <t>GÄVLEBORGS LÄN</t>
        </is>
      </c>
      <c r="G415" t="inlineStr">
        <is>
          <t>BOLLNÄS</t>
        </is>
      </c>
      <c r="H415" t="inlineStr">
        <is>
          <t>Sveaskog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51149-2023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45212</v>
      </c>
      <c r="E416" s="1" t="n">
        <v>46296</v>
      </c>
      <c r="F416" t="inlineStr">
        <is>
          <t>GÄVLEBORGS LÄN</t>
        </is>
      </c>
      <c r="G416" t="inlineStr">
        <is>
          <t>BOLLNÄS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27143-2025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45812</v>
      </c>
      <c r="E417" s="1" t="n">
        <v>46296</v>
      </c>
      <c r="F417" t="inlineStr">
        <is>
          <t>GÄVLEBORGS LÄN</t>
        </is>
      </c>
      <c r="G417" t="inlineStr">
        <is>
          <t>BOLLNÄS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45540</v>
      </c>
      <c r="E418" s="1" t="n">
        <v>46296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väst AB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58753-2021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44489</v>
      </c>
      <c r="E419" s="1" t="n">
        <v>46296</v>
      </c>
      <c r="F419" t="inlineStr">
        <is>
          <t>GÄVLEBORGS LÄN</t>
        </is>
      </c>
      <c r="G419" t="inlineStr">
        <is>
          <t>BOLLNÄS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28771-2023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45104</v>
      </c>
      <c r="E420" s="1" t="n">
        <v>46296</v>
      </c>
      <c r="F420" t="inlineStr">
        <is>
          <t>GÄVLEBORGS LÄN</t>
        </is>
      </c>
      <c r="G420" t="inlineStr">
        <is>
          <t>BOLLNÄS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21682-2024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45442</v>
      </c>
      <c r="E421" s="1" t="n">
        <v>46296</v>
      </c>
      <c r="F421" t="inlineStr">
        <is>
          <t>GÄVLEBORGS LÄN</t>
        </is>
      </c>
      <c r="G421" t="inlineStr">
        <is>
          <t>BOLLNÄS</t>
        </is>
      </c>
      <c r="H421" t="inlineStr">
        <is>
          <t>Bergvik skog väst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44596</v>
      </c>
      <c r="E422" s="1" t="n">
        <v>46296</v>
      </c>
      <c r="F422" t="inlineStr">
        <is>
          <t>GÄVLEBORGS LÄN</t>
        </is>
      </c>
      <c r="G422" t="inlineStr">
        <is>
          <t>BOLLNÄS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48307-2023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46296</v>
      </c>
      <c r="F423" t="inlineStr">
        <is>
          <t>GÄVLEBORGS LÄN</t>
        </is>
      </c>
      <c r="G423" t="inlineStr">
        <is>
          <t>BOLLNÄS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21211-2025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45779</v>
      </c>
      <c r="E424" s="1" t="n">
        <v>46296</v>
      </c>
      <c r="F424" t="inlineStr">
        <is>
          <t>GÄVLEBORGS LÄN</t>
        </is>
      </c>
      <c r="G424" t="inlineStr">
        <is>
          <t>BOLLNÄS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45352</v>
      </c>
      <c r="E425" s="1" t="n">
        <v>46296</v>
      </c>
      <c r="F425" t="inlineStr">
        <is>
          <t>GÄVLEBORGS LÄN</t>
        </is>
      </c>
      <c r="G425" t="inlineStr">
        <is>
          <t>BOLLNÄS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46296</v>
      </c>
      <c r="F426" t="inlineStr">
        <is>
          <t>GÄVLEBORGS LÄN</t>
        </is>
      </c>
      <c r="G426" t="inlineStr">
        <is>
          <t>BOLLNÄS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45664</v>
      </c>
      <c r="E427" s="1" t="n">
        <v>46296</v>
      </c>
      <c r="F427" t="inlineStr">
        <is>
          <t>GÄVLEBORGS LÄN</t>
        </is>
      </c>
      <c r="G427" t="inlineStr">
        <is>
          <t>BOLLNÄS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45818</v>
      </c>
      <c r="E428" s="1" t="n">
        <v>46296</v>
      </c>
      <c r="F428" t="inlineStr">
        <is>
          <t>GÄVLEBORGS LÄN</t>
        </is>
      </c>
      <c r="G428" t="inlineStr">
        <is>
          <t>BOLLNÄS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45145</v>
      </c>
      <c r="E429" s="1" t="n">
        <v>46296</v>
      </c>
      <c r="F429" t="inlineStr">
        <is>
          <t>GÄVLEBORGS LÄN</t>
        </is>
      </c>
      <c r="G429" t="inlineStr">
        <is>
          <t>BOLLNÄS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45091</v>
      </c>
      <c r="E430" s="1" t="n">
        <v>46296</v>
      </c>
      <c r="F430" t="inlineStr">
        <is>
          <t>GÄVLEBORGS LÄN</t>
        </is>
      </c>
      <c r="G430" t="inlineStr">
        <is>
          <t>BOLLNÄS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45818</v>
      </c>
      <c r="E431" s="1" t="n">
        <v>46296</v>
      </c>
      <c r="F431" t="inlineStr">
        <is>
          <t>GÄVLEBORGS LÄN</t>
        </is>
      </c>
      <c r="G431" t="inlineStr">
        <is>
          <t>BOLLNÄS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53036-2024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45611</v>
      </c>
      <c r="E432" s="1" t="n">
        <v>46296</v>
      </c>
      <c r="F432" t="inlineStr">
        <is>
          <t>GÄVLEBORGS LÄN</t>
        </is>
      </c>
      <c r="G432" t="inlineStr">
        <is>
          <t>BOLLNÄS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45202</v>
      </c>
      <c r="E433" s="1" t="n">
        <v>46296</v>
      </c>
      <c r="F433" t="inlineStr">
        <is>
          <t>GÄVLEBORGS LÄN</t>
        </is>
      </c>
      <c r="G433" t="inlineStr">
        <is>
          <t>BOLLNÄS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46296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öst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46296</v>
      </c>
      <c r="F435" t="inlineStr">
        <is>
          <t>GÄVLEBORGS LÄN</t>
        </is>
      </c>
      <c r="G435" t="inlineStr">
        <is>
          <t>BOLLNÄS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46296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11.7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36877-2022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46296</v>
      </c>
      <c r="F437" t="inlineStr">
        <is>
          <t>GÄVLEBORGS LÄN</t>
        </is>
      </c>
      <c r="G437" t="inlineStr">
        <is>
          <t>BOLLNÄS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45819</v>
      </c>
      <c r="E438" s="1" t="n">
        <v>46296</v>
      </c>
      <c r="F438" t="inlineStr">
        <is>
          <t>GÄVLEBORGS LÄN</t>
        </is>
      </c>
      <c r="G438" t="inlineStr">
        <is>
          <t>BOLLNÄS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57387-2024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45629</v>
      </c>
      <c r="E439" s="1" t="n">
        <v>46296</v>
      </c>
      <c r="F439" t="inlineStr">
        <is>
          <t>GÄVLEBORGS LÄN</t>
        </is>
      </c>
      <c r="G439" t="inlineStr">
        <is>
          <t>BOLLNÄS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56453-2023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45243</v>
      </c>
      <c r="E440" s="1" t="n">
        <v>46296</v>
      </c>
      <c r="F440" t="inlineStr">
        <is>
          <t>GÄVLEBORGS LÄN</t>
        </is>
      </c>
      <c r="G440" t="inlineStr">
        <is>
          <t>BOLLNÄS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57689-2022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44897</v>
      </c>
      <c r="E441" s="1" t="n">
        <v>46296</v>
      </c>
      <c r="F441" t="inlineStr">
        <is>
          <t>GÄVLEBORGS LÄN</t>
        </is>
      </c>
      <c r="G441" t="inlineStr">
        <is>
          <t>BOLLNÄS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23378-2022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44720</v>
      </c>
      <c r="E442" s="1" t="n">
        <v>46296</v>
      </c>
      <c r="F442" t="inlineStr">
        <is>
          <t>GÄVLEBORGS LÄN</t>
        </is>
      </c>
      <c r="G442" t="inlineStr">
        <is>
          <t>BOLLNÄS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14030-2025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45740</v>
      </c>
      <c r="E443" s="1" t="n">
        <v>46296</v>
      </c>
      <c r="F443" t="inlineStr">
        <is>
          <t>GÄVLEBORGS LÄN</t>
        </is>
      </c>
      <c r="G443" t="inlineStr">
        <is>
          <t>BOLLNÄS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51306-2023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45219</v>
      </c>
      <c r="E444" s="1" t="n">
        <v>46296</v>
      </c>
      <c r="F444" t="inlineStr">
        <is>
          <t>GÄVLEBORGS LÄN</t>
        </is>
      </c>
      <c r="G444" t="inlineStr">
        <is>
          <t>BOLLNÄS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24994-2024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45461</v>
      </c>
      <c r="E445" s="1" t="n">
        <v>46296</v>
      </c>
      <c r="F445" t="inlineStr">
        <is>
          <t>GÄVLEBORGS LÄN</t>
        </is>
      </c>
      <c r="G445" t="inlineStr">
        <is>
          <t>BOLLNÄS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56209-2023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45240</v>
      </c>
      <c r="E446" s="1" t="n">
        <v>46296</v>
      </c>
      <c r="F446" t="inlineStr">
        <is>
          <t>GÄVLEBORGS LÄN</t>
        </is>
      </c>
      <c r="G446" t="inlineStr">
        <is>
          <t>BOLLNÄS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29575-2025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45825</v>
      </c>
      <c r="E447" s="1" t="n">
        <v>46296</v>
      </c>
      <c r="F447" t="inlineStr">
        <is>
          <t>GÄVLEBORGS LÄN</t>
        </is>
      </c>
      <c r="G447" t="inlineStr">
        <is>
          <t>BOLLNÄS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58333-2022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44901</v>
      </c>
      <c r="E448" s="1" t="n">
        <v>46296</v>
      </c>
      <c r="F448" t="inlineStr">
        <is>
          <t>GÄVLEBORGS LÄN</t>
        </is>
      </c>
      <c r="G448" t="inlineStr">
        <is>
          <t>BOLLNÄS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61769-2024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45649</v>
      </c>
      <c r="E449" s="1" t="n">
        <v>46296</v>
      </c>
      <c r="F449" t="inlineStr">
        <is>
          <t>GÄVLEBORGS LÄN</t>
        </is>
      </c>
      <c r="G449" t="inlineStr">
        <is>
          <t>BOLLNÄS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30292-2025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45827</v>
      </c>
      <c r="E450" s="1" t="n">
        <v>46296</v>
      </c>
      <c r="F450" t="inlineStr">
        <is>
          <t>GÄVLEBORGS LÄN</t>
        </is>
      </c>
      <c r="G450" t="inlineStr">
        <is>
          <t>BOLLNÄS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43384-2024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45568</v>
      </c>
      <c r="E451" s="1" t="n">
        <v>46296</v>
      </c>
      <c r="F451" t="inlineStr">
        <is>
          <t>GÄVLEBORGS LÄN</t>
        </is>
      </c>
      <c r="G451" t="inlineStr">
        <is>
          <t>BOLLNÄS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45827</v>
      </c>
      <c r="E452" s="1" t="n">
        <v>46296</v>
      </c>
      <c r="F452" t="inlineStr">
        <is>
          <t>GÄVLEBORGS LÄN</t>
        </is>
      </c>
      <c r="G452" t="inlineStr">
        <is>
          <t>BOLLNÄS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12451-2023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44999</v>
      </c>
      <c r="E453" s="1" t="n">
        <v>46296</v>
      </c>
      <c r="F453" t="inlineStr">
        <is>
          <t>GÄVLEBORGS LÄN</t>
        </is>
      </c>
      <c r="G453" t="inlineStr">
        <is>
          <t>BOLLNÄS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30456-2025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45827</v>
      </c>
      <c r="E454" s="1" t="n">
        <v>46296</v>
      </c>
      <c r="F454" t="inlineStr">
        <is>
          <t>GÄVLEBORGS LÄN</t>
        </is>
      </c>
      <c r="G454" t="inlineStr">
        <is>
          <t>BOLLNÄS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46296</v>
      </c>
      <c r="F455" t="inlineStr">
        <is>
          <t>GÄVLEBORGS LÄN</t>
        </is>
      </c>
      <c r="G455" t="inlineStr">
        <is>
          <t>BOLLNÄS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10486-2024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45366</v>
      </c>
      <c r="E456" s="1" t="n">
        <v>46296</v>
      </c>
      <c r="F456" t="inlineStr">
        <is>
          <t>GÄVLEBORGS LÄN</t>
        </is>
      </c>
      <c r="G456" t="inlineStr">
        <is>
          <t>BOLLNÄS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45040</v>
      </c>
      <c r="E457" s="1" t="n">
        <v>46296</v>
      </c>
      <c r="F457" t="inlineStr">
        <is>
          <t>GÄVLEBORGS LÄN</t>
        </is>
      </c>
      <c r="G457" t="inlineStr">
        <is>
          <t>BOLLNÄS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30455-2025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45827</v>
      </c>
      <c r="E458" s="1" t="n">
        <v>46296</v>
      </c>
      <c r="F458" t="inlineStr">
        <is>
          <t>GÄVLEBORGS LÄN</t>
        </is>
      </c>
      <c r="G458" t="inlineStr">
        <is>
          <t>BOLLNÄS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27202-2024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45471</v>
      </c>
      <c r="E459" s="1" t="n">
        <v>46296</v>
      </c>
      <c r="F459" t="inlineStr">
        <is>
          <t>GÄVLEBORGS LÄN</t>
        </is>
      </c>
      <c r="G459" t="inlineStr">
        <is>
          <t>BOLLNÄS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30650-2025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46296</v>
      </c>
      <c r="F460" t="inlineStr">
        <is>
          <t>GÄVLEBORGS LÄN</t>
        </is>
      </c>
      <c r="G460" t="inlineStr">
        <is>
          <t>BOLLNÄS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46296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10.1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17394-2022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44678</v>
      </c>
      <c r="E462" s="1" t="n">
        <v>46296</v>
      </c>
      <c r="F462" t="inlineStr">
        <is>
          <t>GÄVLEBORGS LÄN</t>
        </is>
      </c>
      <c r="G462" t="inlineStr">
        <is>
          <t>BOLLNÄS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29723-2024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45485</v>
      </c>
      <c r="E463" s="1" t="n">
        <v>46296</v>
      </c>
      <c r="F463" t="inlineStr">
        <is>
          <t>GÄVLEBORGS LÄN</t>
        </is>
      </c>
      <c r="G463" t="inlineStr">
        <is>
          <t>BOLLNÄS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28523-2023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46296</v>
      </c>
      <c r="F464" t="inlineStr">
        <is>
          <t>GÄVLEBORGS LÄN</t>
        </is>
      </c>
      <c r="G464" t="inlineStr">
        <is>
          <t>BOLLNÄS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21061-2023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45061</v>
      </c>
      <c r="E465" s="1" t="n">
        <v>46296</v>
      </c>
      <c r="F465" t="inlineStr">
        <is>
          <t>GÄVLEBORGS LÄN</t>
        </is>
      </c>
      <c r="G465" t="inlineStr">
        <is>
          <t>BOLLNÄS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44704</v>
      </c>
      <c r="E466" s="1" t="n">
        <v>46296</v>
      </c>
      <c r="F466" t="inlineStr">
        <is>
          <t>GÄVLEBORGS LÄN</t>
        </is>
      </c>
      <c r="G466" t="inlineStr">
        <is>
          <t>BOLLNÄS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46296</v>
      </c>
      <c r="F467" t="inlineStr">
        <is>
          <t>GÄVLEBORGS LÄN</t>
        </is>
      </c>
      <c r="G467" t="inlineStr">
        <is>
          <t>BOLLNÄS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53234-2024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45613</v>
      </c>
      <c r="E468" s="1" t="n">
        <v>46296</v>
      </c>
      <c r="F468" t="inlineStr">
        <is>
          <t>GÄVLEBORGS LÄN</t>
        </is>
      </c>
      <c r="G468" t="inlineStr">
        <is>
          <t>BOLLNÄS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46151-2024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45581</v>
      </c>
      <c r="E469" s="1" t="n">
        <v>46296</v>
      </c>
      <c r="F469" t="inlineStr">
        <is>
          <t>GÄVLEBORGS LÄN</t>
        </is>
      </c>
      <c r="G469" t="inlineStr">
        <is>
          <t>BOLLNÄS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49624-2022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44862</v>
      </c>
      <c r="E470" s="1" t="n">
        <v>46296</v>
      </c>
      <c r="F470" t="inlineStr">
        <is>
          <t>GÄVLEBORGS LÄN</t>
        </is>
      </c>
      <c r="G470" t="inlineStr">
        <is>
          <t>BOLLNÄS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46296</v>
      </c>
      <c r="F471" t="inlineStr">
        <is>
          <t>GÄVLEBORGS LÄN</t>
        </is>
      </c>
      <c r="G471" t="inlineStr">
        <is>
          <t>BOLLNÄS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51952-2023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45223</v>
      </c>
      <c r="E472" s="1" t="n">
        <v>46296</v>
      </c>
      <c r="F472" t="inlineStr">
        <is>
          <t>GÄVLEBORGS LÄN</t>
        </is>
      </c>
      <c r="G472" t="inlineStr">
        <is>
          <t>BOLLNÄS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45251</v>
      </c>
      <c r="E473" s="1" t="n">
        <v>46296</v>
      </c>
      <c r="F473" t="inlineStr">
        <is>
          <t>GÄVLEBORGS LÄN</t>
        </is>
      </c>
      <c r="G473" t="inlineStr">
        <is>
          <t>BOLLNÄS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45727</v>
      </c>
      <c r="E474" s="1" t="n">
        <v>46296</v>
      </c>
      <c r="F474" t="inlineStr">
        <is>
          <t>GÄVLEBORGS LÄN</t>
        </is>
      </c>
      <c r="G474" t="inlineStr">
        <is>
          <t>BOLLNÄS</t>
        </is>
      </c>
      <c r="I474" t="n">
        <v>9.5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45835</v>
      </c>
      <c r="E475" s="1" t="n">
        <v>46296</v>
      </c>
      <c r="F475" t="inlineStr">
        <is>
          <t>GÄVLEBORGS LÄN</t>
        </is>
      </c>
      <c r="G475" t="inlineStr">
        <is>
          <t>BOLLNÄS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41740-2023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45176</v>
      </c>
      <c r="E476" s="1" t="n">
        <v>46296</v>
      </c>
      <c r="F476" t="inlineStr">
        <is>
          <t>GÄVLEBORGS LÄN</t>
        </is>
      </c>
      <c r="G476" t="inlineStr">
        <is>
          <t>BOLLNÄS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45834</v>
      </c>
      <c r="E477" s="1" t="n">
        <v>46296</v>
      </c>
      <c r="F477" t="inlineStr">
        <is>
          <t>GÄVLEBORGS LÄN</t>
        </is>
      </c>
      <c r="G477" t="inlineStr">
        <is>
          <t>BOLLNÄS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34941-2024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45527</v>
      </c>
      <c r="E478" s="1" t="n">
        <v>46296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45835</v>
      </c>
      <c r="E479" s="1" t="n">
        <v>46296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45835</v>
      </c>
      <c r="E480" s="1" t="n">
        <v>46296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23809-2024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45455</v>
      </c>
      <c r="E481" s="1" t="n">
        <v>46296</v>
      </c>
      <c r="F481" t="inlineStr">
        <is>
          <t>GÄVLEBORGS LÄN</t>
        </is>
      </c>
      <c r="G481" t="inlineStr">
        <is>
          <t>BOLLNÄS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45476</v>
      </c>
      <c r="E482" s="1" t="n">
        <v>46296</v>
      </c>
      <c r="F482" t="inlineStr">
        <is>
          <t>GÄVLEBORGS LÄN</t>
        </is>
      </c>
      <c r="G482" t="inlineStr">
        <is>
          <t>BOLLNÄS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46296</v>
      </c>
      <c r="F483" t="inlineStr">
        <is>
          <t>GÄVLEBORGS LÄN</t>
        </is>
      </c>
      <c r="G483" t="inlineStr">
        <is>
          <t>BOLLNÄS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32405-2025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45838</v>
      </c>
      <c r="E484" s="1" t="n">
        <v>46296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16641-2024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45408</v>
      </c>
      <c r="E485" s="1" t="n">
        <v>46296</v>
      </c>
      <c r="F485" t="inlineStr">
        <is>
          <t>GÄVLEBORGS LÄN</t>
        </is>
      </c>
      <c r="G485" t="inlineStr">
        <is>
          <t>BOLLNÄS</t>
        </is>
      </c>
      <c r="H485" t="inlineStr">
        <is>
          <t>Bergvik skog öst AB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45838</v>
      </c>
      <c r="E486" s="1" t="n">
        <v>46296</v>
      </c>
      <c r="F486" t="inlineStr">
        <is>
          <t>GÄVLEBORGS LÄN</t>
        </is>
      </c>
      <c r="G486" t="inlineStr">
        <is>
          <t>BOLLNÄS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45492</v>
      </c>
      <c r="E487" s="1" t="n">
        <v>46296</v>
      </c>
      <c r="F487" t="inlineStr">
        <is>
          <t>GÄVLEBORGS LÄN</t>
        </is>
      </c>
      <c r="G487" t="inlineStr">
        <is>
          <t>BOLLNÄS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34250-2024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46296</v>
      </c>
      <c r="F488" t="inlineStr">
        <is>
          <t>GÄVLEBORGS LÄN</t>
        </is>
      </c>
      <c r="G488" t="inlineStr">
        <is>
          <t>BOLLNÄS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33624-2025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45841</v>
      </c>
      <c r="E489" s="1" t="n">
        <v>46296</v>
      </c>
      <c r="F489" t="inlineStr">
        <is>
          <t>GÄVLEBORGS LÄN</t>
        </is>
      </c>
      <c r="G489" t="inlineStr">
        <is>
          <t>BOLLNÄS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33259-2025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45840</v>
      </c>
      <c r="E490" s="1" t="n">
        <v>46296</v>
      </c>
      <c r="F490" t="inlineStr">
        <is>
          <t>GÄVLEBORGS LÄN</t>
        </is>
      </c>
      <c r="G490" t="inlineStr">
        <is>
          <t>BOLLNÄS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33137-2025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45840</v>
      </c>
      <c r="E491" s="1" t="n">
        <v>46296</v>
      </c>
      <c r="F491" t="inlineStr">
        <is>
          <t>GÄVLEBORGS LÄN</t>
        </is>
      </c>
      <c r="G491" t="inlineStr">
        <is>
          <t>BOLLNÄS</t>
        </is>
      </c>
      <c r="H491" t="inlineStr">
        <is>
          <t>Bergvik skog väst AB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54511-2024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45617</v>
      </c>
      <c r="E492" s="1" t="n">
        <v>46296</v>
      </c>
      <c r="F492" t="inlineStr">
        <is>
          <t>GÄVLEBORGS LÄN</t>
        </is>
      </c>
      <c r="G492" t="inlineStr">
        <is>
          <t>BOLLNÄS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45845</v>
      </c>
      <c r="E493" s="1" t="n">
        <v>46296</v>
      </c>
      <c r="F493" t="inlineStr">
        <is>
          <t>GÄVLEBORGS LÄN</t>
        </is>
      </c>
      <c r="G493" t="inlineStr">
        <is>
          <t>BOLLNÄS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45845</v>
      </c>
      <c r="E494" s="1" t="n">
        <v>46296</v>
      </c>
      <c r="F494" t="inlineStr">
        <is>
          <t>GÄVLEBORGS LÄN</t>
        </is>
      </c>
      <c r="G494" t="inlineStr">
        <is>
          <t>BOLLNÄS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34233-2025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45845</v>
      </c>
      <c r="E495" s="1" t="n">
        <v>46296</v>
      </c>
      <c r="F495" t="inlineStr">
        <is>
          <t>GÄVLEBORGS LÄN</t>
        </is>
      </c>
      <c r="G495" t="inlineStr">
        <is>
          <t>BOLLNÄS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33944-2025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45842</v>
      </c>
      <c r="E496" s="1" t="n">
        <v>46296</v>
      </c>
      <c r="F496" t="inlineStr">
        <is>
          <t>GÄVLEBORGS LÄN</t>
        </is>
      </c>
      <c r="G496" t="inlineStr">
        <is>
          <t>BOLLNÄS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45331</v>
      </c>
      <c r="E497" s="1" t="n">
        <v>46296</v>
      </c>
      <c r="F497" t="inlineStr">
        <is>
          <t>GÄVLEBORGS LÄN</t>
        </is>
      </c>
      <c r="G497" t="inlineStr">
        <is>
          <t>BOLLNÄS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45845</v>
      </c>
      <c r="E498" s="1" t="n">
        <v>46296</v>
      </c>
      <c r="F498" t="inlineStr">
        <is>
          <t>GÄVLEBORGS LÄN</t>
        </is>
      </c>
      <c r="G498" t="inlineStr">
        <is>
          <t>BOLLNÄS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5135-2022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44594</v>
      </c>
      <c r="E499" s="1" t="n">
        <v>46296</v>
      </c>
      <c r="F499" t="inlineStr">
        <is>
          <t>GÄVLEBORGS LÄN</t>
        </is>
      </c>
      <c r="G499" t="inlineStr">
        <is>
          <t>BOLLNÄS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53298-2023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45229</v>
      </c>
      <c r="E500" s="1" t="n">
        <v>46296</v>
      </c>
      <c r="F500" t="inlineStr">
        <is>
          <t>GÄVLEBORGS LÄN</t>
        </is>
      </c>
      <c r="G500" t="inlineStr">
        <is>
          <t>BOLLNÄS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58431-2021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44488</v>
      </c>
      <c r="E501" s="1" t="n">
        <v>46296</v>
      </c>
      <c r="F501" t="inlineStr">
        <is>
          <t>GÄVLEBORGS LÄN</t>
        </is>
      </c>
      <c r="G501" t="inlineStr">
        <is>
          <t>BOLLNÄS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38563-2025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45884</v>
      </c>
      <c r="E502" s="1" t="n">
        <v>46296</v>
      </c>
      <c r="F502" t="inlineStr">
        <is>
          <t>GÄVLEBORGS LÄN</t>
        </is>
      </c>
      <c r="G502" t="inlineStr">
        <is>
          <t>BOLLNÄS</t>
        </is>
      </c>
      <c r="H502" t="inlineStr">
        <is>
          <t>Kyrkan</t>
        </is>
      </c>
      <c r="I502" t="n">
        <v>8.6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34481-2025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45847</v>
      </c>
      <c r="E503" s="1" t="n">
        <v>46296</v>
      </c>
      <c r="F503" t="inlineStr">
        <is>
          <t>GÄVLEBORGS LÄN</t>
        </is>
      </c>
      <c r="G503" t="inlineStr">
        <is>
          <t>BOLLNÄS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45847</v>
      </c>
      <c r="E504" s="1" t="n">
        <v>46296</v>
      </c>
      <c r="F504" t="inlineStr">
        <is>
          <t>GÄVLEBORGS LÄN</t>
        </is>
      </c>
      <c r="G504" t="inlineStr">
        <is>
          <t>BOLLNÄS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44595</v>
      </c>
      <c r="E505" s="1" t="n">
        <v>46296</v>
      </c>
      <c r="F505" t="inlineStr">
        <is>
          <t>GÄVLEBORGS LÄN</t>
        </is>
      </c>
      <c r="G505" t="inlineStr">
        <is>
          <t>BOLLNÄS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45848</v>
      </c>
      <c r="E506" s="1" t="n">
        <v>46296</v>
      </c>
      <c r="F506" t="inlineStr">
        <is>
          <t>GÄVLEBORGS LÄN</t>
        </is>
      </c>
      <c r="G506" t="inlineStr">
        <is>
          <t>BOLLNÄS</t>
        </is>
      </c>
      <c r="H506" t="inlineStr">
        <is>
          <t>Holmen skog AB</t>
        </is>
      </c>
      <c r="I506" t="n">
        <v>32.6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44999</v>
      </c>
      <c r="E507" s="1" t="n">
        <v>46296</v>
      </c>
      <c r="F507" t="inlineStr">
        <is>
          <t>GÄVLEBORGS LÄN</t>
        </is>
      </c>
      <c r="G507" t="inlineStr">
        <is>
          <t>BOLLNÄS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45092</v>
      </c>
      <c r="E508" s="1" t="n">
        <v>46296</v>
      </c>
      <c r="F508" t="inlineStr">
        <is>
          <t>GÄVLEBORGS LÄN</t>
        </is>
      </c>
      <c r="G508" t="inlineStr">
        <is>
          <t>BOLLNÄS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63865-2023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45278</v>
      </c>
      <c r="E509" s="1" t="n">
        <v>46296</v>
      </c>
      <c r="F509" t="inlineStr">
        <is>
          <t>GÄVLEBORGS LÄN</t>
        </is>
      </c>
      <c r="G509" t="inlineStr">
        <is>
          <t>BOLLNÄS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63868-2023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45278</v>
      </c>
      <c r="E510" s="1" t="n">
        <v>46296</v>
      </c>
      <c r="F510" t="inlineStr">
        <is>
          <t>GÄVLEBORGS LÄN</t>
        </is>
      </c>
      <c r="G510" t="inlineStr">
        <is>
          <t>BOLLNÄS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30877-2023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46296</v>
      </c>
      <c r="F511" t="inlineStr">
        <is>
          <t>GÄVLEBORGS LÄN</t>
        </is>
      </c>
      <c r="G511" t="inlineStr">
        <is>
          <t>BOLLNÄS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35095-2025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45852</v>
      </c>
      <c r="E512" s="1" t="n">
        <v>46296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56120-2024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45624</v>
      </c>
      <c r="E513" s="1" t="n">
        <v>46296</v>
      </c>
      <c r="F513" t="inlineStr">
        <is>
          <t>GÄVLEBORGS LÄN</t>
        </is>
      </c>
      <c r="G513" t="inlineStr">
        <is>
          <t>BOLLNÄS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16627-2025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45754</v>
      </c>
      <c r="E514" s="1" t="n">
        <v>46296</v>
      </c>
      <c r="F514" t="inlineStr">
        <is>
          <t>GÄVLEBORGS LÄN</t>
        </is>
      </c>
      <c r="G514" t="inlineStr">
        <is>
          <t>BOLLNÄS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46296</v>
      </c>
      <c r="F515" t="inlineStr">
        <is>
          <t>GÄVLEBORGS LÄN</t>
        </is>
      </c>
      <c r="G515" t="inlineStr">
        <is>
          <t>BOLLNÄS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31434-2022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44774</v>
      </c>
      <c r="E516" s="1" t="n">
        <v>46296</v>
      </c>
      <c r="F516" t="inlineStr">
        <is>
          <t>GÄVLEBORGS LÄN</t>
        </is>
      </c>
      <c r="G516" t="inlineStr">
        <is>
          <t>BOLLNÄS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43996-2024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46296</v>
      </c>
      <c r="F517" t="inlineStr">
        <is>
          <t>GÄVLEBORGS LÄN</t>
        </is>
      </c>
      <c r="G517" t="inlineStr">
        <is>
          <t>BOLLNÄS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44622</v>
      </c>
      <c r="E518" s="1" t="n">
        <v>46296</v>
      </c>
      <c r="F518" t="inlineStr">
        <is>
          <t>GÄVLEBORGS LÄN</t>
        </is>
      </c>
      <c r="G518" t="inlineStr">
        <is>
          <t>BOLLNÄS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6903-2025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45701</v>
      </c>
      <c r="E519" s="1" t="n">
        <v>46296</v>
      </c>
      <c r="F519" t="inlineStr">
        <is>
          <t>GÄVLEBORGS LÄN</t>
        </is>
      </c>
      <c r="G519" t="inlineStr">
        <is>
          <t>BOLLNÄS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36228-2025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45867</v>
      </c>
      <c r="E520" s="1" t="n">
        <v>46296</v>
      </c>
      <c r="F520" t="inlineStr">
        <is>
          <t>GÄVLEBORGS LÄN</t>
        </is>
      </c>
      <c r="G520" t="inlineStr">
        <is>
          <t>BOLLNÄS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36234-2025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45867</v>
      </c>
      <c r="E521" s="1" t="n">
        <v>46296</v>
      </c>
      <c r="F521" t="inlineStr">
        <is>
          <t>GÄVLEBORGS LÄN</t>
        </is>
      </c>
      <c r="G521" t="inlineStr">
        <is>
          <t>BOLLNÄS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17401-2025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45757</v>
      </c>
      <c r="E522" s="1" t="n">
        <v>46296</v>
      </c>
      <c r="F522" t="inlineStr">
        <is>
          <t>GÄVLEBORGS LÄN</t>
        </is>
      </c>
      <c r="G522" t="inlineStr">
        <is>
          <t>BOLLNÄS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38762-2025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45887</v>
      </c>
      <c r="E523" s="1" t="n">
        <v>46296</v>
      </c>
      <c r="F523" t="inlineStr">
        <is>
          <t>GÄVLEBORGS LÄN</t>
        </is>
      </c>
      <c r="G523" t="inlineStr">
        <is>
          <t>BOLLNÄS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38769-2025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45887</v>
      </c>
      <c r="E524" s="1" t="n">
        <v>46296</v>
      </c>
      <c r="F524" t="inlineStr">
        <is>
          <t>GÄVLEBORGS LÄN</t>
        </is>
      </c>
      <c r="G524" t="inlineStr">
        <is>
          <t>BOLLNÄS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36265-2025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45867</v>
      </c>
      <c r="E525" s="1" t="n">
        <v>46296</v>
      </c>
      <c r="F525" t="inlineStr">
        <is>
          <t>GÄVLEBORGS LÄN</t>
        </is>
      </c>
      <c r="G525" t="inlineStr">
        <is>
          <t>BOLLNÄS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16379-2022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44671</v>
      </c>
      <c r="E526" s="1" t="n">
        <v>46296</v>
      </c>
      <c r="F526" t="inlineStr">
        <is>
          <t>GÄVLEBORGS LÄN</t>
        </is>
      </c>
      <c r="G526" t="inlineStr">
        <is>
          <t>BOLLNÄS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36482-2025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45869</v>
      </c>
      <c r="E527" s="1" t="n">
        <v>46296</v>
      </c>
      <c r="F527" t="inlineStr">
        <is>
          <t>GÄVLEBORGS LÄN</t>
        </is>
      </c>
      <c r="G527" t="inlineStr">
        <is>
          <t>BOLLNÄS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15668-2025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45748</v>
      </c>
      <c r="E528" s="1" t="n">
        <v>46296</v>
      </c>
      <c r="F528" t="inlineStr">
        <is>
          <t>GÄVLEBORGS LÄN</t>
        </is>
      </c>
      <c r="G528" t="inlineStr">
        <is>
          <t>BOLLNÄS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45748</v>
      </c>
      <c r="E529" s="1" t="n">
        <v>46296</v>
      </c>
      <c r="F529" t="inlineStr">
        <is>
          <t>GÄVLEBORGS LÄN</t>
        </is>
      </c>
      <c r="G529" t="inlineStr">
        <is>
          <t>BOLLNÄS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61711-2023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45265</v>
      </c>
      <c r="E530" s="1" t="n">
        <v>46296</v>
      </c>
      <c r="F530" t="inlineStr">
        <is>
          <t>GÄVLEBORGS LÄN</t>
        </is>
      </c>
      <c r="G530" t="inlineStr">
        <is>
          <t>BOLLNÄS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45315</v>
      </c>
      <c r="E531" s="1" t="n">
        <v>46296</v>
      </c>
      <c r="F531" t="inlineStr">
        <is>
          <t>GÄVLEBORGS LÄN</t>
        </is>
      </c>
      <c r="G531" t="inlineStr">
        <is>
          <t>BOLLNÄS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45448</v>
      </c>
      <c r="E532" s="1" t="n">
        <v>46296</v>
      </c>
      <c r="F532" t="inlineStr">
        <is>
          <t>GÄVLEBORGS LÄN</t>
        </is>
      </c>
      <c r="G532" t="inlineStr">
        <is>
          <t>BOLLNÄS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45174</v>
      </c>
      <c r="E533" s="1" t="n">
        <v>46296</v>
      </c>
      <c r="F533" t="inlineStr">
        <is>
          <t>GÄVLEBORGS LÄN</t>
        </is>
      </c>
      <c r="G533" t="inlineStr">
        <is>
          <t>BOLLNÄS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58329-2024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46296</v>
      </c>
      <c r="F534" t="inlineStr">
        <is>
          <t>GÄVLEBORGS LÄN</t>
        </is>
      </c>
      <c r="G534" t="inlineStr">
        <is>
          <t>BOLLNÄS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36957-2025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45874</v>
      </c>
      <c r="E535" s="1" t="n">
        <v>46296</v>
      </c>
      <c r="F535" t="inlineStr">
        <is>
          <t>GÄVLEBORGS LÄN</t>
        </is>
      </c>
      <c r="G535" t="inlineStr">
        <is>
          <t>BOLLNÄS</t>
        </is>
      </c>
      <c r="H535" t="inlineStr">
        <is>
          <t>Bergvik skog väst AB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45677</v>
      </c>
      <c r="E536" s="1" t="n">
        <v>46296</v>
      </c>
      <c r="F536" t="inlineStr">
        <is>
          <t>GÄVLEBORGS LÄN</t>
        </is>
      </c>
      <c r="G536" t="inlineStr">
        <is>
          <t>BOLLNÄS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59360-2024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45638</v>
      </c>
      <c r="E537" s="1" t="n">
        <v>46296</v>
      </c>
      <c r="F537" t="inlineStr">
        <is>
          <t>GÄVLEBORGS LÄN</t>
        </is>
      </c>
      <c r="G537" t="inlineStr">
        <is>
          <t>BOLLNÄS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51970-2024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45607</v>
      </c>
      <c r="E538" s="1" t="n">
        <v>46296</v>
      </c>
      <c r="F538" t="inlineStr">
        <is>
          <t>GÄVLEBORGS LÄN</t>
        </is>
      </c>
      <c r="G538" t="inlineStr">
        <is>
          <t>BOLLNÄS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45097</v>
      </c>
      <c r="E539" s="1" t="n">
        <v>46296</v>
      </c>
      <c r="F539" t="inlineStr">
        <is>
          <t>GÄVLEBORGS LÄN</t>
        </is>
      </c>
      <c r="G539" t="inlineStr">
        <is>
          <t>BOLLNÄS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50130-2025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45943</v>
      </c>
      <c r="E540" s="1" t="n">
        <v>46296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49811-2025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45940</v>
      </c>
      <c r="E541" s="1" t="n">
        <v>46296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50157-2025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45943</v>
      </c>
      <c r="E542" s="1" t="n">
        <v>46296</v>
      </c>
      <c r="F542" t="inlineStr">
        <is>
          <t>GÄVLEBORGS LÄN</t>
        </is>
      </c>
      <c r="G542" t="inlineStr">
        <is>
          <t>BOLLNÄS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39165-2025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45888</v>
      </c>
      <c r="E543" s="1" t="n">
        <v>46296</v>
      </c>
      <c r="F543" t="inlineStr">
        <is>
          <t>GÄVLEBORGS LÄN</t>
        </is>
      </c>
      <c r="G543" t="inlineStr">
        <is>
          <t>BOLLNÄS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49848-2025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46296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50218-2025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45943</v>
      </c>
      <c r="E545" s="1" t="n">
        <v>46296</v>
      </c>
      <c r="F545" t="inlineStr">
        <is>
          <t>GÄVLEBORGS LÄN</t>
        </is>
      </c>
      <c r="G545" t="inlineStr">
        <is>
          <t>BOLLNÄS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49742-2025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45940</v>
      </c>
      <c r="E546" s="1" t="n">
        <v>46296</v>
      </c>
      <c r="F546" t="inlineStr">
        <is>
          <t>GÄVLEBORGS LÄN</t>
        </is>
      </c>
      <c r="G546" t="inlineStr">
        <is>
          <t>BOLLNÄS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37987-2025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45881</v>
      </c>
      <c r="E547" s="1" t="n">
        <v>46296</v>
      </c>
      <c r="F547" t="inlineStr">
        <is>
          <t>GÄVLEBORGS LÄN</t>
        </is>
      </c>
      <c r="G547" t="inlineStr">
        <is>
          <t>BOLLNÄS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5579-2022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44595</v>
      </c>
      <c r="E548" s="1" t="n">
        <v>46296</v>
      </c>
      <c r="F548" t="inlineStr">
        <is>
          <t>GÄVLEBORGS LÄN</t>
        </is>
      </c>
      <c r="G548" t="inlineStr">
        <is>
          <t>BOLLNÄS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37631-2025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45880</v>
      </c>
      <c r="E549" s="1" t="n">
        <v>46296</v>
      </c>
      <c r="F549" t="inlineStr">
        <is>
          <t>GÄVLEBORGS LÄN</t>
        </is>
      </c>
      <c r="G549" t="inlineStr">
        <is>
          <t>BOLLNÄS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38074-2025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45882</v>
      </c>
      <c r="E550" s="1" t="n">
        <v>46296</v>
      </c>
      <c r="F550" t="inlineStr">
        <is>
          <t>GÄVLEBORGS LÄN</t>
        </is>
      </c>
      <c r="G550" t="inlineStr">
        <is>
          <t>BOLLNÄS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38248-2025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46296</v>
      </c>
      <c r="F551" t="inlineStr">
        <is>
          <t>GÄVLEBORGS LÄN</t>
        </is>
      </c>
      <c r="G551" t="inlineStr">
        <is>
          <t>BOLLNÄS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39886-2025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45891</v>
      </c>
      <c r="E552" s="1" t="n">
        <v>46296</v>
      </c>
      <c r="F552" t="inlineStr">
        <is>
          <t>GÄVLEBORGS LÄN</t>
        </is>
      </c>
      <c r="G552" t="inlineStr">
        <is>
          <t>BOLLNÄS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38251-2025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45883</v>
      </c>
      <c r="E553" s="1" t="n">
        <v>46296</v>
      </c>
      <c r="F553" t="inlineStr">
        <is>
          <t>GÄVLEBORGS LÄN</t>
        </is>
      </c>
      <c r="G553" t="inlineStr">
        <is>
          <t>BOLLNÄS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39897-2025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45891</v>
      </c>
      <c r="E554" s="1" t="n">
        <v>46296</v>
      </c>
      <c r="F554" t="inlineStr">
        <is>
          <t>GÄVLEBORGS LÄN</t>
        </is>
      </c>
      <c r="G554" t="inlineStr">
        <is>
          <t>BOLLNÄS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38252-2025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45883</v>
      </c>
      <c r="E555" s="1" t="n">
        <v>46296</v>
      </c>
      <c r="F555" t="inlineStr">
        <is>
          <t>GÄVLEBORGS LÄN</t>
        </is>
      </c>
      <c r="G555" t="inlineStr">
        <is>
          <t>BOLLNÄS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45895</v>
      </c>
      <c r="E556" s="1" t="n">
        <v>46296</v>
      </c>
      <c r="F556" t="inlineStr">
        <is>
          <t>GÄVLEBORGS LÄN</t>
        </is>
      </c>
      <c r="G556" t="inlineStr">
        <is>
          <t>BOLLNÄS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40161-2025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45894</v>
      </c>
      <c r="E557" s="1" t="n">
        <v>46296</v>
      </c>
      <c r="F557" t="inlineStr">
        <is>
          <t>GÄVLEBORGS LÄN</t>
        </is>
      </c>
      <c r="G557" t="inlineStr">
        <is>
          <t>BOLLNÄS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45894</v>
      </c>
      <c r="E558" s="1" t="n">
        <v>46296</v>
      </c>
      <c r="F558" t="inlineStr">
        <is>
          <t>GÄVLEBORGS LÄN</t>
        </is>
      </c>
      <c r="G558" t="inlineStr">
        <is>
          <t>BOLLNÄS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40927-2025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45897</v>
      </c>
      <c r="E559" s="1" t="n">
        <v>46296</v>
      </c>
      <c r="F559" t="inlineStr">
        <is>
          <t>GÄVLEBORGS LÄN</t>
        </is>
      </c>
      <c r="G559" t="inlineStr">
        <is>
          <t>BOLLNÄS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40777-2025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45897</v>
      </c>
      <c r="E560" s="1" t="n">
        <v>46296</v>
      </c>
      <c r="F560" t="inlineStr">
        <is>
          <t>GÄVLEBORGS LÄN</t>
        </is>
      </c>
      <c r="G560" t="inlineStr">
        <is>
          <t>BOLLNÄS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51563-2025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45951</v>
      </c>
      <c r="E561" s="1" t="n">
        <v>46296</v>
      </c>
      <c r="F561" t="inlineStr">
        <is>
          <t>GÄVLEBORGS LÄN</t>
        </is>
      </c>
      <c r="G561" t="inlineStr">
        <is>
          <t>BOLLNÄS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41088-2025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45898</v>
      </c>
      <c r="E562" s="1" t="n">
        <v>46296</v>
      </c>
      <c r="F562" t="inlineStr">
        <is>
          <t>GÄVLEBORGS LÄN</t>
        </is>
      </c>
      <c r="G562" t="inlineStr">
        <is>
          <t>BOLLNÄS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45901</v>
      </c>
      <c r="E563" s="1" t="n">
        <v>46296</v>
      </c>
      <c r="F563" t="inlineStr">
        <is>
          <t>GÄVLEBORGS LÄN</t>
        </is>
      </c>
      <c r="G563" t="inlineStr">
        <is>
          <t>BOLLNÄS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41408-2025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45901</v>
      </c>
      <c r="E564" s="1" t="n">
        <v>46296</v>
      </c>
      <c r="F564" t="inlineStr">
        <is>
          <t>GÄVLEBORGS LÄN</t>
        </is>
      </c>
      <c r="G564" t="inlineStr">
        <is>
          <t>BOLLNÄS</t>
        </is>
      </c>
      <c r="H564" t="inlineStr">
        <is>
          <t>Kyrkan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52303-2025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45953</v>
      </c>
      <c r="E565" s="1" t="n">
        <v>46296</v>
      </c>
      <c r="F565" t="inlineStr">
        <is>
          <t>GÄVLEBORGS LÄN</t>
        </is>
      </c>
      <c r="G565" t="inlineStr">
        <is>
          <t>BOLLNÄS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41072-2025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45898</v>
      </c>
      <c r="E566" s="1" t="n">
        <v>46296</v>
      </c>
      <c r="F566" t="inlineStr">
        <is>
          <t>GÄVLEBORGS LÄN</t>
        </is>
      </c>
      <c r="G566" t="inlineStr">
        <is>
          <t>BOLLNÄS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41081-2025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45898</v>
      </c>
      <c r="E567" s="1" t="n">
        <v>46296</v>
      </c>
      <c r="F567" t="inlineStr">
        <is>
          <t>GÄVLEBORGS LÄN</t>
        </is>
      </c>
      <c r="G567" t="inlineStr">
        <is>
          <t>BOLLNÄS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51878-2025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45952</v>
      </c>
      <c r="E568" s="1" t="n">
        <v>46296</v>
      </c>
      <c r="F568" t="inlineStr">
        <is>
          <t>GÄVLEBORGS LÄN</t>
        </is>
      </c>
      <c r="G568" t="inlineStr">
        <is>
          <t>BOLLNÄS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51884-2025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45952</v>
      </c>
      <c r="E569" s="1" t="n">
        <v>46296</v>
      </c>
      <c r="F569" t="inlineStr">
        <is>
          <t>GÄVLEBORGS LÄN</t>
        </is>
      </c>
      <c r="G569" t="inlineStr">
        <is>
          <t>BOLLNÄS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51853-2025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45952</v>
      </c>
      <c r="E570" s="1" t="n">
        <v>46296</v>
      </c>
      <c r="F570" t="inlineStr">
        <is>
          <t>GÄVLEBORGS LÄN</t>
        </is>
      </c>
      <c r="G570" t="inlineStr">
        <is>
          <t>BOLLNÄS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51862-2025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45952</v>
      </c>
      <c r="E571" s="1" t="n">
        <v>46296</v>
      </c>
      <c r="F571" t="inlineStr">
        <is>
          <t>GÄVLEBORGS LÄN</t>
        </is>
      </c>
      <c r="G571" t="inlineStr">
        <is>
          <t>BOLLNÄS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41655-2025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45902</v>
      </c>
      <c r="E572" s="1" t="n">
        <v>46296</v>
      </c>
      <c r="F572" t="inlineStr">
        <is>
          <t>GÄVLEBORGS LÄN</t>
        </is>
      </c>
      <c r="G572" t="inlineStr">
        <is>
          <t>BOLLNÄS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52447-2025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45954</v>
      </c>
      <c r="E573" s="1" t="n">
        <v>46296</v>
      </c>
      <c r="F573" t="inlineStr">
        <is>
          <t>GÄVLEBORGS LÄN</t>
        </is>
      </c>
      <c r="G573" t="inlineStr">
        <is>
          <t>BOLLNÄS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42516-2025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45905</v>
      </c>
      <c r="E574" s="1" t="n">
        <v>46296</v>
      </c>
      <c r="F574" t="inlineStr">
        <is>
          <t>GÄVLEBORGS LÄN</t>
        </is>
      </c>
      <c r="G574" t="inlineStr">
        <is>
          <t>BOLLNÄS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42340-2025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45904</v>
      </c>
      <c r="E575" s="1" t="n">
        <v>46296</v>
      </c>
      <c r="F575" t="inlineStr">
        <is>
          <t>GÄVLEBORGS LÄN</t>
        </is>
      </c>
      <c r="G575" t="inlineStr">
        <is>
          <t>BOLLNÄS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9700-2025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45716</v>
      </c>
      <c r="E576" s="1" t="n">
        <v>46296</v>
      </c>
      <c r="F576" t="inlineStr">
        <is>
          <t>GÄVLEBORGS LÄN</t>
        </is>
      </c>
      <c r="G576" t="inlineStr">
        <is>
          <t>BOLLNÄS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30303-2025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45827</v>
      </c>
      <c r="E577" s="1" t="n">
        <v>46296</v>
      </c>
      <c r="F577" t="inlineStr">
        <is>
          <t>GÄVLEBORGS LÄN</t>
        </is>
      </c>
      <c r="G577" t="inlineStr">
        <is>
          <t>BOLLNÄS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50746-2025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45946</v>
      </c>
      <c r="E578" s="1" t="n">
        <v>46296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53195-2025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45958</v>
      </c>
      <c r="E579" s="1" t="n">
        <v>46296</v>
      </c>
      <c r="F579" t="inlineStr">
        <is>
          <t>GÄVLEBORGS LÄN</t>
        </is>
      </c>
      <c r="G579" t="inlineStr">
        <is>
          <t>BOLLNÄS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45894</v>
      </c>
      <c r="E580" s="1" t="n">
        <v>46296</v>
      </c>
      <c r="F580" t="inlineStr">
        <is>
          <t>GÄVLEBORGS LÄN</t>
        </is>
      </c>
      <c r="G580" t="inlineStr">
        <is>
          <t>BOLLNÄS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45958</v>
      </c>
      <c r="E581" s="1" t="n">
        <v>46296</v>
      </c>
      <c r="F581" t="inlineStr">
        <is>
          <t>GÄVLEBORGS LÄN</t>
        </is>
      </c>
      <c r="G581" t="inlineStr">
        <is>
          <t>BOLLNÄS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53444-2025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45959</v>
      </c>
      <c r="E582" s="1" t="n">
        <v>46296</v>
      </c>
      <c r="F582" t="inlineStr">
        <is>
          <t>GÄVLEBORGS LÄN</t>
        </is>
      </c>
      <c r="G582" t="inlineStr">
        <is>
          <t>BOLLNÄS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53198-2025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45958</v>
      </c>
      <c r="E583" s="1" t="n">
        <v>46296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42865-2025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45908</v>
      </c>
      <c r="E584" s="1" t="n">
        <v>46296</v>
      </c>
      <c r="F584" t="inlineStr">
        <is>
          <t>GÄVLEBORGS LÄN</t>
        </is>
      </c>
      <c r="G584" t="inlineStr">
        <is>
          <t>BOLLNÄS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45958</v>
      </c>
      <c r="E585" s="1" t="n">
        <v>46296</v>
      </c>
      <c r="F585" t="inlineStr">
        <is>
          <t>GÄVLEBORGS LÄN</t>
        </is>
      </c>
      <c r="G585" t="inlineStr">
        <is>
          <t>BOLLNÄS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53067-2025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45958</v>
      </c>
      <c r="E586" s="1" t="n">
        <v>46296</v>
      </c>
      <c r="F586" t="inlineStr">
        <is>
          <t>GÄVLEBORGS LÄN</t>
        </is>
      </c>
      <c r="G586" t="inlineStr">
        <is>
          <t>BOLLNÄS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53599-2025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45960</v>
      </c>
      <c r="E587" s="1" t="n">
        <v>46296</v>
      </c>
      <c r="F587" t="inlineStr">
        <is>
          <t>GÄVLEBORGS LÄN</t>
        </is>
      </c>
      <c r="G587" t="inlineStr">
        <is>
          <t>BOLLNÄS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33153-2025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45840</v>
      </c>
      <c r="E588" s="1" t="n">
        <v>46296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54013-2025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45961</v>
      </c>
      <c r="E589" s="1" t="n">
        <v>46296</v>
      </c>
      <c r="F589" t="inlineStr">
        <is>
          <t>GÄVLEBORGS LÄN</t>
        </is>
      </c>
      <c r="G589" t="inlineStr">
        <is>
          <t>BOLLNÄS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53818-2025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45961</v>
      </c>
      <c r="E590" s="1" t="n">
        <v>46296</v>
      </c>
      <c r="F590" t="inlineStr">
        <is>
          <t>GÄVLEBORGS LÄN</t>
        </is>
      </c>
      <c r="G590" t="inlineStr">
        <is>
          <t>BOLLNÄS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37099-2025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45875</v>
      </c>
      <c r="E591" s="1" t="n">
        <v>46296</v>
      </c>
      <c r="F591" t="inlineStr">
        <is>
          <t>GÄVLEBORGS LÄN</t>
        </is>
      </c>
      <c r="G591" t="inlineStr">
        <is>
          <t>BOLLNÄS</t>
        </is>
      </c>
      <c r="H591" t="inlineStr">
        <is>
          <t>Bergvik skog väst AB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53817-2025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45961</v>
      </c>
      <c r="E592" s="1" t="n">
        <v>46296</v>
      </c>
      <c r="F592" t="inlineStr">
        <is>
          <t>GÄVLEBORGS LÄN</t>
        </is>
      </c>
      <c r="G592" t="inlineStr">
        <is>
          <t>BOLLNÄS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53692-2025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45960</v>
      </c>
      <c r="E593" s="1" t="n">
        <v>46296</v>
      </c>
      <c r="F593" t="inlineStr">
        <is>
          <t>GÄVLEBORGS LÄN</t>
        </is>
      </c>
      <c r="G593" t="inlineStr">
        <is>
          <t>BOLLNÄS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43808-2025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45912</v>
      </c>
      <c r="E594" s="1" t="n">
        <v>46296</v>
      </c>
      <c r="F594" t="inlineStr">
        <is>
          <t>GÄVLEBORGS LÄN</t>
        </is>
      </c>
      <c r="G594" t="inlineStr">
        <is>
          <t>BOLLNÄS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43979-2025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45915</v>
      </c>
      <c r="E595" s="1" t="n">
        <v>46296</v>
      </c>
      <c r="F595" t="inlineStr">
        <is>
          <t>GÄVLEBORGS LÄN</t>
        </is>
      </c>
      <c r="G595" t="inlineStr">
        <is>
          <t>BOLLNÄS</t>
        </is>
      </c>
      <c r="H595" t="inlineStr">
        <is>
          <t>Kyrkan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54149-2025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45964</v>
      </c>
      <c r="E596" s="1" t="n">
        <v>46296</v>
      </c>
      <c r="F596" t="inlineStr">
        <is>
          <t>GÄVLEBORGS LÄN</t>
        </is>
      </c>
      <c r="G596" t="inlineStr">
        <is>
          <t>BOLLNÄS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44230-2025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45915</v>
      </c>
      <c r="E597" s="1" t="n">
        <v>46296</v>
      </c>
      <c r="F597" t="inlineStr">
        <is>
          <t>GÄVLEBORGS LÄN</t>
        </is>
      </c>
      <c r="G597" t="inlineStr">
        <is>
          <t>BOLLNÄS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43649-2025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45912</v>
      </c>
      <c r="E598" s="1" t="n">
        <v>46296</v>
      </c>
      <c r="F598" t="inlineStr">
        <is>
          <t>GÄVLEBORGS LÄN</t>
        </is>
      </c>
      <c r="G598" t="inlineStr">
        <is>
          <t>BOLLNÄS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54423-2025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45965</v>
      </c>
      <c r="E599" s="1" t="n">
        <v>46296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44085-2025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45915</v>
      </c>
      <c r="E600" s="1" t="n">
        <v>46296</v>
      </c>
      <c r="F600" t="inlineStr">
        <is>
          <t>GÄVLEBORGS LÄN</t>
        </is>
      </c>
      <c r="G600" t="inlineStr">
        <is>
          <t>BOLLNÄS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45915</v>
      </c>
      <c r="E601" s="1" t="n">
        <v>46296</v>
      </c>
      <c r="F601" t="inlineStr">
        <is>
          <t>GÄVLEBORGS LÄN</t>
        </is>
      </c>
      <c r="G601" t="inlineStr">
        <is>
          <t>BOLLNÄS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54097-2025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45964</v>
      </c>
      <c r="E602" s="1" t="n">
        <v>46296</v>
      </c>
      <c r="F602" t="inlineStr">
        <is>
          <t>GÄVLEBORGS LÄN</t>
        </is>
      </c>
      <c r="G602" t="inlineStr">
        <is>
          <t>BOLLNÄS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43946-2025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45915</v>
      </c>
      <c r="E603" s="1" t="n">
        <v>46296</v>
      </c>
      <c r="F603" t="inlineStr">
        <is>
          <t>GÄVLEBORGS LÄN</t>
        </is>
      </c>
      <c r="G603" t="inlineStr">
        <is>
          <t>BOLLNÄS</t>
        </is>
      </c>
      <c r="H603" t="inlineStr">
        <is>
          <t>Kyrkan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43844-2025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45912</v>
      </c>
      <c r="E604" s="1" t="n">
        <v>46296</v>
      </c>
      <c r="F604" t="inlineStr">
        <is>
          <t>GÄVLEBORGS LÄN</t>
        </is>
      </c>
      <c r="G604" t="inlineStr">
        <is>
          <t>BOLLNÄS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44200-2025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45915</v>
      </c>
      <c r="E605" s="1" t="n">
        <v>46296</v>
      </c>
      <c r="F605" t="inlineStr">
        <is>
          <t>GÄVLEBORGS LÄN</t>
        </is>
      </c>
      <c r="G605" t="inlineStr">
        <is>
          <t>BOLLNÄS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44195-2025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45915</v>
      </c>
      <c r="E606" s="1" t="n">
        <v>46296</v>
      </c>
      <c r="F606" t="inlineStr">
        <is>
          <t>GÄVLEBORGS LÄN</t>
        </is>
      </c>
      <c r="G606" t="inlineStr">
        <is>
          <t>BOLLNÄS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54253-2025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45964</v>
      </c>
      <c r="E607" s="1" t="n">
        <v>46296</v>
      </c>
      <c r="F607" t="inlineStr">
        <is>
          <t>GÄVLEBORGS LÄN</t>
        </is>
      </c>
      <c r="G607" t="inlineStr">
        <is>
          <t>BOLLNÄS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54370-2025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45965</v>
      </c>
      <c r="E608" s="1" t="n">
        <v>46296</v>
      </c>
      <c r="F608" t="inlineStr">
        <is>
          <t>GÄVLEBORGS LÄN</t>
        </is>
      </c>
      <c r="G608" t="inlineStr">
        <is>
          <t>BOLLNÄS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54229-2025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45964</v>
      </c>
      <c r="E609" s="1" t="n">
        <v>46296</v>
      </c>
      <c r="F609" t="inlineStr">
        <is>
          <t>GÄVLEBORGS LÄN</t>
        </is>
      </c>
      <c r="G609" t="inlineStr">
        <is>
          <t>BOLLNÄS</t>
        </is>
      </c>
      <c r="I609" t="n">
        <v>6.2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29930-2025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45826</v>
      </c>
      <c r="E610" s="1" t="n">
        <v>46296</v>
      </c>
      <c r="F610" t="inlineStr">
        <is>
          <t>GÄVLEBORGS LÄN</t>
        </is>
      </c>
      <c r="G610" t="inlineStr">
        <is>
          <t>BOLLNÄS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44643-2025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45917</v>
      </c>
      <c r="E611" s="1" t="n">
        <v>46296</v>
      </c>
      <c r="F611" t="inlineStr">
        <is>
          <t>GÄVLEBORGS LÄN</t>
        </is>
      </c>
      <c r="G611" t="inlineStr">
        <is>
          <t>BOLLNÄS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45239-2025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45919</v>
      </c>
      <c r="E612" s="1" t="n">
        <v>46296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45224-2025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45919</v>
      </c>
      <c r="E613" s="1" t="n">
        <v>46296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45044-2025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45919</v>
      </c>
      <c r="E614" s="1" t="n">
        <v>46296</v>
      </c>
      <c r="F614" t="inlineStr">
        <is>
          <t>GÄVLEBORGS LÄN</t>
        </is>
      </c>
      <c r="G614" t="inlineStr">
        <is>
          <t>BOLLNÄS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45050-2025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45919</v>
      </c>
      <c r="E615" s="1" t="n">
        <v>46296</v>
      </c>
      <c r="F615" t="inlineStr">
        <is>
          <t>GÄVLEBORGS LÄN</t>
        </is>
      </c>
      <c r="G615" t="inlineStr">
        <is>
          <t>BOLLNÄS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45327-2025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45922</v>
      </c>
      <c r="E616" s="1" t="n">
        <v>46296</v>
      </c>
      <c r="F616" t="inlineStr">
        <is>
          <t>GÄVLEBORGS LÄN</t>
        </is>
      </c>
      <c r="G616" t="inlineStr">
        <is>
          <t>BOLLNÄS</t>
        </is>
      </c>
      <c r="H616" t="inlineStr">
        <is>
          <t>Sveaskog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55191-2025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45968</v>
      </c>
      <c r="E617" s="1" t="n">
        <v>46296</v>
      </c>
      <c r="F617" t="inlineStr">
        <is>
          <t>GÄVLEBORGS LÄN</t>
        </is>
      </c>
      <c r="G617" t="inlineStr">
        <is>
          <t>BOLLNÄS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45832-2025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45923</v>
      </c>
      <c r="E618" s="1" t="n">
        <v>46296</v>
      </c>
      <c r="F618" t="inlineStr">
        <is>
          <t>GÄVLEBORGS LÄN</t>
        </is>
      </c>
      <c r="G618" t="inlineStr">
        <is>
          <t>BOLLNÄS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45889-2025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45923</v>
      </c>
      <c r="E619" s="1" t="n">
        <v>46296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45713-2025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45923</v>
      </c>
      <c r="E620" s="1" t="n">
        <v>46296</v>
      </c>
      <c r="F620" t="inlineStr">
        <is>
          <t>GÄVLEBORGS LÄN</t>
        </is>
      </c>
      <c r="G620" t="inlineStr">
        <is>
          <t>BOLLNÄS</t>
        </is>
      </c>
      <c r="H620" t="inlineStr">
        <is>
          <t>Kyrkan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55164-2025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45968</v>
      </c>
      <c r="E621" s="1" t="n">
        <v>46296</v>
      </c>
      <c r="F621" t="inlineStr">
        <is>
          <t>GÄVLEBORGS LÄN</t>
        </is>
      </c>
      <c r="G621" t="inlineStr">
        <is>
          <t>BOLLNÄS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45737-2025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45923</v>
      </c>
      <c r="E622" s="1" t="n">
        <v>46296</v>
      </c>
      <c r="F622" t="inlineStr">
        <is>
          <t>GÄVLEBORGS LÄN</t>
        </is>
      </c>
      <c r="G622" t="inlineStr">
        <is>
          <t>BOLLNÄS</t>
        </is>
      </c>
      <c r="H622" t="inlineStr">
        <is>
          <t>Kyrkan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45830-2025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45923</v>
      </c>
      <c r="E623" s="1" t="n">
        <v>46296</v>
      </c>
      <c r="F623" t="inlineStr">
        <is>
          <t>GÄVLEBORGS LÄN</t>
        </is>
      </c>
      <c r="G623" t="inlineStr">
        <is>
          <t>BOLLNÄS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45838-2025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45923</v>
      </c>
      <c r="E624" s="1" t="n">
        <v>46296</v>
      </c>
      <c r="F624" t="inlineStr">
        <is>
          <t>GÄVLEBORGS LÄN</t>
        </is>
      </c>
      <c r="G624" t="inlineStr">
        <is>
          <t>BOLLNÄS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45280-2025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45919</v>
      </c>
      <c r="E625" s="1" t="n">
        <v>46296</v>
      </c>
      <c r="F625" t="inlineStr">
        <is>
          <t>GÄVLEBORGS LÄN</t>
        </is>
      </c>
      <c r="G625" t="inlineStr">
        <is>
          <t>BOLLNÄS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45923</v>
      </c>
      <c r="E626" s="1" t="n">
        <v>46296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46185-2025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45924</v>
      </c>
      <c r="E627" s="1" t="n">
        <v>46296</v>
      </c>
      <c r="F627" t="inlineStr">
        <is>
          <t>GÄVLEBORGS LÄN</t>
        </is>
      </c>
      <c r="G627" t="inlineStr">
        <is>
          <t>BOLLNÄS</t>
        </is>
      </c>
      <c r="I627" t="n">
        <v>7.2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45947-2025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45924</v>
      </c>
      <c r="E628" s="1" t="n">
        <v>46296</v>
      </c>
      <c r="F628" t="inlineStr">
        <is>
          <t>GÄVLEBORGS LÄN</t>
        </is>
      </c>
      <c r="G628" t="inlineStr">
        <is>
          <t>BOLLNÄS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45951-2025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45924</v>
      </c>
      <c r="E629" s="1" t="n">
        <v>46296</v>
      </c>
      <c r="F629" t="inlineStr">
        <is>
          <t>GÄVLEBORGS LÄN</t>
        </is>
      </c>
      <c r="G629" t="inlineStr">
        <is>
          <t>BOLLNÄS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55930-2025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45973</v>
      </c>
      <c r="E630" s="1" t="n">
        <v>46296</v>
      </c>
      <c r="F630" t="inlineStr">
        <is>
          <t>GÄVLEBORGS LÄN</t>
        </is>
      </c>
      <c r="G630" t="inlineStr">
        <is>
          <t>BOLLNÄS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35208-2025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45853</v>
      </c>
      <c r="E631" s="1" t="n">
        <v>46296</v>
      </c>
      <c r="F631" t="inlineStr">
        <is>
          <t>GÄVLEBORGS LÄN</t>
        </is>
      </c>
      <c r="G631" t="inlineStr">
        <is>
          <t>BOLLNÄS</t>
        </is>
      </c>
      <c r="H631" t="inlineStr">
        <is>
          <t>Bergvik skog väst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56328-2025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45974</v>
      </c>
      <c r="E632" s="1" t="n">
        <v>46296</v>
      </c>
      <c r="F632" t="inlineStr">
        <is>
          <t>GÄVLEBORGS LÄN</t>
        </is>
      </c>
      <c r="G632" t="inlineStr">
        <is>
          <t>BOLLNÄS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46675-2025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45926</v>
      </c>
      <c r="E633" s="1" t="n">
        <v>46296</v>
      </c>
      <c r="F633" t="inlineStr">
        <is>
          <t>GÄVLEBORGS LÄN</t>
        </is>
      </c>
      <c r="G633" t="inlineStr">
        <is>
          <t>BOLLNÄS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56188-2025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45974</v>
      </c>
      <c r="E634" s="1" t="n">
        <v>46296</v>
      </c>
      <c r="F634" t="inlineStr">
        <is>
          <t>GÄVLEBORGS LÄN</t>
        </is>
      </c>
      <c r="G634" t="inlineStr">
        <is>
          <t>BOLLNÄS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47108-2025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45929</v>
      </c>
      <c r="E635" s="1" t="n">
        <v>46296</v>
      </c>
      <c r="F635" t="inlineStr">
        <is>
          <t>GÄVLEBORGS LÄN</t>
        </is>
      </c>
      <c r="G635" t="inlineStr">
        <is>
          <t>BOLLNÄS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56481-2025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45975</v>
      </c>
      <c r="E636" s="1" t="n">
        <v>46296</v>
      </c>
      <c r="F636" t="inlineStr">
        <is>
          <t>GÄVLEBORGS LÄN</t>
        </is>
      </c>
      <c r="G636" t="inlineStr">
        <is>
          <t>BOLLNÄS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46883-2025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45929</v>
      </c>
      <c r="E637" s="1" t="n">
        <v>46296</v>
      </c>
      <c r="F637" t="inlineStr">
        <is>
          <t>GÄVLEBORGS LÄN</t>
        </is>
      </c>
      <c r="G637" t="inlineStr">
        <is>
          <t>BOLLNÄS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47061-2025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45929</v>
      </c>
      <c r="E638" s="1" t="n">
        <v>46296</v>
      </c>
      <c r="F638" t="inlineStr">
        <is>
          <t>GÄVLEBORGS LÄN</t>
        </is>
      </c>
      <c r="G638" t="inlineStr">
        <is>
          <t>BOLLNÄS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56596-2025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45975</v>
      </c>
      <c r="E639" s="1" t="n">
        <v>46296</v>
      </c>
      <c r="F639" t="inlineStr">
        <is>
          <t>GÄVLEBORGS LÄN</t>
        </is>
      </c>
      <c r="G639" t="inlineStr">
        <is>
          <t>BOLLNÄS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56609-2025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45975</v>
      </c>
      <c r="E640" s="1" t="n">
        <v>46296</v>
      </c>
      <c r="F640" t="inlineStr">
        <is>
          <t>GÄVLEBORGS LÄN</t>
        </is>
      </c>
      <c r="G640" t="inlineStr">
        <is>
          <t>BOLLNÄS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57214-2025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45979</v>
      </c>
      <c r="E641" s="1" t="n">
        <v>46296</v>
      </c>
      <c r="F641" t="inlineStr">
        <is>
          <t>GÄVLEBORGS LÄN</t>
        </is>
      </c>
      <c r="G641" t="inlineStr">
        <is>
          <t>BOLLNÄS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57054-2025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45979</v>
      </c>
      <c r="E642" s="1" t="n">
        <v>46296</v>
      </c>
      <c r="F642" t="inlineStr">
        <is>
          <t>GÄVLEBORGS LÄN</t>
        </is>
      </c>
      <c r="G642" t="inlineStr">
        <is>
          <t>BOLLNÄS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55860-2025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45973</v>
      </c>
      <c r="E643" s="1" t="n">
        <v>46296</v>
      </c>
      <c r="F643" t="inlineStr">
        <is>
          <t>GÄVLEBORGS LÄN</t>
        </is>
      </c>
      <c r="G643" t="inlineStr">
        <is>
          <t>BOLLNÄS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47639-2025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45931</v>
      </c>
      <c r="E644" s="1" t="n">
        <v>46296</v>
      </c>
      <c r="F644" t="inlineStr">
        <is>
          <t>GÄVLEBORGS LÄN</t>
        </is>
      </c>
      <c r="G644" t="inlineStr">
        <is>
          <t>BOLLNÄS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56958-2025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46296</v>
      </c>
      <c r="F645" t="inlineStr">
        <is>
          <t>GÄVLEBORGS LÄN</t>
        </is>
      </c>
      <c r="G645" t="inlineStr">
        <is>
          <t>BOLLNÄS</t>
        </is>
      </c>
      <c r="I645" t="n">
        <v>10.8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57151-2025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45979</v>
      </c>
      <c r="E646" s="1" t="n">
        <v>46296</v>
      </c>
      <c r="F646" t="inlineStr">
        <is>
          <t>GÄVLEBORGS LÄN</t>
        </is>
      </c>
      <c r="G646" t="inlineStr">
        <is>
          <t>BOLLNÄS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57706-2025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45981</v>
      </c>
      <c r="E647" s="1" t="n">
        <v>46296</v>
      </c>
      <c r="F647" t="inlineStr">
        <is>
          <t>GÄVLEBORGS LÄN</t>
        </is>
      </c>
      <c r="G647" t="inlineStr">
        <is>
          <t>BOLLNÄS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57707-2025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45981</v>
      </c>
      <c r="E648" s="1" t="n">
        <v>46296</v>
      </c>
      <c r="F648" t="inlineStr">
        <is>
          <t>GÄVLEBORGS LÄN</t>
        </is>
      </c>
      <c r="G648" t="inlineStr">
        <is>
          <t>BOLLNÄS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57708-2025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45981</v>
      </c>
      <c r="E649" s="1" t="n">
        <v>46296</v>
      </c>
      <c r="F649" t="inlineStr">
        <is>
          <t>GÄVLEBORGS LÄN</t>
        </is>
      </c>
      <c r="G649" t="inlineStr">
        <is>
          <t>BOLLNÄS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57443-2025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45980</v>
      </c>
      <c r="E650" s="1" t="n">
        <v>46296</v>
      </c>
      <c r="F650" t="inlineStr">
        <is>
          <t>GÄVLEBORGS LÄN</t>
        </is>
      </c>
      <c r="G650" t="inlineStr">
        <is>
          <t>BOLLNÄS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57995-2025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45982</v>
      </c>
      <c r="E651" s="1" t="n">
        <v>46296</v>
      </c>
      <c r="F651" t="inlineStr">
        <is>
          <t>GÄVLEBORGS LÄN</t>
        </is>
      </c>
      <c r="G651" t="inlineStr">
        <is>
          <t>BOLLNÄS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58119-2025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45982</v>
      </c>
      <c r="E652" s="1" t="n">
        <v>46296</v>
      </c>
      <c r="F652" t="inlineStr">
        <is>
          <t>GÄVLEBORGS LÄN</t>
        </is>
      </c>
      <c r="G652" t="inlineStr">
        <is>
          <t>BOLLNÄS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58127-2025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45982</v>
      </c>
      <c r="E653" s="1" t="n">
        <v>46296</v>
      </c>
      <c r="F653" t="inlineStr">
        <is>
          <t>GÄVLEBORGS LÄN</t>
        </is>
      </c>
      <c r="G653" t="inlineStr">
        <is>
          <t>BOLLNÄS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45982</v>
      </c>
      <c r="E654" s="1" t="n">
        <v>46296</v>
      </c>
      <c r="F654" t="inlineStr">
        <is>
          <t>GÄVLEBORGS LÄN</t>
        </is>
      </c>
      <c r="G654" t="inlineStr">
        <is>
          <t>BOLLNÄS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58697-2025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45986</v>
      </c>
      <c r="E655" s="1" t="n">
        <v>46296</v>
      </c>
      <c r="F655" t="inlineStr">
        <is>
          <t>GÄVLEBORGS LÄN</t>
        </is>
      </c>
      <c r="G655" t="inlineStr">
        <is>
          <t>BOLLNÄS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58808-2025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45987</v>
      </c>
      <c r="E656" s="1" t="n">
        <v>46296</v>
      </c>
      <c r="F656" t="inlineStr">
        <is>
          <t>GÄVLEBORGS LÄN</t>
        </is>
      </c>
      <c r="G656" t="inlineStr">
        <is>
          <t>BOLLNÄS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58819-2025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45987</v>
      </c>
      <c r="E657" s="1" t="n">
        <v>46296</v>
      </c>
      <c r="F657" t="inlineStr">
        <is>
          <t>GÄVLEBORGS LÄN</t>
        </is>
      </c>
      <c r="G657" t="inlineStr">
        <is>
          <t>BOLLNÄS</t>
        </is>
      </c>
      <c r="I657" t="n">
        <v>8.699999999999999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59362-2025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45989</v>
      </c>
      <c r="E658" s="1" t="n">
        <v>46296</v>
      </c>
      <c r="F658" t="inlineStr">
        <is>
          <t>GÄVLEBORGS LÄN</t>
        </is>
      </c>
      <c r="G658" t="inlineStr">
        <is>
          <t>BOLLNÄS</t>
        </is>
      </c>
      <c r="H658" t="inlineStr">
        <is>
          <t>Sveaskog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59441-2025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45989</v>
      </c>
      <c r="E659" s="1" t="n">
        <v>46296</v>
      </c>
      <c r="F659" t="inlineStr">
        <is>
          <t>GÄVLEBORGS LÄN</t>
        </is>
      </c>
      <c r="G659" t="inlineStr">
        <is>
          <t>BOLLNÄS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59427-2025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45989</v>
      </c>
      <c r="E660" s="1" t="n">
        <v>46296</v>
      </c>
      <c r="F660" t="inlineStr">
        <is>
          <t>GÄVLEBORGS LÄN</t>
        </is>
      </c>
      <c r="G660" t="inlineStr">
        <is>
          <t>BOLLNÄS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58100-2025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45982</v>
      </c>
      <c r="E661" s="1" t="n">
        <v>46296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59844-2025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45992</v>
      </c>
      <c r="E662" s="1" t="n">
        <v>46296</v>
      </c>
      <c r="F662" t="inlineStr">
        <is>
          <t>GÄVLEBORGS LÄN</t>
        </is>
      </c>
      <c r="G662" t="inlineStr">
        <is>
          <t>BOLLNÄS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60757-2025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45999</v>
      </c>
      <c r="E663" s="1" t="n">
        <v>46296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60779-2025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45999</v>
      </c>
      <c r="E664" s="1" t="n">
        <v>46296</v>
      </c>
      <c r="F664" t="inlineStr">
        <is>
          <t>GÄVLEBORGS LÄN</t>
        </is>
      </c>
      <c r="G664" t="inlineStr">
        <is>
          <t>BOLLNÄS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60707-2025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45996</v>
      </c>
      <c r="E665" s="1" t="n">
        <v>46296</v>
      </c>
      <c r="F665" t="inlineStr">
        <is>
          <t>GÄVLEBORGS LÄN</t>
        </is>
      </c>
      <c r="G665" t="inlineStr">
        <is>
          <t>BOLLNÄS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60810-2025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45999</v>
      </c>
      <c r="E666" s="1" t="n">
        <v>46296</v>
      </c>
      <c r="F666" t="inlineStr">
        <is>
          <t>GÄVLEBORGS LÄN</t>
        </is>
      </c>
      <c r="G666" t="inlineStr">
        <is>
          <t>BOLLNÄS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60573-2025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45996</v>
      </c>
      <c r="E667" s="1" t="n">
        <v>46296</v>
      </c>
      <c r="F667" t="inlineStr">
        <is>
          <t>GÄVLEBORGS LÄN</t>
        </is>
      </c>
      <c r="G667" t="inlineStr">
        <is>
          <t>BOLLNÄS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61043-2025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46000</v>
      </c>
      <c r="E668" s="1" t="n">
        <v>46296</v>
      </c>
      <c r="F668" t="inlineStr">
        <is>
          <t>GÄVLEBORGS LÄN</t>
        </is>
      </c>
      <c r="G668" t="inlineStr">
        <is>
          <t>BOLLNÄS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61835-2025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46003</v>
      </c>
      <c r="E669" s="1" t="n">
        <v>46296</v>
      </c>
      <c r="F669" t="inlineStr">
        <is>
          <t>GÄVLEBORGS LÄN</t>
        </is>
      </c>
      <c r="G669" t="inlineStr">
        <is>
          <t>BOLLNÄS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61689-2025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46002</v>
      </c>
      <c r="E670" s="1" t="n">
        <v>46296</v>
      </c>
      <c r="F670" t="inlineStr">
        <is>
          <t>GÄVLEBORGS LÄN</t>
        </is>
      </c>
      <c r="G670" t="inlineStr">
        <is>
          <t>BOLLNÄS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61568-2025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46002</v>
      </c>
      <c r="E671" s="1" t="n">
        <v>46296</v>
      </c>
      <c r="F671" t="inlineStr">
        <is>
          <t>GÄVLEBORGS LÄN</t>
        </is>
      </c>
      <c r="G671" t="inlineStr">
        <is>
          <t>BOLLNÄS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61686-2025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46002</v>
      </c>
      <c r="E672" s="1" t="n">
        <v>46296</v>
      </c>
      <c r="F672" t="inlineStr">
        <is>
          <t>GÄVLEBORGS LÄN</t>
        </is>
      </c>
      <c r="G672" t="inlineStr">
        <is>
          <t>BOLLNÄS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62272-2025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46006</v>
      </c>
      <c r="E673" s="1" t="n">
        <v>46296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62355-2025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46007</v>
      </c>
      <c r="E674" s="1" t="n">
        <v>46296</v>
      </c>
      <c r="F674" t="inlineStr">
        <is>
          <t>GÄVLEBORGS LÄN</t>
        </is>
      </c>
      <c r="G674" t="inlineStr">
        <is>
          <t>BOLLNÄS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63027-2025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46009</v>
      </c>
      <c r="E675" s="1" t="n">
        <v>46296</v>
      </c>
      <c r="F675" t="inlineStr">
        <is>
          <t>GÄVLEBORGS LÄN</t>
        </is>
      </c>
      <c r="G675" t="inlineStr">
        <is>
          <t>BOLLNÄS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62656-2025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46008</v>
      </c>
      <c r="E676" s="1" t="n">
        <v>46296</v>
      </c>
      <c r="F676" t="inlineStr">
        <is>
          <t>GÄVLEBORGS LÄN</t>
        </is>
      </c>
      <c r="G676" t="inlineStr">
        <is>
          <t>BOLLNÄS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63326-2025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46010</v>
      </c>
      <c r="E677" s="1" t="n">
        <v>46296</v>
      </c>
      <c r="F677" t="inlineStr">
        <is>
          <t>GÄVLEBORGS LÄN</t>
        </is>
      </c>
      <c r="G677" t="inlineStr">
        <is>
          <t>BOLLNÄS</t>
        </is>
      </c>
      <c r="I677" t="n">
        <v>6.8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64109-2025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46013</v>
      </c>
      <c r="E678" s="1" t="n">
        <v>46296</v>
      </c>
      <c r="F678" t="inlineStr">
        <is>
          <t>GÄVLEBORGS LÄN</t>
        </is>
      </c>
      <c r="G678" t="inlineStr">
        <is>
          <t>BOLLNÄS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63200-2025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46010</v>
      </c>
      <c r="E679" s="1" t="n">
        <v>46296</v>
      </c>
      <c r="F679" t="inlineStr">
        <is>
          <t>GÄVLEBORGS LÄN</t>
        </is>
      </c>
      <c r="G679" t="inlineStr">
        <is>
          <t>BOLLNÄS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63312-2025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46010</v>
      </c>
      <c r="E680" s="1" t="n">
        <v>46296</v>
      </c>
      <c r="F680" t="inlineStr">
        <is>
          <t>GÄVLEBORGS LÄN</t>
        </is>
      </c>
      <c r="G680" t="inlineStr">
        <is>
          <t>BOLLNÄS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63214-2025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46010</v>
      </c>
      <c r="E681" s="1" t="n">
        <v>46296</v>
      </c>
      <c r="F681" t="inlineStr">
        <is>
          <t>GÄVLEBORGS LÄN</t>
        </is>
      </c>
      <c r="G681" t="inlineStr">
        <is>
          <t>BOLLNÄS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63272-2025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46010</v>
      </c>
      <c r="E682" s="1" t="n">
        <v>46296</v>
      </c>
      <c r="F682" t="inlineStr">
        <is>
          <t>GÄVLEBORGS LÄN</t>
        </is>
      </c>
      <c r="G682" t="inlineStr">
        <is>
          <t>BOLLNÄS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63270-2025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46010</v>
      </c>
      <c r="E683" s="1" t="n">
        <v>46296</v>
      </c>
      <c r="F683" t="inlineStr">
        <is>
          <t>GÄVLEBORGS LÄN</t>
        </is>
      </c>
      <c r="G683" t="inlineStr">
        <is>
          <t>BOLLNÄS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63286-2025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46296</v>
      </c>
      <c r="F684" t="inlineStr">
        <is>
          <t>GÄVLEBORGS LÄN</t>
        </is>
      </c>
      <c r="G684" t="inlineStr">
        <is>
          <t>BOLLNÄS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61612-2025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46002</v>
      </c>
      <c r="E685" s="1" t="n">
        <v>46296</v>
      </c>
      <c r="F685" t="inlineStr">
        <is>
          <t>GÄVLEBORGS LÄN</t>
        </is>
      </c>
      <c r="G685" t="inlineStr">
        <is>
          <t>BOLLNÄS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57196-2025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45979</v>
      </c>
      <c r="E686" s="1" t="n">
        <v>46296</v>
      </c>
      <c r="F686" t="inlineStr">
        <is>
          <t>GÄVLEBORGS LÄN</t>
        </is>
      </c>
      <c r="G686" t="inlineStr">
        <is>
          <t>BOLLNÄS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63876-2025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46020</v>
      </c>
      <c r="E687" s="1" t="n">
        <v>46296</v>
      </c>
      <c r="F687" t="inlineStr">
        <is>
          <t>GÄVLEBORGS LÄN</t>
        </is>
      </c>
      <c r="G687" t="inlineStr">
        <is>
          <t>BOLLNÄS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63976-2025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46021</v>
      </c>
      <c r="E688" s="1" t="n">
        <v>46296</v>
      </c>
      <c r="F688" t="inlineStr">
        <is>
          <t>GÄVLEBORGS LÄN</t>
        </is>
      </c>
      <c r="G688" t="inlineStr">
        <is>
          <t>BOLLNÄS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63870-2025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46020</v>
      </c>
      <c r="E689" s="1" t="n">
        <v>46296</v>
      </c>
      <c r="F689" t="inlineStr">
        <is>
          <t>GÄVLEBORGS LÄN</t>
        </is>
      </c>
      <c r="G689" t="inlineStr">
        <is>
          <t>BOLLNÄS</t>
        </is>
      </c>
      <c r="I689" t="n">
        <v>9.4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46027</v>
      </c>
      <c r="E690" s="1" t="n">
        <v>46296</v>
      </c>
      <c r="F690" t="inlineStr">
        <is>
          <t>GÄVLEBORGS LÄN</t>
        </is>
      </c>
      <c r="G690" t="inlineStr">
        <is>
          <t>BOLLNÄS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61622-2025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46002</v>
      </c>
      <c r="E691" s="1" t="n">
        <v>46296</v>
      </c>
      <c r="F691" t="inlineStr">
        <is>
          <t>GÄVLEBORGS LÄN</t>
        </is>
      </c>
      <c r="G691" t="inlineStr">
        <is>
          <t>BOLLNÄS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46024</v>
      </c>
      <c r="E692" s="1" t="n">
        <v>46296</v>
      </c>
      <c r="F692" t="inlineStr">
        <is>
          <t>GÄVLEBORGS LÄN</t>
        </is>
      </c>
      <c r="G692" t="inlineStr">
        <is>
          <t>BOLLNÄS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61619-2025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46002</v>
      </c>
      <c r="E693" s="1" t="n">
        <v>46296</v>
      </c>
      <c r="F693" t="inlineStr">
        <is>
          <t>GÄVLEBORGS LÄN</t>
        </is>
      </c>
      <c r="G693" t="inlineStr">
        <is>
          <t>BOLLNÄS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62825-2025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46008</v>
      </c>
      <c r="E694" s="1" t="n">
        <v>46296</v>
      </c>
      <c r="F694" t="inlineStr">
        <is>
          <t>GÄVLEBORGS LÄN</t>
        </is>
      </c>
      <c r="G694" t="inlineStr">
        <is>
          <t>BOLLNÄS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46024</v>
      </c>
      <c r="E695" s="1" t="n">
        <v>46296</v>
      </c>
      <c r="F695" t="inlineStr">
        <is>
          <t>GÄVLEBORGS LÄN</t>
        </is>
      </c>
      <c r="G695" t="inlineStr">
        <is>
          <t>BOLLNÄS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46029</v>
      </c>
      <c r="E696" s="1" t="n">
        <v>46296</v>
      </c>
      <c r="F696" t="inlineStr">
        <is>
          <t>GÄVLEBORGS LÄN</t>
        </is>
      </c>
      <c r="G696" t="inlineStr">
        <is>
          <t>BOLLNÄS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46029</v>
      </c>
      <c r="E697" s="1" t="n">
        <v>46296</v>
      </c>
      <c r="F697" t="inlineStr">
        <is>
          <t>GÄVLEBORGS LÄN</t>
        </is>
      </c>
      <c r="G697" t="inlineStr">
        <is>
          <t>BOLLNÄS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46024</v>
      </c>
      <c r="E698" s="1" t="n">
        <v>46296</v>
      </c>
      <c r="F698" t="inlineStr">
        <is>
          <t>GÄVLEBORGS LÄN</t>
        </is>
      </c>
      <c r="G698" t="inlineStr">
        <is>
          <t>BOLLNÄS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46296</v>
      </c>
      <c r="F699" t="inlineStr">
        <is>
          <t>GÄVLEBORGS LÄN</t>
        </is>
      </c>
      <c r="G699" t="inlineStr">
        <is>
          <t>BOLLNÄS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46029</v>
      </c>
      <c r="E700" s="1" t="n">
        <v>46296</v>
      </c>
      <c r="F700" t="inlineStr">
        <is>
          <t>GÄVLEBORGS LÄN</t>
        </is>
      </c>
      <c r="G700" t="inlineStr">
        <is>
          <t>BOLLNÄS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46029</v>
      </c>
      <c r="E701" s="1" t="n">
        <v>46296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46029</v>
      </c>
      <c r="E702" s="1" t="n">
        <v>46296</v>
      </c>
      <c r="F702" t="inlineStr">
        <is>
          <t>GÄVLEBORGS LÄN</t>
        </is>
      </c>
      <c r="G702" t="inlineStr">
        <is>
          <t>BOLLNÄS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762-2026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46029</v>
      </c>
      <c r="E703" s="1" t="n">
        <v>46296</v>
      </c>
      <c r="F703" t="inlineStr">
        <is>
          <t>GÄVLEBORGS LÄN</t>
        </is>
      </c>
      <c r="G703" t="inlineStr">
        <is>
          <t>BOLLNÄS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46031</v>
      </c>
      <c r="E704" s="1" t="n">
        <v>46296</v>
      </c>
      <c r="F704" t="inlineStr">
        <is>
          <t>GÄVLEBORGS LÄN</t>
        </is>
      </c>
      <c r="G704" t="inlineStr">
        <is>
          <t>BOLLNÄS</t>
        </is>
      </c>
      <c r="I704" t="n">
        <v>15.2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1376-2026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46031</v>
      </c>
      <c r="E705" s="1" t="n">
        <v>46296</v>
      </c>
      <c r="F705" t="inlineStr">
        <is>
          <t>GÄVLEBORGS LÄN</t>
        </is>
      </c>
      <c r="G705" t="inlineStr">
        <is>
          <t>BOLLNÄS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811-2026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46296</v>
      </c>
      <c r="F706" t="inlineStr">
        <is>
          <t>GÄVLEBORGS LÄN</t>
        </is>
      </c>
      <c r="G706" t="inlineStr">
        <is>
          <t>BOLLNÄS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31574-2024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45506</v>
      </c>
      <c r="E707" s="1" t="n">
        <v>46296</v>
      </c>
      <c r="F707" t="inlineStr">
        <is>
          <t>GÄVLEBORGS LÄN</t>
        </is>
      </c>
      <c r="G707" t="inlineStr">
        <is>
          <t>BOLLNÄS</t>
        </is>
      </c>
      <c r="H707" t="inlineStr">
        <is>
          <t>Sveaskog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46296</v>
      </c>
      <c r="F708" t="inlineStr">
        <is>
          <t>GÄVLEBORGS LÄN</t>
        </is>
      </c>
      <c r="G708" t="inlineStr">
        <is>
          <t>BOLLNÄS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1093-2026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46030</v>
      </c>
      <c r="E709" s="1" t="n">
        <v>46296</v>
      </c>
      <c r="F709" t="inlineStr">
        <is>
          <t>GÄVLEBORGS LÄN</t>
        </is>
      </c>
      <c r="G709" t="inlineStr">
        <is>
          <t>BOLLNÄS</t>
        </is>
      </c>
      <c r="I709" t="n">
        <v>16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46035</v>
      </c>
      <c r="E710" s="1" t="n">
        <v>46296</v>
      </c>
      <c r="F710" t="inlineStr">
        <is>
          <t>GÄVLEBORGS LÄN</t>
        </is>
      </c>
      <c r="G710" t="inlineStr">
        <is>
          <t>BOLLNÄS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46035</v>
      </c>
      <c r="E711" s="1" t="n">
        <v>46296</v>
      </c>
      <c r="F711" t="inlineStr">
        <is>
          <t>GÄVLEBORGS LÄN</t>
        </is>
      </c>
      <c r="G711" t="inlineStr">
        <is>
          <t>BOLLNÄS</t>
        </is>
      </c>
      <c r="I711" t="n">
        <v>13.2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46296</v>
      </c>
      <c r="F712" t="inlineStr">
        <is>
          <t>GÄVLEBORGS LÄN</t>
        </is>
      </c>
      <c r="G712" t="inlineStr">
        <is>
          <t>BOLLNÄS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46034</v>
      </c>
      <c r="E713" s="1" t="n">
        <v>46296</v>
      </c>
      <c r="F713" t="inlineStr">
        <is>
          <t>GÄVLEBORGS LÄN</t>
        </is>
      </c>
      <c r="G713" t="inlineStr">
        <is>
          <t>BOLLNÄS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46034</v>
      </c>
      <c r="E714" s="1" t="n">
        <v>46296</v>
      </c>
      <c r="F714" t="inlineStr">
        <is>
          <t>GÄVLEBORGS LÄN</t>
        </is>
      </c>
      <c r="G714" t="inlineStr">
        <is>
          <t>BOLLNÄS</t>
        </is>
      </c>
      <c r="I714" t="n">
        <v>11.8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1492-2026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46296</v>
      </c>
      <c r="F715" t="inlineStr">
        <is>
          <t>GÄVLEBORGS LÄN</t>
        </is>
      </c>
      <c r="G715" t="inlineStr">
        <is>
          <t>BOLLNÄS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1502-2026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46034</v>
      </c>
      <c r="E716" s="1" t="n">
        <v>46296</v>
      </c>
      <c r="F716" t="inlineStr">
        <is>
          <t>GÄVLEBORGS LÄN</t>
        </is>
      </c>
      <c r="G716" t="inlineStr">
        <is>
          <t>BOLLNÄS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46034</v>
      </c>
      <c r="E717" s="1" t="n">
        <v>46296</v>
      </c>
      <c r="F717" t="inlineStr">
        <is>
          <t>GÄVLEBORGS LÄN</t>
        </is>
      </c>
      <c r="G717" t="inlineStr">
        <is>
          <t>BOLLNÄS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1797-2026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46035</v>
      </c>
      <c r="E718" s="1" t="n">
        <v>46296</v>
      </c>
      <c r="F718" t="inlineStr">
        <is>
          <t>GÄVLEBORGS LÄN</t>
        </is>
      </c>
      <c r="G718" t="inlineStr">
        <is>
          <t>BOLLNÄS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1669-2026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46034</v>
      </c>
      <c r="E719" s="1" t="n">
        <v>46296</v>
      </c>
      <c r="F719" t="inlineStr">
        <is>
          <t>GÄVLEBORGS LÄN</t>
        </is>
      </c>
      <c r="G719" t="inlineStr">
        <is>
          <t>BOLLNÄS</t>
        </is>
      </c>
      <c r="I719" t="n">
        <v>6.1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63268-2025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46010</v>
      </c>
      <c r="E720" s="1" t="n">
        <v>46296</v>
      </c>
      <c r="F720" t="inlineStr">
        <is>
          <t>GÄVLEBORGS LÄN</t>
        </is>
      </c>
      <c r="G720" t="inlineStr">
        <is>
          <t>BOLLNÄS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46035</v>
      </c>
      <c r="E721" s="1" t="n">
        <v>46296</v>
      </c>
      <c r="F721" t="inlineStr">
        <is>
          <t>GÄVLEBORGS LÄN</t>
        </is>
      </c>
      <c r="G721" t="inlineStr">
        <is>
          <t>BOLLNÄS</t>
        </is>
      </c>
      <c r="I721" t="n">
        <v>9.6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63958-2025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46020</v>
      </c>
      <c r="E722" s="1" t="n">
        <v>46296</v>
      </c>
      <c r="F722" t="inlineStr">
        <is>
          <t>GÄVLEBORGS LÄN</t>
        </is>
      </c>
      <c r="G722" t="inlineStr">
        <is>
          <t>BOLLNÄS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2405-2026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46036</v>
      </c>
      <c r="E723" s="1" t="n">
        <v>46296</v>
      </c>
      <c r="F723" t="inlineStr">
        <is>
          <t>GÄVLEBORGS LÄN</t>
        </is>
      </c>
      <c r="G723" t="inlineStr">
        <is>
          <t>BOLLNÄS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46035</v>
      </c>
      <c r="E724" s="1" t="n">
        <v>46296</v>
      </c>
      <c r="F724" t="inlineStr">
        <is>
          <t>GÄVLEBORGS LÄN</t>
        </is>
      </c>
      <c r="G724" t="inlineStr">
        <is>
          <t>BOLLNÄS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2143-2026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46296</v>
      </c>
      <c r="F725" t="inlineStr">
        <is>
          <t>GÄVLEBORGS LÄN</t>
        </is>
      </c>
      <c r="G725" t="inlineStr">
        <is>
          <t>BOLLNÄS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46029</v>
      </c>
      <c r="E726" s="1" t="n">
        <v>46296</v>
      </c>
      <c r="F726" t="inlineStr">
        <is>
          <t>GÄVLEBORGS LÄN</t>
        </is>
      </c>
      <c r="G726" t="inlineStr">
        <is>
          <t>BOLLNÄS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2653-2026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46037</v>
      </c>
      <c r="E727" s="1" t="n">
        <v>46296</v>
      </c>
      <c r="F727" t="inlineStr">
        <is>
          <t>GÄVLEBORGS LÄN</t>
        </is>
      </c>
      <c r="G727" t="inlineStr">
        <is>
          <t>BOLLNÄS</t>
        </is>
      </c>
      <c r="I727" t="n">
        <v>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2109-2026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46296</v>
      </c>
      <c r="F728" t="inlineStr">
        <is>
          <t>GÄVLEBORGS LÄN</t>
        </is>
      </c>
      <c r="G728" t="inlineStr">
        <is>
          <t>BOLLNÄS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2307-2026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46036</v>
      </c>
      <c r="E729" s="1" t="n">
        <v>46296</v>
      </c>
      <c r="F729" t="inlineStr">
        <is>
          <t>GÄVLEBORGS LÄN</t>
        </is>
      </c>
      <c r="G729" t="inlineStr">
        <is>
          <t>BOLLNÄS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2526-2026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46037</v>
      </c>
      <c r="E730" s="1" t="n">
        <v>46296</v>
      </c>
      <c r="F730" t="inlineStr">
        <is>
          <t>GÄVLEBORGS LÄN</t>
        </is>
      </c>
      <c r="G730" t="inlineStr">
        <is>
          <t>BOLLNÄS</t>
        </is>
      </c>
      <c r="I730" t="n">
        <v>12.6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46036</v>
      </c>
      <c r="E731" s="1" t="n">
        <v>46296</v>
      </c>
      <c r="F731" t="inlineStr">
        <is>
          <t>GÄVLEBORGS LÄN</t>
        </is>
      </c>
      <c r="G731" t="inlineStr">
        <is>
          <t>BOLLNÄS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46296</v>
      </c>
      <c r="F732" t="inlineStr">
        <is>
          <t>GÄVLEBORGS LÄN</t>
        </is>
      </c>
      <c r="G732" t="inlineStr">
        <is>
          <t>BOLLNÄS</t>
        </is>
      </c>
      <c r="I732" t="n">
        <v>24.3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46040</v>
      </c>
      <c r="E733" s="1" t="n">
        <v>46296</v>
      </c>
      <c r="F733" t="inlineStr">
        <is>
          <t>GÄVLEBORGS LÄN</t>
        </is>
      </c>
      <c r="G733" t="inlineStr">
        <is>
          <t>BOLLNÄS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2737-2026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46038</v>
      </c>
      <c r="E734" s="1" t="n">
        <v>46296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2741-2026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46038</v>
      </c>
      <c r="E735" s="1" t="n">
        <v>46296</v>
      </c>
      <c r="F735" t="inlineStr">
        <is>
          <t>GÄVLEBORGS LÄN</t>
        </is>
      </c>
      <c r="G735" t="inlineStr">
        <is>
          <t>BOLLNÄS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2743-2026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46038</v>
      </c>
      <c r="E736" s="1" t="n">
        <v>46296</v>
      </c>
      <c r="F736" t="inlineStr">
        <is>
          <t>GÄVLEBORGS LÄN</t>
        </is>
      </c>
      <c r="G736" t="inlineStr">
        <is>
          <t>BOLLNÄS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3121-2026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46041</v>
      </c>
      <c r="E737" s="1" t="n">
        <v>46296</v>
      </c>
      <c r="F737" t="inlineStr">
        <is>
          <t>GÄVLEBORGS LÄN</t>
        </is>
      </c>
      <c r="G737" t="inlineStr">
        <is>
          <t>BOLLNÄS</t>
        </is>
      </c>
      <c r="I737" t="n">
        <v>8.300000000000001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3089-2026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46040</v>
      </c>
      <c r="E738" s="1" t="n">
        <v>46296</v>
      </c>
      <c r="F738" t="inlineStr">
        <is>
          <t>GÄVLEBORGS LÄN</t>
        </is>
      </c>
      <c r="G738" t="inlineStr">
        <is>
          <t>BOLLNÄS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46040</v>
      </c>
      <c r="E739" s="1" t="n">
        <v>46296</v>
      </c>
      <c r="F739" t="inlineStr">
        <is>
          <t>GÄVLEBORGS LÄN</t>
        </is>
      </c>
      <c r="G739" t="inlineStr">
        <is>
          <t>BOLLNÄS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3076-2026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46040</v>
      </c>
      <c r="E740" s="1" t="n">
        <v>46296</v>
      </c>
      <c r="F740" t="inlineStr">
        <is>
          <t>GÄVLEBORGS LÄN</t>
        </is>
      </c>
      <c r="G740" t="inlineStr">
        <is>
          <t>BOLLNÄS</t>
        </is>
      </c>
      <c r="I740" t="n">
        <v>5.6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3077-2026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46040</v>
      </c>
      <c r="E741" s="1" t="n">
        <v>46296</v>
      </c>
      <c r="F741" t="inlineStr">
        <is>
          <t>GÄVLEBORGS LÄN</t>
        </is>
      </c>
      <c r="G741" t="inlineStr">
        <is>
          <t>BOLLNÄS</t>
        </is>
      </c>
      <c r="I741" t="n">
        <v>31.3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3094-2026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46040</v>
      </c>
      <c r="E742" s="1" t="n">
        <v>46296</v>
      </c>
      <c r="F742" t="inlineStr">
        <is>
          <t>GÄVLEBORGS LÄN</t>
        </is>
      </c>
      <c r="G742" t="inlineStr">
        <is>
          <t>BOLLNÄS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46041</v>
      </c>
      <c r="E743" s="1" t="n">
        <v>46296</v>
      </c>
      <c r="F743" t="inlineStr">
        <is>
          <t>GÄVLEBORGS LÄN</t>
        </is>
      </c>
      <c r="G743" t="inlineStr">
        <is>
          <t>BOLLNÄS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46038</v>
      </c>
      <c r="E744" s="1" t="n">
        <v>46296</v>
      </c>
      <c r="F744" t="inlineStr">
        <is>
          <t>GÄVLEBORGS LÄN</t>
        </is>
      </c>
      <c r="G744" t="inlineStr">
        <is>
          <t>BOLLNÄS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46040</v>
      </c>
      <c r="E745" s="1" t="n">
        <v>46296</v>
      </c>
      <c r="F745" t="inlineStr">
        <is>
          <t>GÄVLEBORGS LÄN</t>
        </is>
      </c>
      <c r="G745" t="inlineStr">
        <is>
          <t>BOLLNÄS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3080-2026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46040</v>
      </c>
      <c r="E746" s="1" t="n">
        <v>46296</v>
      </c>
      <c r="F746" t="inlineStr">
        <is>
          <t>GÄVLEBORGS LÄN</t>
        </is>
      </c>
      <c r="G746" t="inlineStr">
        <is>
          <t>BOLLNÄS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46038</v>
      </c>
      <c r="E747" s="1" t="n">
        <v>46296</v>
      </c>
      <c r="F747" t="inlineStr">
        <is>
          <t>GÄVLEBORGS LÄN</t>
        </is>
      </c>
      <c r="G747" t="inlineStr">
        <is>
          <t>BOLLNÄS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46038</v>
      </c>
      <c r="E748" s="1" t="n">
        <v>46296</v>
      </c>
      <c r="F748" t="inlineStr">
        <is>
          <t>GÄVLEBORGS LÄN</t>
        </is>
      </c>
      <c r="G748" t="inlineStr">
        <is>
          <t>BOLLNÄS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46041</v>
      </c>
      <c r="E749" s="1" t="n">
        <v>46296</v>
      </c>
      <c r="F749" t="inlineStr">
        <is>
          <t>GÄVLEBORGS LÄN</t>
        </is>
      </c>
      <c r="G749" t="inlineStr">
        <is>
          <t>BOLLNÄS</t>
        </is>
      </c>
      <c r="I749" t="n">
        <v>18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46038</v>
      </c>
      <c r="E750" s="1" t="n">
        <v>46296</v>
      </c>
      <c r="F750" t="inlineStr">
        <is>
          <t>GÄVLEBORGS LÄN</t>
        </is>
      </c>
      <c r="G750" t="inlineStr">
        <is>
          <t>BOLLNÄS</t>
        </is>
      </c>
      <c r="I750" t="n">
        <v>26.9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46040</v>
      </c>
      <c r="E751" s="1" t="n">
        <v>46296</v>
      </c>
      <c r="F751" t="inlineStr">
        <is>
          <t>GÄVLEBORGS LÄN</t>
        </is>
      </c>
      <c r="G751" t="inlineStr">
        <is>
          <t>BOLLNÄS</t>
        </is>
      </c>
      <c r="I751" t="n">
        <v>7.6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46040</v>
      </c>
      <c r="E752" s="1" t="n">
        <v>46296</v>
      </c>
      <c r="F752" t="inlineStr">
        <is>
          <t>GÄVLEBORGS LÄN</t>
        </is>
      </c>
      <c r="G752" t="inlineStr">
        <is>
          <t>BOLLNÄS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46041</v>
      </c>
      <c r="E753" s="1" t="n">
        <v>46296</v>
      </c>
      <c r="F753" t="inlineStr">
        <is>
          <t>GÄVLEBORGS LÄN</t>
        </is>
      </c>
      <c r="G753" t="inlineStr">
        <is>
          <t>BOLLNÄS</t>
        </is>
      </c>
      <c r="I753" t="n">
        <v>34.3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46038</v>
      </c>
      <c r="E754" s="1" t="n">
        <v>46296</v>
      </c>
      <c r="F754" t="inlineStr">
        <is>
          <t>GÄVLEBORGS LÄN</t>
        </is>
      </c>
      <c r="G754" t="inlineStr">
        <is>
          <t>BOLLNÄS</t>
        </is>
      </c>
      <c r="I754" t="n">
        <v>8.800000000000001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46029</v>
      </c>
      <c r="E755" s="1" t="n">
        <v>46296</v>
      </c>
      <c r="F755" t="inlineStr">
        <is>
          <t>GÄVLEBORGS LÄN</t>
        </is>
      </c>
      <c r="G755" t="inlineStr">
        <is>
          <t>BOLLNÄS</t>
        </is>
      </c>
      <c r="I755" t="n">
        <v>17.7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3074-2026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46040</v>
      </c>
      <c r="E756" s="1" t="n">
        <v>46296</v>
      </c>
      <c r="F756" t="inlineStr">
        <is>
          <t>GÄVLEBORGS LÄN</t>
        </is>
      </c>
      <c r="G756" t="inlineStr">
        <is>
          <t>BOLLNÄS</t>
        </is>
      </c>
      <c r="I756" t="n">
        <v>12.9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46040</v>
      </c>
      <c r="E757" s="1" t="n">
        <v>46296</v>
      </c>
      <c r="F757" t="inlineStr">
        <is>
          <t>GÄVLEBORGS LÄN</t>
        </is>
      </c>
      <c r="G757" t="inlineStr">
        <is>
          <t>BOLLNÄS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46042</v>
      </c>
      <c r="E758" s="1" t="n">
        <v>46296</v>
      </c>
      <c r="F758" t="inlineStr">
        <is>
          <t>GÄVLEBORGS LÄN</t>
        </is>
      </c>
      <c r="G758" t="inlineStr">
        <is>
          <t>BOLLNÄS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3355-2026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46042</v>
      </c>
      <c r="E759" s="1" t="n">
        <v>46296</v>
      </c>
      <c r="F759" t="inlineStr">
        <is>
          <t>GÄVLEBORGS LÄN</t>
        </is>
      </c>
      <c r="G759" t="inlineStr">
        <is>
          <t>BOLLNÄS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3487-2026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46042</v>
      </c>
      <c r="E760" s="1" t="n">
        <v>46296</v>
      </c>
      <c r="F760" t="inlineStr">
        <is>
          <t>GÄVLEBORGS LÄN</t>
        </is>
      </c>
      <c r="G760" t="inlineStr">
        <is>
          <t>BOLLNÄS</t>
        </is>
      </c>
      <c r="I760" t="n">
        <v>18.3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46042</v>
      </c>
      <c r="E761" s="1" t="n">
        <v>46296</v>
      </c>
      <c r="F761" t="inlineStr">
        <is>
          <t>GÄVLEBORGS LÄN</t>
        </is>
      </c>
      <c r="G761" t="inlineStr">
        <is>
          <t>BOLLNÄS</t>
        </is>
      </c>
      <c r="I761" t="n">
        <v>8.9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46042</v>
      </c>
      <c r="E762" s="1" t="n">
        <v>46296</v>
      </c>
      <c r="F762" t="inlineStr">
        <is>
          <t>GÄVLEBORGS LÄN</t>
        </is>
      </c>
      <c r="G762" t="inlineStr">
        <is>
          <t>BOLLNÄS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46043</v>
      </c>
      <c r="E763" s="1" t="n">
        <v>46296</v>
      </c>
      <c r="F763" t="inlineStr">
        <is>
          <t>GÄVLEBORGS LÄN</t>
        </is>
      </c>
      <c r="G763" t="inlineStr">
        <is>
          <t>BOLLNÄS</t>
        </is>
      </c>
      <c r="I763" t="n">
        <v>7.5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3595-2026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46296</v>
      </c>
      <c r="F764" t="inlineStr">
        <is>
          <t>GÄVLEBORGS LÄN</t>
        </is>
      </c>
      <c r="G764" t="inlineStr">
        <is>
          <t>BOLLNÄS</t>
        </is>
      </c>
      <c r="I764" t="n">
        <v>36.1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3888-2026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46043</v>
      </c>
      <c r="E765" s="1" t="n">
        <v>46296</v>
      </c>
      <c r="F765" t="inlineStr">
        <is>
          <t>GÄVLEBORGS LÄN</t>
        </is>
      </c>
      <c r="G765" t="inlineStr">
        <is>
          <t>BOLLNÄS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3919-2026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46296</v>
      </c>
      <c r="F766" t="inlineStr">
        <is>
          <t>GÄVLEBORGS LÄN</t>
        </is>
      </c>
      <c r="G766" t="inlineStr">
        <is>
          <t>BOLLNÄS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3639-2026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46043</v>
      </c>
      <c r="E767" s="1" t="n">
        <v>46296</v>
      </c>
      <c r="F767" t="inlineStr">
        <is>
          <t>GÄVLEBORGS LÄN</t>
        </is>
      </c>
      <c r="G767" t="inlineStr">
        <is>
          <t>BOLLNÄS</t>
        </is>
      </c>
      <c r="H767" t="inlineStr">
        <is>
          <t>Kyrkan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46042</v>
      </c>
      <c r="E768" s="1" t="n">
        <v>46296</v>
      </c>
      <c r="F768" t="inlineStr">
        <is>
          <t>GÄVLEBORGS LÄN</t>
        </is>
      </c>
      <c r="G768" t="inlineStr">
        <is>
          <t>BOLLNÄS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3825-2026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46043</v>
      </c>
      <c r="E769" s="1" t="n">
        <v>46296</v>
      </c>
      <c r="F769" t="inlineStr">
        <is>
          <t>GÄVLEBORGS LÄN</t>
        </is>
      </c>
      <c r="G769" t="inlineStr">
        <is>
          <t>BOLLNÄS</t>
        </is>
      </c>
      <c r="I769" t="n">
        <v>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4288-2026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46045</v>
      </c>
      <c r="E770" s="1" t="n">
        <v>46296</v>
      </c>
      <c r="F770" t="inlineStr">
        <is>
          <t>GÄVLEBORGS LÄN</t>
        </is>
      </c>
      <c r="G770" t="inlineStr">
        <is>
          <t>BOLLNÄS</t>
        </is>
      </c>
      <c r="I770" t="n">
        <v>5.9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46045</v>
      </c>
      <c r="E771" s="1" t="n">
        <v>46296</v>
      </c>
      <c r="F771" t="inlineStr">
        <is>
          <t>GÄVLEBORGS LÄN</t>
        </is>
      </c>
      <c r="G771" t="inlineStr">
        <is>
          <t>BOLLNÄS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4127-2026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46044</v>
      </c>
      <c r="E772" s="1" t="n">
        <v>46296</v>
      </c>
      <c r="F772" t="inlineStr">
        <is>
          <t>GÄVLEBORGS LÄN</t>
        </is>
      </c>
      <c r="G772" t="inlineStr">
        <is>
          <t>BOLLNÄS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46045</v>
      </c>
      <c r="E773" s="1" t="n">
        <v>46296</v>
      </c>
      <c r="F773" t="inlineStr">
        <is>
          <t>GÄVLEBORGS LÄN</t>
        </is>
      </c>
      <c r="G773" t="inlineStr">
        <is>
          <t>BOLLNÄS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775-2026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46029</v>
      </c>
      <c r="E774" s="1" t="n">
        <v>46296</v>
      </c>
      <c r="F774" t="inlineStr">
        <is>
          <t>GÄVLEBORGS LÄN</t>
        </is>
      </c>
      <c r="G774" t="inlineStr">
        <is>
          <t>BOLLNÄS</t>
        </is>
      </c>
      <c r="I774" t="n">
        <v>7.7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46045</v>
      </c>
      <c r="E775" s="1" t="n">
        <v>46296</v>
      </c>
      <c r="F775" t="inlineStr">
        <is>
          <t>GÄVLEBORGS LÄN</t>
        </is>
      </c>
      <c r="G775" t="inlineStr">
        <is>
          <t>BOLLNÄS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46044</v>
      </c>
      <c r="E776" s="1" t="n">
        <v>46296</v>
      </c>
      <c r="F776" t="inlineStr">
        <is>
          <t>GÄVLEBORGS LÄN</t>
        </is>
      </c>
      <c r="G776" t="inlineStr">
        <is>
          <t>BOLLNÄS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4062-2026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46044</v>
      </c>
      <c r="E777" s="1" t="n">
        <v>46296</v>
      </c>
      <c r="F777" t="inlineStr">
        <is>
          <t>GÄVLEBORGS LÄN</t>
        </is>
      </c>
      <c r="G777" t="inlineStr">
        <is>
          <t>BOLLNÄS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4241-2026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46045</v>
      </c>
      <c r="E778" s="1" t="n">
        <v>46296</v>
      </c>
      <c r="F778" t="inlineStr">
        <is>
          <t>GÄVLEBORGS LÄN</t>
        </is>
      </c>
      <c r="G778" t="inlineStr">
        <is>
          <t>BOLLNÄS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46044</v>
      </c>
      <c r="E779" s="1" t="n">
        <v>46296</v>
      </c>
      <c r="F779" t="inlineStr">
        <is>
          <t>GÄVLEBORGS LÄN</t>
        </is>
      </c>
      <c r="G779" t="inlineStr">
        <is>
          <t>BOLLNÄS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4445-2026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46045</v>
      </c>
      <c r="E780" s="1" t="n">
        <v>46296</v>
      </c>
      <c r="F780" t="inlineStr">
        <is>
          <t>GÄVLEBORGS LÄN</t>
        </is>
      </c>
      <c r="G780" t="inlineStr">
        <is>
          <t>BOLLNÄS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46045</v>
      </c>
      <c r="E781" s="1" t="n">
        <v>46296</v>
      </c>
      <c r="F781" t="inlineStr">
        <is>
          <t>GÄVLEBORGS LÄN</t>
        </is>
      </c>
      <c r="G781" t="inlineStr">
        <is>
          <t>BOLLNÄS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46044</v>
      </c>
      <c r="E782" s="1" t="n">
        <v>46296</v>
      </c>
      <c r="F782" t="inlineStr">
        <is>
          <t>GÄVLEBORGS LÄN</t>
        </is>
      </c>
      <c r="G782" t="inlineStr">
        <is>
          <t>BOLLNÄS</t>
        </is>
      </c>
      <c r="I782" t="n">
        <v>4.6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46049</v>
      </c>
      <c r="E783" s="1" t="n">
        <v>46296</v>
      </c>
      <c r="F783" t="inlineStr">
        <is>
          <t>GÄVLEBORGS LÄN</t>
        </is>
      </c>
      <c r="G783" t="inlineStr">
        <is>
          <t>BOLLNÄS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46049</v>
      </c>
      <c r="E784" s="1" t="n">
        <v>46296</v>
      </c>
      <c r="F784" t="inlineStr">
        <is>
          <t>GÄVLEBORGS LÄN</t>
        </is>
      </c>
      <c r="G784" t="inlineStr">
        <is>
          <t>BOLLNÄS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5047-2026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46049</v>
      </c>
      <c r="E785" s="1" t="n">
        <v>46296</v>
      </c>
      <c r="F785" t="inlineStr">
        <is>
          <t>GÄVLEBORGS LÄN</t>
        </is>
      </c>
      <c r="G785" t="inlineStr">
        <is>
          <t>BOLLNÄS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54908-2025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45967</v>
      </c>
      <c r="E786" s="1" t="n">
        <v>46296</v>
      </c>
      <c r="F786" t="inlineStr">
        <is>
          <t>GÄVLEBORGS LÄN</t>
        </is>
      </c>
      <c r="G786" t="inlineStr">
        <is>
          <t>BOLLNÄS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4763-2026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46048</v>
      </c>
      <c r="E787" s="1" t="n">
        <v>46296</v>
      </c>
      <c r="F787" t="inlineStr">
        <is>
          <t>GÄVLEBORGS LÄN</t>
        </is>
      </c>
      <c r="G787" t="inlineStr">
        <is>
          <t>BOLLNÄS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46048</v>
      </c>
      <c r="E788" s="1" t="n">
        <v>46296</v>
      </c>
      <c r="F788" t="inlineStr">
        <is>
          <t>GÄVLEBORGS LÄN</t>
        </is>
      </c>
      <c r="G788" t="inlineStr">
        <is>
          <t>BOLLNÄS</t>
        </is>
      </c>
      <c r="H788" t="inlineStr">
        <is>
          <t>Bergvik skog väst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5056-2026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46049</v>
      </c>
      <c r="E789" s="1" t="n">
        <v>46296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5161-2026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46049</v>
      </c>
      <c r="E790" s="1" t="n">
        <v>46296</v>
      </c>
      <c r="F790" t="inlineStr">
        <is>
          <t>GÄVLEBORGS LÄN</t>
        </is>
      </c>
      <c r="G790" t="inlineStr">
        <is>
          <t>BOLLNÄS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4851-2026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46296</v>
      </c>
      <c r="F791" t="inlineStr">
        <is>
          <t>GÄVLEBORGS LÄN</t>
        </is>
      </c>
      <c r="G791" t="inlineStr">
        <is>
          <t>BOLLNÄS</t>
        </is>
      </c>
      <c r="H791" t="inlineStr">
        <is>
          <t>Kyrkan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46049</v>
      </c>
      <c r="E792" s="1" t="n">
        <v>46296</v>
      </c>
      <c r="F792" t="inlineStr">
        <is>
          <t>GÄVLEBORGS LÄN</t>
        </is>
      </c>
      <c r="G792" t="inlineStr">
        <is>
          <t>BOLLNÄS</t>
        </is>
      </c>
      <c r="I792" t="n">
        <v>5.8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5154-2026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46049</v>
      </c>
      <c r="E793" s="1" t="n">
        <v>46296</v>
      </c>
      <c r="F793" t="inlineStr">
        <is>
          <t>GÄVLEBORGS LÄN</t>
        </is>
      </c>
      <c r="G793" t="inlineStr">
        <is>
          <t>BOLLNÄS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4931-2026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46296</v>
      </c>
      <c r="F794" t="inlineStr">
        <is>
          <t>GÄVLEBORGS LÄN</t>
        </is>
      </c>
      <c r="G794" t="inlineStr">
        <is>
          <t>BOLLNÄS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4944-2026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46049</v>
      </c>
      <c r="E795" s="1" t="n">
        <v>46296</v>
      </c>
      <c r="F795" t="inlineStr">
        <is>
          <t>GÄVLEBORGS LÄN</t>
        </is>
      </c>
      <c r="G795" t="inlineStr">
        <is>
          <t>BOLLNÄS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833-2026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46030</v>
      </c>
      <c r="E796" s="1" t="n">
        <v>46296</v>
      </c>
      <c r="F796" t="inlineStr">
        <is>
          <t>GÄVLEBORGS LÄN</t>
        </is>
      </c>
      <c r="G796" t="inlineStr">
        <is>
          <t>BOLLNÄS</t>
        </is>
      </c>
      <c r="I796" t="n">
        <v>10.8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4948-2026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46049</v>
      </c>
      <c r="E797" s="1" t="n">
        <v>46296</v>
      </c>
      <c r="F797" t="inlineStr">
        <is>
          <t>GÄVLEBORGS LÄN</t>
        </is>
      </c>
      <c r="G797" t="inlineStr">
        <is>
          <t>BOLLNÄS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5660-2026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46051</v>
      </c>
      <c r="E798" s="1" t="n">
        <v>46296</v>
      </c>
      <c r="F798" t="inlineStr">
        <is>
          <t>GÄVLEBORGS LÄN</t>
        </is>
      </c>
      <c r="G798" t="inlineStr">
        <is>
          <t>BOLLNÄS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46050</v>
      </c>
      <c r="E799" s="1" t="n">
        <v>46296</v>
      </c>
      <c r="F799" t="inlineStr">
        <is>
          <t>GÄVLEBORGS LÄN</t>
        </is>
      </c>
      <c r="G799" t="inlineStr">
        <is>
          <t>BOLLNÄS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5777-2026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46051</v>
      </c>
      <c r="E800" s="1" t="n">
        <v>46296</v>
      </c>
      <c r="F800" t="inlineStr">
        <is>
          <t>GÄVLEBORGS LÄN</t>
        </is>
      </c>
      <c r="G800" t="inlineStr">
        <is>
          <t>BOLLNÄS</t>
        </is>
      </c>
      <c r="I800" t="n">
        <v>12.3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46051</v>
      </c>
      <c r="E801" s="1" t="n">
        <v>46296</v>
      </c>
      <c r="F801" t="inlineStr">
        <is>
          <t>GÄVLEBORGS LÄN</t>
        </is>
      </c>
      <c r="G801" t="inlineStr">
        <is>
          <t>BOLLNÄS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5571-2026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46050</v>
      </c>
      <c r="E802" s="1" t="n">
        <v>46296</v>
      </c>
      <c r="F802" t="inlineStr">
        <is>
          <t>GÄVLEBORGS LÄN</t>
        </is>
      </c>
      <c r="G802" t="inlineStr">
        <is>
          <t>BOLLNÄS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46051</v>
      </c>
      <c r="E803" s="1" t="n">
        <v>46296</v>
      </c>
      <c r="F803" t="inlineStr">
        <is>
          <t>GÄVLEBORGS LÄN</t>
        </is>
      </c>
      <c r="G803" t="inlineStr">
        <is>
          <t>BOLLNÄS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46050</v>
      </c>
      <c r="E804" s="1" t="n">
        <v>46296</v>
      </c>
      <c r="F804" t="inlineStr">
        <is>
          <t>GÄVLEBORGS LÄN</t>
        </is>
      </c>
      <c r="G804" t="inlineStr">
        <is>
          <t>BOLLNÄS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46050</v>
      </c>
      <c r="E805" s="1" t="n">
        <v>46296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46050</v>
      </c>
      <c r="E806" s="1" t="n">
        <v>46296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46051</v>
      </c>
      <c r="E807" s="1" t="n">
        <v>46296</v>
      </c>
      <c r="F807" t="inlineStr">
        <is>
          <t>GÄVLEBORGS LÄN</t>
        </is>
      </c>
      <c r="G807" t="inlineStr">
        <is>
          <t>BOLLNÄS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46051</v>
      </c>
      <c r="E808" s="1" t="n">
        <v>46296</v>
      </c>
      <c r="F808" t="inlineStr">
        <is>
          <t>GÄVLEBORGS LÄN</t>
        </is>
      </c>
      <c r="G808" t="inlineStr">
        <is>
          <t>BOLLNÄS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46050</v>
      </c>
      <c r="E809" s="1" t="n">
        <v>46296</v>
      </c>
      <c r="F809" t="inlineStr">
        <is>
          <t>GÄVLEBORGS LÄN</t>
        </is>
      </c>
      <c r="G809" t="inlineStr">
        <is>
          <t>BOLLNÄS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5262-2026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46050</v>
      </c>
      <c r="E810" s="1" t="n">
        <v>46296</v>
      </c>
      <c r="F810" t="inlineStr">
        <is>
          <t>GÄVLEBORGS LÄN</t>
        </is>
      </c>
      <c r="G810" t="inlineStr">
        <is>
          <t>BOLLNÄS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5396-2026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46050</v>
      </c>
      <c r="E811" s="1" t="n">
        <v>46296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46051</v>
      </c>
      <c r="E812" s="1" t="n">
        <v>46296</v>
      </c>
      <c r="F812" t="inlineStr">
        <is>
          <t>GÄVLEBORGS LÄN</t>
        </is>
      </c>
      <c r="G812" t="inlineStr">
        <is>
          <t>BOLLNÄS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5676-2026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46051</v>
      </c>
      <c r="E813" s="1" t="n">
        <v>46296</v>
      </c>
      <c r="F813" t="inlineStr">
        <is>
          <t>GÄVLEBORGS LÄN</t>
        </is>
      </c>
      <c r="G813" t="inlineStr">
        <is>
          <t>BOLLNÄS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6376-2026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46055</v>
      </c>
      <c r="E814" s="1" t="n">
        <v>46296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8.699999999999999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46041</v>
      </c>
      <c r="E815" s="1" t="n">
        <v>46296</v>
      </c>
      <c r="F815" t="inlineStr">
        <is>
          <t>GÄVLEBORGS LÄN</t>
        </is>
      </c>
      <c r="G815" t="inlineStr">
        <is>
          <t>BOLLNÄS</t>
        </is>
      </c>
      <c r="I815" t="n">
        <v>6.7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6153-2026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46055</v>
      </c>
      <c r="E816" s="1" t="n">
        <v>46296</v>
      </c>
      <c r="F816" t="inlineStr">
        <is>
          <t>GÄVLEBORGS LÄN</t>
        </is>
      </c>
      <c r="G816" t="inlineStr">
        <is>
          <t>BOLLNÄS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5824-2026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46052</v>
      </c>
      <c r="E817" s="1" t="n">
        <v>46296</v>
      </c>
      <c r="F817" t="inlineStr">
        <is>
          <t>GÄVLEBORGS LÄN</t>
        </is>
      </c>
      <c r="G817" t="inlineStr">
        <is>
          <t>BOLLNÄS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6172-2026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46055</v>
      </c>
      <c r="E818" s="1" t="n">
        <v>46296</v>
      </c>
      <c r="F818" t="inlineStr">
        <is>
          <t>GÄVLEBORGS LÄN</t>
        </is>
      </c>
      <c r="G818" t="inlineStr">
        <is>
          <t>BOLLNÄS</t>
        </is>
      </c>
      <c r="I818" t="n">
        <v>6.7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6026-2026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46052</v>
      </c>
      <c r="E819" s="1" t="n">
        <v>46296</v>
      </c>
      <c r="F819" t="inlineStr">
        <is>
          <t>GÄVLEBORGS LÄN</t>
        </is>
      </c>
      <c r="G819" t="inlineStr">
        <is>
          <t>BOLLNÄS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5968-2026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46052</v>
      </c>
      <c r="E820" s="1" t="n">
        <v>46296</v>
      </c>
      <c r="F820" t="inlineStr">
        <is>
          <t>GÄVLEBORGS LÄN</t>
        </is>
      </c>
      <c r="G820" t="inlineStr">
        <is>
          <t>BOLLNÄS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5864-2026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46052</v>
      </c>
      <c r="E821" s="1" t="n">
        <v>46296</v>
      </c>
      <c r="F821" t="inlineStr">
        <is>
          <t>GÄVLEBORGS LÄN</t>
        </is>
      </c>
      <c r="G821" t="inlineStr">
        <is>
          <t>BOLLNÄS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6008-2026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46052</v>
      </c>
      <c r="E822" s="1" t="n">
        <v>46296</v>
      </c>
      <c r="F822" t="inlineStr">
        <is>
          <t>GÄVLEBORGS LÄN</t>
        </is>
      </c>
      <c r="G822" t="inlineStr">
        <is>
          <t>BOLLNÄS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46052</v>
      </c>
      <c r="E823" s="1" t="n">
        <v>46296</v>
      </c>
      <c r="F823" t="inlineStr">
        <is>
          <t>GÄVLEBORGS LÄN</t>
        </is>
      </c>
      <c r="G823" t="inlineStr">
        <is>
          <t>BOLLNÄS</t>
        </is>
      </c>
      <c r="I823" t="n">
        <v>28.2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46052</v>
      </c>
      <c r="E824" s="1" t="n">
        <v>46296</v>
      </c>
      <c r="F824" t="inlineStr">
        <is>
          <t>GÄVLEBORGS LÄN</t>
        </is>
      </c>
      <c r="G824" t="inlineStr">
        <is>
          <t>BOLLNÄS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6059-2026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46052</v>
      </c>
      <c r="E825" s="1" t="n">
        <v>46296</v>
      </c>
      <c r="F825" t="inlineStr">
        <is>
          <t>GÄVLEBORGS LÄN</t>
        </is>
      </c>
      <c r="G825" t="inlineStr">
        <is>
          <t>BOLLNÄS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6292-2026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46055</v>
      </c>
      <c r="E826" s="1" t="n">
        <v>46296</v>
      </c>
      <c r="F826" t="inlineStr">
        <is>
          <t>GÄVLEBORGS LÄN</t>
        </is>
      </c>
      <c r="G826" t="inlineStr">
        <is>
          <t>BOLLNÄS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6317-2026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46296</v>
      </c>
      <c r="F827" t="inlineStr">
        <is>
          <t>GÄVLEBORGS LÄN</t>
        </is>
      </c>
      <c r="G827" t="inlineStr">
        <is>
          <t>BOLLNÄS</t>
        </is>
      </c>
      <c r="I827" t="n">
        <v>16.2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6323-2026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46296</v>
      </c>
      <c r="F828" t="inlineStr">
        <is>
          <t>GÄVLEBORGS LÄN</t>
        </is>
      </c>
      <c r="G828" t="inlineStr">
        <is>
          <t>BOLLNÄS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6296-2026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46296</v>
      </c>
      <c r="F829" t="inlineStr">
        <is>
          <t>GÄVLEBORGS LÄN</t>
        </is>
      </c>
      <c r="G829" t="inlineStr">
        <is>
          <t>BOLLNÄS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6326-2026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46055</v>
      </c>
      <c r="E830" s="1" t="n">
        <v>46296</v>
      </c>
      <c r="F830" t="inlineStr">
        <is>
          <t>GÄVLEBORGS LÄN</t>
        </is>
      </c>
      <c r="G830" t="inlineStr">
        <is>
          <t>BOLLNÄS</t>
        </is>
      </c>
      <c r="I830" t="n">
        <v>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6012-2026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46052</v>
      </c>
      <c r="E831" s="1" t="n">
        <v>46296</v>
      </c>
      <c r="F831" t="inlineStr">
        <is>
          <t>GÄVLEBORGS LÄN</t>
        </is>
      </c>
      <c r="G831" t="inlineStr">
        <is>
          <t>BOLLNÄS</t>
        </is>
      </c>
      <c r="I831" t="n">
        <v>10.2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46052</v>
      </c>
      <c r="E832" s="1" t="n">
        <v>46296</v>
      </c>
      <c r="F832" t="inlineStr">
        <is>
          <t>GÄVLEBORGS LÄN</t>
        </is>
      </c>
      <c r="G832" t="inlineStr">
        <is>
          <t>BOLLNÄS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6387-2026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46055</v>
      </c>
      <c r="E833" s="1" t="n">
        <v>46296</v>
      </c>
      <c r="F833" t="inlineStr">
        <is>
          <t>GÄVLEBORGS LÄN</t>
        </is>
      </c>
      <c r="G833" t="inlineStr">
        <is>
          <t>BOLLNÄS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46296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6063-2026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46052</v>
      </c>
      <c r="E835" s="1" t="n">
        <v>46296</v>
      </c>
      <c r="F835" t="inlineStr">
        <is>
          <t>GÄVLEBORGS LÄN</t>
        </is>
      </c>
      <c r="G835" t="inlineStr">
        <is>
          <t>BOLLNÄS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6666-2026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46056</v>
      </c>
      <c r="E836" s="1" t="n">
        <v>46296</v>
      </c>
      <c r="F836" t="inlineStr">
        <is>
          <t>GÄVLEBORGS LÄN</t>
        </is>
      </c>
      <c r="G836" t="inlineStr">
        <is>
          <t>BOLLNÄS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6769-2026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46057</v>
      </c>
      <c r="E837" s="1" t="n">
        <v>46296</v>
      </c>
      <c r="F837" t="inlineStr">
        <is>
          <t>GÄVLEBORGS LÄN</t>
        </is>
      </c>
      <c r="G837" t="inlineStr">
        <is>
          <t>BOLLNÄS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6501-2026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46056</v>
      </c>
      <c r="E838" s="1" t="n">
        <v>46296</v>
      </c>
      <c r="F838" t="inlineStr">
        <is>
          <t>GÄVLEBORGS LÄN</t>
        </is>
      </c>
      <c r="G838" t="inlineStr">
        <is>
          <t>BOLLNÄS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6537-2026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46056</v>
      </c>
      <c r="E839" s="1" t="n">
        <v>46296</v>
      </c>
      <c r="F839" t="inlineStr">
        <is>
          <t>GÄVLEBORGS LÄN</t>
        </is>
      </c>
      <c r="G839" t="inlineStr">
        <is>
          <t>BOLLNÄS</t>
        </is>
      </c>
      <c r="I839" t="n">
        <v>5.4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6554-2026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46056</v>
      </c>
      <c r="E840" s="1" t="n">
        <v>46296</v>
      </c>
      <c r="F840" t="inlineStr">
        <is>
          <t>GÄVLEBORGS LÄN</t>
        </is>
      </c>
      <c r="G840" t="inlineStr">
        <is>
          <t>BOLLNÄS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6773-2026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46057</v>
      </c>
      <c r="E841" s="1" t="n">
        <v>46296</v>
      </c>
      <c r="F841" t="inlineStr">
        <is>
          <t>GÄVLEBORGS LÄN</t>
        </is>
      </c>
      <c r="G841" t="inlineStr">
        <is>
          <t>BOLLNÄS</t>
        </is>
      </c>
      <c r="I841" t="n">
        <v>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6784-2026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46057</v>
      </c>
      <c r="E842" s="1" t="n">
        <v>46296</v>
      </c>
      <c r="F842" t="inlineStr">
        <is>
          <t>GÄVLEBORGS LÄN</t>
        </is>
      </c>
      <c r="G842" t="inlineStr">
        <is>
          <t>BOLLNÄS</t>
        </is>
      </c>
      <c r="I842" t="n">
        <v>21.8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6546-2026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46056</v>
      </c>
      <c r="E843" s="1" t="n">
        <v>46296</v>
      </c>
      <c r="F843" t="inlineStr">
        <is>
          <t>GÄVLEBORGS LÄN</t>
        </is>
      </c>
      <c r="G843" t="inlineStr">
        <is>
          <t>BOLLNÄS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6643-2026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46056</v>
      </c>
      <c r="E844" s="1" t="n">
        <v>46296</v>
      </c>
      <c r="F844" t="inlineStr">
        <is>
          <t>GÄVLEBORGS LÄN</t>
        </is>
      </c>
      <c r="G844" t="inlineStr">
        <is>
          <t>BOLLNÄS</t>
        </is>
      </c>
      <c r="I844" t="n">
        <v>18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6920-2026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46057</v>
      </c>
      <c r="E845" s="1" t="n">
        <v>46296</v>
      </c>
      <c r="F845" t="inlineStr">
        <is>
          <t>GÄVLEBORGS LÄN</t>
        </is>
      </c>
      <c r="G845" t="inlineStr">
        <is>
          <t>BOLLNÄS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6436-2026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46055</v>
      </c>
      <c r="E846" s="1" t="n">
        <v>46296</v>
      </c>
      <c r="F846" t="inlineStr">
        <is>
          <t>GÄVLEBORGS LÄN</t>
        </is>
      </c>
      <c r="G846" t="inlineStr">
        <is>
          <t>BOLLNÄS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6438-2026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46055</v>
      </c>
      <c r="E847" s="1" t="n">
        <v>46296</v>
      </c>
      <c r="F847" t="inlineStr">
        <is>
          <t>GÄVLEBORGS LÄN</t>
        </is>
      </c>
      <c r="G847" t="inlineStr">
        <is>
          <t>BOLLNÄS</t>
        </is>
      </c>
      <c r="H847" t="inlineStr">
        <is>
          <t>Kyrkan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6917-2026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46057</v>
      </c>
      <c r="E848" s="1" t="n">
        <v>46296</v>
      </c>
      <c r="F848" t="inlineStr">
        <is>
          <t>GÄVLEBORGS LÄN</t>
        </is>
      </c>
      <c r="G848" t="inlineStr">
        <is>
          <t>BOLLNÄS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6571-2026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46056</v>
      </c>
      <c r="E849" s="1" t="n">
        <v>46296</v>
      </c>
      <c r="F849" t="inlineStr">
        <is>
          <t>GÄVLEBORGS LÄN</t>
        </is>
      </c>
      <c r="G849" t="inlineStr">
        <is>
          <t>BOLLNÄS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6441-2026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46055</v>
      </c>
      <c r="E850" s="1" t="n">
        <v>46296</v>
      </c>
      <c r="F850" t="inlineStr">
        <is>
          <t>GÄVLEBORGS LÄN</t>
        </is>
      </c>
      <c r="G850" t="inlineStr">
        <is>
          <t>BOLLNÄS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6461-2026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46056</v>
      </c>
      <c r="E851" s="1" t="n">
        <v>46296</v>
      </c>
      <c r="F851" t="inlineStr">
        <is>
          <t>GÄVLEBORGS LÄN</t>
        </is>
      </c>
      <c r="G851" t="inlineStr">
        <is>
          <t>BOLLNÄS</t>
        </is>
      </c>
      <c r="H851" t="inlineStr">
        <is>
          <t>Kyrkan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6528-2026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46056</v>
      </c>
      <c r="E852" s="1" t="n">
        <v>46296</v>
      </c>
      <c r="F852" t="inlineStr">
        <is>
          <t>GÄVLEBORGS LÄN</t>
        </is>
      </c>
      <c r="G852" t="inlineStr">
        <is>
          <t>BOLLNÄS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6853-2026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46057</v>
      </c>
      <c r="E853" s="1" t="n">
        <v>46296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46056</v>
      </c>
      <c r="E854" s="1" t="n">
        <v>46296</v>
      </c>
      <c r="F854" t="inlineStr">
        <is>
          <t>GÄVLEBORGS LÄN</t>
        </is>
      </c>
      <c r="G854" t="inlineStr">
        <is>
          <t>BOLLNÄS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6760-2026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46056</v>
      </c>
      <c r="E855" s="1" t="n">
        <v>46296</v>
      </c>
      <c r="F855" t="inlineStr">
        <is>
          <t>GÄVLEBORGS LÄN</t>
        </is>
      </c>
      <c r="G855" t="inlineStr">
        <is>
          <t>BOLLNÄS</t>
        </is>
      </c>
      <c r="I855" t="n">
        <v>9.4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6433-2026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46055</v>
      </c>
      <c r="E856" s="1" t="n">
        <v>46296</v>
      </c>
      <c r="F856" t="inlineStr">
        <is>
          <t>GÄVLEBORGS LÄN</t>
        </is>
      </c>
      <c r="G856" t="inlineStr">
        <is>
          <t>BOLLNÄS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6482-2026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46056</v>
      </c>
      <c r="E857" s="1" t="n">
        <v>46296</v>
      </c>
      <c r="F857" t="inlineStr">
        <is>
          <t>GÄVLEBORGS LÄN</t>
        </is>
      </c>
      <c r="G857" t="inlineStr">
        <is>
          <t>BOLLNÄS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6759-2026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46056</v>
      </c>
      <c r="E858" s="1" t="n">
        <v>46296</v>
      </c>
      <c r="F858" t="inlineStr">
        <is>
          <t>GÄVLEBORGS LÄN</t>
        </is>
      </c>
      <c r="G858" t="inlineStr">
        <is>
          <t>BOLLNÄS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6770-2026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46057</v>
      </c>
      <c r="E859" s="1" t="n">
        <v>46296</v>
      </c>
      <c r="F859" t="inlineStr">
        <is>
          <t>GÄVLEBORGS LÄN</t>
        </is>
      </c>
      <c r="G859" t="inlineStr">
        <is>
          <t>BOLLNÄS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6557-2026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46056</v>
      </c>
      <c r="E860" s="1" t="n">
        <v>46296</v>
      </c>
      <c r="F860" t="inlineStr">
        <is>
          <t>GÄVLEBORGS LÄN</t>
        </is>
      </c>
      <c r="G860" t="inlineStr">
        <is>
          <t>BOLLNÄS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7095-2026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46058</v>
      </c>
      <c r="E861" s="1" t="n">
        <v>46296</v>
      </c>
      <c r="F861" t="inlineStr">
        <is>
          <t>GÄVLEBORGS LÄN</t>
        </is>
      </c>
      <c r="G861" t="inlineStr">
        <is>
          <t>BOLLNÄS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7217-2026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46058</v>
      </c>
      <c r="E862" s="1" t="n">
        <v>46296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7336-2026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46058</v>
      </c>
      <c r="E863" s="1" t="n">
        <v>46296</v>
      </c>
      <c r="F863" t="inlineStr">
        <is>
          <t>GÄVLEBORGS LÄN</t>
        </is>
      </c>
      <c r="G863" t="inlineStr">
        <is>
          <t>BOLLNÄS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7411-2026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46059</v>
      </c>
      <c r="E864" s="1" t="n">
        <v>46296</v>
      </c>
      <c r="F864" t="inlineStr">
        <is>
          <t>GÄVLEBORGS LÄN</t>
        </is>
      </c>
      <c r="G864" t="inlineStr">
        <is>
          <t>BOLLNÄS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7203-2026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46058</v>
      </c>
      <c r="E865" s="1" t="n">
        <v>46296</v>
      </c>
      <c r="F865" t="inlineStr">
        <is>
          <t>GÄVLEBORGS LÄN</t>
        </is>
      </c>
      <c r="G865" t="inlineStr">
        <is>
          <t>BOLLNÄS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7261-2026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46058</v>
      </c>
      <c r="E866" s="1" t="n">
        <v>46296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7139-2026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46058</v>
      </c>
      <c r="E867" s="1" t="n">
        <v>46296</v>
      </c>
      <c r="F867" t="inlineStr">
        <is>
          <t>GÄVLEBORGS LÄN</t>
        </is>
      </c>
      <c r="G867" t="inlineStr">
        <is>
          <t>BOLLNÄS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7094-2026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46058</v>
      </c>
      <c r="E868" s="1" t="n">
        <v>46296</v>
      </c>
      <c r="F868" t="inlineStr">
        <is>
          <t>GÄVLEBORGS LÄN</t>
        </is>
      </c>
      <c r="G868" t="inlineStr">
        <is>
          <t>BOLLNÄS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5808-2026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46051</v>
      </c>
      <c r="E869" s="1" t="n">
        <v>46296</v>
      </c>
      <c r="F869" t="inlineStr">
        <is>
          <t>GÄVLEBORGS LÄN</t>
        </is>
      </c>
      <c r="G869" t="inlineStr">
        <is>
          <t>BOLLNÄS</t>
        </is>
      </c>
      <c r="H869" t="inlineStr">
        <is>
          <t>Kommuner</t>
        </is>
      </c>
      <c r="I869" t="n">
        <v>8.9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8010-2026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46063</v>
      </c>
      <c r="E870" s="1" t="n">
        <v>46296</v>
      </c>
      <c r="F870" t="inlineStr">
        <is>
          <t>GÄVLEBORGS LÄN</t>
        </is>
      </c>
      <c r="G870" t="inlineStr">
        <is>
          <t>BOLLNÄS</t>
        </is>
      </c>
      <c r="I870" t="n">
        <v>4.2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7660-2026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46062</v>
      </c>
      <c r="E871" s="1" t="n">
        <v>46296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7642-2026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46062</v>
      </c>
      <c r="E872" s="1" t="n">
        <v>46296</v>
      </c>
      <c r="F872" t="inlineStr">
        <is>
          <t>GÄVLEBORGS LÄN</t>
        </is>
      </c>
      <c r="G872" t="inlineStr">
        <is>
          <t>BOLLNÄS</t>
        </is>
      </c>
      <c r="I872" t="n">
        <v>3.2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46296</v>
      </c>
      <c r="F873" t="inlineStr">
        <is>
          <t>GÄVLEBORGS LÄN</t>
        </is>
      </c>
      <c r="G873" t="inlineStr">
        <is>
          <t>BOLLNÄS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8012-2026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46063</v>
      </c>
      <c r="E874" s="1" t="n">
        <v>46296</v>
      </c>
      <c r="F874" t="inlineStr">
        <is>
          <t>GÄVLEBORGS LÄN</t>
        </is>
      </c>
      <c r="G874" t="inlineStr">
        <is>
          <t>BOLLNÄS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7618-2026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46062</v>
      </c>
      <c r="E875" s="1" t="n">
        <v>46296</v>
      </c>
      <c r="F875" t="inlineStr">
        <is>
          <t>GÄVLEBORGS LÄN</t>
        </is>
      </c>
      <c r="G875" t="inlineStr">
        <is>
          <t>BOLLNÄS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7621-2026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46062</v>
      </c>
      <c r="E876" s="1" t="n">
        <v>46296</v>
      </c>
      <c r="F876" t="inlineStr">
        <is>
          <t>GÄVLEBORGS LÄN</t>
        </is>
      </c>
      <c r="G876" t="inlineStr">
        <is>
          <t>BOLLNÄS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7798-2026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46062</v>
      </c>
      <c r="E877" s="1" t="n">
        <v>46296</v>
      </c>
      <c r="F877" t="inlineStr">
        <is>
          <t>GÄVLEBORGS LÄN</t>
        </is>
      </c>
      <c r="G877" t="inlineStr">
        <is>
          <t>BOLLNÄS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8070-2026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46063</v>
      </c>
      <c r="E878" s="1" t="n">
        <v>46296</v>
      </c>
      <c r="F878" t="inlineStr">
        <is>
          <t>GÄVLEBORGS LÄN</t>
        </is>
      </c>
      <c r="G878" t="inlineStr">
        <is>
          <t>BOLLNÄS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7569-2026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46060</v>
      </c>
      <c r="E879" s="1" t="n">
        <v>46296</v>
      </c>
      <c r="F879" t="inlineStr">
        <is>
          <t>GÄVLEBORGS LÄN</t>
        </is>
      </c>
      <c r="G879" t="inlineStr">
        <is>
          <t>BOLLNÄS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7919-2026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46063</v>
      </c>
      <c r="E880" s="1" t="n">
        <v>46296</v>
      </c>
      <c r="F880" t="inlineStr">
        <is>
          <t>GÄVLEBORGS LÄN</t>
        </is>
      </c>
      <c r="G880" t="inlineStr">
        <is>
          <t>BOLLNÄS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7616-2026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46062</v>
      </c>
      <c r="E881" s="1" t="n">
        <v>46296</v>
      </c>
      <c r="F881" t="inlineStr">
        <is>
          <t>GÄVLEBORGS LÄN</t>
        </is>
      </c>
      <c r="G881" t="inlineStr">
        <is>
          <t>BOLLNÄS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8166-2026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46064</v>
      </c>
      <c r="E882" s="1" t="n">
        <v>46296</v>
      </c>
      <c r="F882" t="inlineStr">
        <is>
          <t>GÄVLEBORGS LÄN</t>
        </is>
      </c>
      <c r="G882" t="inlineStr">
        <is>
          <t>BOLLNÄS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8397-2026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46065</v>
      </c>
      <c r="E883" s="1" t="n">
        <v>46296</v>
      </c>
      <c r="F883" t="inlineStr">
        <is>
          <t>GÄVLEBORGS LÄN</t>
        </is>
      </c>
      <c r="G883" t="inlineStr">
        <is>
          <t>BOLLNÄS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8218-2026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46064</v>
      </c>
      <c r="E884" s="1" t="n">
        <v>46296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8406-2026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46065</v>
      </c>
      <c r="E885" s="1" t="n">
        <v>46296</v>
      </c>
      <c r="F885" t="inlineStr">
        <is>
          <t>GÄVLEBORGS LÄN</t>
        </is>
      </c>
      <c r="G885" t="inlineStr">
        <is>
          <t>BOLLNÄS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4907-2026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46048</v>
      </c>
      <c r="E886" s="1" t="n">
        <v>46296</v>
      </c>
      <c r="F886" t="inlineStr">
        <is>
          <t>GÄVLEBORGS LÄN</t>
        </is>
      </c>
      <c r="G886" t="inlineStr">
        <is>
          <t>BOLLNÄS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8174-2026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46064</v>
      </c>
      <c r="E887" s="1" t="n">
        <v>46296</v>
      </c>
      <c r="F887" t="inlineStr">
        <is>
          <t>GÄVLEBORGS LÄN</t>
        </is>
      </c>
      <c r="G887" t="inlineStr">
        <is>
          <t>BOLLNÄS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8181-2026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46064</v>
      </c>
      <c r="E888" s="1" t="n">
        <v>46296</v>
      </c>
      <c r="F888" t="inlineStr">
        <is>
          <t>GÄVLEBORGS LÄN</t>
        </is>
      </c>
      <c r="G888" t="inlineStr">
        <is>
          <t>BOLLNÄS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8184-2026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46064</v>
      </c>
      <c r="E889" s="1" t="n">
        <v>46296</v>
      </c>
      <c r="F889" t="inlineStr">
        <is>
          <t>GÄVLEBORGS LÄN</t>
        </is>
      </c>
      <c r="G889" t="inlineStr">
        <is>
          <t>BOLLNÄS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8669-2026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46066</v>
      </c>
      <c r="E890" s="1" t="n">
        <v>46296</v>
      </c>
      <c r="F890" t="inlineStr">
        <is>
          <t>GÄVLEBORGS LÄN</t>
        </is>
      </c>
      <c r="G890" t="inlineStr">
        <is>
          <t>BOLLNÄS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8670-2026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46066</v>
      </c>
      <c r="E891" s="1" t="n">
        <v>46296</v>
      </c>
      <c r="F891" t="inlineStr">
        <is>
          <t>GÄVLEBORGS LÄN</t>
        </is>
      </c>
      <c r="G891" t="inlineStr">
        <is>
          <t>BOLLNÄS</t>
        </is>
      </c>
      <c r="I891" t="n">
        <v>12.2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8700-2026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46066</v>
      </c>
      <c r="E892" s="1" t="n">
        <v>46296</v>
      </c>
      <c r="F892" t="inlineStr">
        <is>
          <t>GÄVLEBORGS LÄN</t>
        </is>
      </c>
      <c r="G892" t="inlineStr">
        <is>
          <t>BOLLNÄS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8702-2026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46066</v>
      </c>
      <c r="E893" s="1" t="n">
        <v>46296</v>
      </c>
      <c r="F893" t="inlineStr">
        <is>
          <t>GÄVLEBORGS LÄN</t>
        </is>
      </c>
      <c r="G893" t="inlineStr">
        <is>
          <t>BOLLNÄS</t>
        </is>
      </c>
      <c r="I893" t="n">
        <v>3.9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9004-2026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46069</v>
      </c>
      <c r="E894" s="1" t="n">
        <v>46296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9085-2026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46069</v>
      </c>
      <c r="E895" s="1" t="n">
        <v>46296</v>
      </c>
      <c r="F895" t="inlineStr">
        <is>
          <t>GÄVLEBORGS LÄN</t>
        </is>
      </c>
      <c r="G895" t="inlineStr">
        <is>
          <t>BOLLNÄS</t>
        </is>
      </c>
      <c r="H895" t="inlineStr">
        <is>
          <t>Kommuner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8761-2026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46066</v>
      </c>
      <c r="E896" s="1" t="n">
        <v>46296</v>
      </c>
      <c r="F896" t="inlineStr">
        <is>
          <t>GÄVLEBORGS LÄN</t>
        </is>
      </c>
      <c r="G896" t="inlineStr">
        <is>
          <t>BOLLNÄS</t>
        </is>
      </c>
      <c r="I896" t="n">
        <v>6.8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8660-2026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46066</v>
      </c>
      <c r="E897" s="1" t="n">
        <v>46296</v>
      </c>
      <c r="F897" t="inlineStr">
        <is>
          <t>GÄVLEBORGS LÄN</t>
        </is>
      </c>
      <c r="G897" t="inlineStr">
        <is>
          <t>BOLLNÄS</t>
        </is>
      </c>
      <c r="I897" t="n">
        <v>13.7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9022-2026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46069</v>
      </c>
      <c r="E898" s="1" t="n">
        <v>46296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8793-2026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46066</v>
      </c>
      <c r="E899" s="1" t="n">
        <v>46296</v>
      </c>
      <c r="F899" t="inlineStr">
        <is>
          <t>GÄVLEBORGS LÄN</t>
        </is>
      </c>
      <c r="G899" t="inlineStr">
        <is>
          <t>BOLLNÄS</t>
        </is>
      </c>
      <c r="H899" t="inlineStr">
        <is>
          <t>Sveaskog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8898-2026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46068</v>
      </c>
      <c r="E900" s="1" t="n">
        <v>46296</v>
      </c>
      <c r="F900" t="inlineStr">
        <is>
          <t>GÄVLEBORGS LÄN</t>
        </is>
      </c>
      <c r="G900" t="inlineStr">
        <is>
          <t>BOLLNÄS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8799-2026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46066</v>
      </c>
      <c r="E901" s="1" t="n">
        <v>46296</v>
      </c>
      <c r="F901" t="inlineStr">
        <is>
          <t>GÄVLEBORGS LÄN</t>
        </is>
      </c>
      <c r="G901" t="inlineStr">
        <is>
          <t>BOLLNÄS</t>
        </is>
      </c>
      <c r="H901" t="inlineStr">
        <is>
          <t>Sveaskog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8710-2026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46066</v>
      </c>
      <c r="E902" s="1" t="n">
        <v>46296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9043-2026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46069</v>
      </c>
      <c r="E903" s="1" t="n">
        <v>46296</v>
      </c>
      <c r="F903" t="inlineStr">
        <is>
          <t>GÄVLEBORGS LÄN</t>
        </is>
      </c>
      <c r="G903" t="inlineStr">
        <is>
          <t>BOLLNÄS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9059-2026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46069</v>
      </c>
      <c r="E904" s="1" t="n">
        <v>46296</v>
      </c>
      <c r="F904" t="inlineStr">
        <is>
          <t>GÄVLEBORGS LÄN</t>
        </is>
      </c>
      <c r="G904" t="inlineStr">
        <is>
          <t>BOLLNÄS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9304-2026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46070</v>
      </c>
      <c r="E905" s="1" t="n">
        <v>46296</v>
      </c>
      <c r="F905" t="inlineStr">
        <is>
          <t>GÄVLEBORGS LÄN</t>
        </is>
      </c>
      <c r="G905" t="inlineStr">
        <is>
          <t>BOLLNÄS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9184-2026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46070</v>
      </c>
      <c r="E906" s="1" t="n">
        <v>46296</v>
      </c>
      <c r="F906" t="inlineStr">
        <is>
          <t>GÄVLEBORGS LÄN</t>
        </is>
      </c>
      <c r="G906" t="inlineStr">
        <is>
          <t>BOLLNÄS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9188-2026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46070</v>
      </c>
      <c r="E907" s="1" t="n">
        <v>46296</v>
      </c>
      <c r="F907" t="inlineStr">
        <is>
          <t>GÄVLEBORGS LÄN</t>
        </is>
      </c>
      <c r="G907" t="inlineStr">
        <is>
          <t>BOLLNÄS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9239-2026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46070</v>
      </c>
      <c r="E908" s="1" t="n">
        <v>46296</v>
      </c>
      <c r="F908" t="inlineStr">
        <is>
          <t>GÄVLEBORGS LÄN</t>
        </is>
      </c>
      <c r="G908" t="inlineStr">
        <is>
          <t>BOLLNÄS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9323-2026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46070</v>
      </c>
      <c r="E909" s="1" t="n">
        <v>46296</v>
      </c>
      <c r="F909" t="inlineStr">
        <is>
          <t>GÄVLEBORGS LÄN</t>
        </is>
      </c>
      <c r="G909" t="inlineStr">
        <is>
          <t>BOLLNÄS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9523-2026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46071</v>
      </c>
      <c r="E910" s="1" t="n">
        <v>46296</v>
      </c>
      <c r="F910" t="inlineStr">
        <is>
          <t>GÄVLEBORGS LÄN</t>
        </is>
      </c>
      <c r="G910" t="inlineStr">
        <is>
          <t>BOLLNÄS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9307-2026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46070</v>
      </c>
      <c r="E911" s="1" t="n">
        <v>46296</v>
      </c>
      <c r="F911" t="inlineStr">
        <is>
          <t>GÄVLEBORGS LÄN</t>
        </is>
      </c>
      <c r="G911" t="inlineStr">
        <is>
          <t>BOLLNÄS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9355-2026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46070</v>
      </c>
      <c r="E912" s="1" t="n">
        <v>46296</v>
      </c>
      <c r="F912" t="inlineStr">
        <is>
          <t>GÄVLEBORGS LÄN</t>
        </is>
      </c>
      <c r="G912" t="inlineStr">
        <is>
          <t>BOLLNÄS</t>
        </is>
      </c>
      <c r="I912" t="n">
        <v>7.7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9308-2026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46070</v>
      </c>
      <c r="E913" s="1" t="n">
        <v>46296</v>
      </c>
      <c r="F913" t="inlineStr">
        <is>
          <t>GÄVLEBORGS LÄN</t>
        </is>
      </c>
      <c r="G913" t="inlineStr">
        <is>
          <t>BOLLNÄS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9177-2026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46070</v>
      </c>
      <c r="E914" s="1" t="n">
        <v>46296</v>
      </c>
      <c r="F914" t="inlineStr">
        <is>
          <t>GÄVLEBORGS LÄN</t>
        </is>
      </c>
      <c r="G914" t="inlineStr">
        <is>
          <t>BOLLNÄS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9178-2026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46070</v>
      </c>
      <c r="E915" s="1" t="n">
        <v>46296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9235-2026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46070</v>
      </c>
      <c r="E916" s="1" t="n">
        <v>46296</v>
      </c>
      <c r="F916" t="inlineStr">
        <is>
          <t>GÄVLEBORGS LÄN</t>
        </is>
      </c>
      <c r="G916" t="inlineStr">
        <is>
          <t>BOLLNÄS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9237-2026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46070</v>
      </c>
      <c r="E917" s="1" t="n">
        <v>46296</v>
      </c>
      <c r="F917" t="inlineStr">
        <is>
          <t>GÄVLEBORGS LÄN</t>
        </is>
      </c>
      <c r="G917" t="inlineStr">
        <is>
          <t>BOLLNÄS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9298-2026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46070</v>
      </c>
      <c r="E918" s="1" t="n">
        <v>46296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9213-2026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46070</v>
      </c>
      <c r="E919" s="1" t="n">
        <v>46296</v>
      </c>
      <c r="F919" t="inlineStr">
        <is>
          <t>GÄVLEBORGS LÄN</t>
        </is>
      </c>
      <c r="G919" t="inlineStr">
        <is>
          <t>BOLLNÄS</t>
        </is>
      </c>
      <c r="I919" t="n">
        <v>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9501-2026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46071</v>
      </c>
      <c r="E920" s="1" t="n">
        <v>46296</v>
      </c>
      <c r="F920" t="inlineStr">
        <is>
          <t>GÄVLEBORGS LÄN</t>
        </is>
      </c>
      <c r="G920" t="inlineStr">
        <is>
          <t>BOLLNÄS</t>
        </is>
      </c>
      <c r="I920" t="n">
        <v>7.2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9545-2026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46071</v>
      </c>
      <c r="E921" s="1" t="n">
        <v>46296</v>
      </c>
      <c r="F921" t="inlineStr">
        <is>
          <t>GÄVLEBORGS LÄN</t>
        </is>
      </c>
      <c r="G921" t="inlineStr">
        <is>
          <t>BOLLNÄS</t>
        </is>
      </c>
      <c r="H921" t="inlineStr">
        <is>
          <t>Sveaskog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9241-2026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46070</v>
      </c>
      <c r="E922" s="1" t="n">
        <v>46296</v>
      </c>
      <c r="F922" t="inlineStr">
        <is>
          <t>GÄVLEBORGS LÄN</t>
        </is>
      </c>
      <c r="G922" t="inlineStr">
        <is>
          <t>BOLLNÄS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9242-2026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46070</v>
      </c>
      <c r="E923" s="1" t="n">
        <v>46296</v>
      </c>
      <c r="F923" t="inlineStr">
        <is>
          <t>GÄVLEBORGS LÄN</t>
        </is>
      </c>
      <c r="G923" t="inlineStr">
        <is>
          <t>BOLLNÄS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9385-2026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46071</v>
      </c>
      <c r="E924" s="1" t="n">
        <v>46296</v>
      </c>
      <c r="F924" t="inlineStr">
        <is>
          <t>GÄVLEBORGS LÄN</t>
        </is>
      </c>
      <c r="G924" t="inlineStr">
        <is>
          <t>BOLLNÄS</t>
        </is>
      </c>
      <c r="H924" t="inlineStr">
        <is>
          <t>Kyrkan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9386-2026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46071</v>
      </c>
      <c r="E925" s="1" t="n">
        <v>46296</v>
      </c>
      <c r="F925" t="inlineStr">
        <is>
          <t>GÄVLEBORGS LÄN</t>
        </is>
      </c>
      <c r="G925" t="inlineStr">
        <is>
          <t>BOLLNÄS</t>
        </is>
      </c>
      <c r="H925" t="inlineStr">
        <is>
          <t>Kyrkan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9230-2026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46070</v>
      </c>
      <c r="E926" s="1" t="n">
        <v>46296</v>
      </c>
      <c r="F926" t="inlineStr">
        <is>
          <t>GÄVLEBORGS LÄN</t>
        </is>
      </c>
      <c r="G926" t="inlineStr">
        <is>
          <t>BOLLNÄS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9526-2026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46071</v>
      </c>
      <c r="E927" s="1" t="n">
        <v>46296</v>
      </c>
      <c r="F927" t="inlineStr">
        <is>
          <t>GÄVLEBORGS LÄN</t>
        </is>
      </c>
      <c r="G927" t="inlineStr">
        <is>
          <t>BOLLNÄS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46029</v>
      </c>
      <c r="E928" s="1" t="n">
        <v>46296</v>
      </c>
      <c r="F928" t="inlineStr">
        <is>
          <t>GÄVLEBORGS LÄN</t>
        </is>
      </c>
      <c r="G928" t="inlineStr">
        <is>
          <t>BOLLNÄS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9529-2026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46071</v>
      </c>
      <c r="E929" s="1" t="n">
        <v>46296</v>
      </c>
      <c r="F929" t="inlineStr">
        <is>
          <t>GÄVLEBORGS LÄN</t>
        </is>
      </c>
      <c r="G929" t="inlineStr">
        <is>
          <t>BOLLNÄS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9533-2026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46071</v>
      </c>
      <c r="E930" s="1" t="n">
        <v>46296</v>
      </c>
      <c r="F930" t="inlineStr">
        <is>
          <t>GÄVLEBORGS LÄN</t>
        </is>
      </c>
      <c r="G930" t="inlineStr">
        <is>
          <t>BOLLNÄS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9608-2026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46071</v>
      </c>
      <c r="E931" s="1" t="n">
        <v>46296</v>
      </c>
      <c r="F931" t="inlineStr">
        <is>
          <t>GÄVLEBORGS LÄN</t>
        </is>
      </c>
      <c r="G931" t="inlineStr">
        <is>
          <t>BOLLNÄS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9652-2026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46071</v>
      </c>
      <c r="E932" s="1" t="n">
        <v>46296</v>
      </c>
      <c r="F932" t="inlineStr">
        <is>
          <t>GÄVLEBORGS LÄN</t>
        </is>
      </c>
      <c r="G932" t="inlineStr">
        <is>
          <t>BOLLNÄS</t>
        </is>
      </c>
      <c r="H932" t="inlineStr">
        <is>
          <t>Kommuner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9827-2026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46072</v>
      </c>
      <c r="E933" s="1" t="n">
        <v>46296</v>
      </c>
      <c r="F933" t="inlineStr">
        <is>
          <t>GÄVLEBORGS LÄN</t>
        </is>
      </c>
      <c r="G933" t="inlineStr">
        <is>
          <t>BOLLNÄS</t>
        </is>
      </c>
      <c r="H933" t="inlineStr">
        <is>
          <t>Sveaskog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9965-2026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46073</v>
      </c>
      <c r="E934" s="1" t="n">
        <v>46296</v>
      </c>
      <c r="F934" t="inlineStr">
        <is>
          <t>GÄVLEBORGS LÄN</t>
        </is>
      </c>
      <c r="G934" t="inlineStr">
        <is>
          <t>BOLLNÄS</t>
        </is>
      </c>
      <c r="I934" t="n">
        <v>17.2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6169-2026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46055</v>
      </c>
      <c r="E935" s="1" t="n">
        <v>46296</v>
      </c>
      <c r="F935" t="inlineStr">
        <is>
          <t>GÄVLEBORGS LÄN</t>
        </is>
      </c>
      <c r="G935" t="inlineStr">
        <is>
          <t>BOLLNÄS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9812-2026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46072</v>
      </c>
      <c r="E936" s="1" t="n">
        <v>46296</v>
      </c>
      <c r="F936" t="inlineStr">
        <is>
          <t>GÄVLEBORGS LÄN</t>
        </is>
      </c>
      <c r="G936" t="inlineStr">
        <is>
          <t>BOLLNÄS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10055-2026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46073</v>
      </c>
      <c r="E937" s="1" t="n">
        <v>46296</v>
      </c>
      <c r="F937" t="inlineStr">
        <is>
          <t>GÄVLEBORGS LÄN</t>
        </is>
      </c>
      <c r="G937" t="inlineStr">
        <is>
          <t>BOLLNÄS</t>
        </is>
      </c>
      <c r="I937" t="n">
        <v>8.699999999999999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9616-2026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46072</v>
      </c>
      <c r="E938" s="1" t="n">
        <v>46296</v>
      </c>
      <c r="F938" t="inlineStr">
        <is>
          <t>GÄVLEBORGS LÄN</t>
        </is>
      </c>
      <c r="G938" t="inlineStr">
        <is>
          <t>BOLLNÄS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9609-2026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46072</v>
      </c>
      <c r="E939" s="1" t="n">
        <v>46296</v>
      </c>
      <c r="F939" t="inlineStr">
        <is>
          <t>GÄVLEBORGS LÄN</t>
        </is>
      </c>
      <c r="G939" t="inlineStr">
        <is>
          <t>BOLLNÄS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10062-2026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46073</v>
      </c>
      <c r="E940" s="1" t="n">
        <v>46296</v>
      </c>
      <c r="F940" t="inlineStr">
        <is>
          <t>GÄVLEBORGS LÄN</t>
        </is>
      </c>
      <c r="G940" t="inlineStr">
        <is>
          <t>BOLLNÄS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10811-2026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46078</v>
      </c>
      <c r="E941" s="1" t="n">
        <v>46296</v>
      </c>
      <c r="F941" t="inlineStr">
        <is>
          <t>GÄVLEBORGS LÄN</t>
        </is>
      </c>
      <c r="G941" t="inlineStr">
        <is>
          <t>BOLLNÄS</t>
        </is>
      </c>
      <c r="I941" t="n">
        <v>3.6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10834-2026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46078</v>
      </c>
      <c r="E942" s="1" t="n">
        <v>46296</v>
      </c>
      <c r="F942" t="inlineStr">
        <is>
          <t>GÄVLEBORGS LÄN</t>
        </is>
      </c>
      <c r="G942" t="inlineStr">
        <is>
          <t>BOLLNÄS</t>
        </is>
      </c>
      <c r="I942" t="n">
        <v>4.7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10124-2026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46075</v>
      </c>
      <c r="E943" s="1" t="n">
        <v>46296</v>
      </c>
      <c r="F943" t="inlineStr">
        <is>
          <t>GÄVLEBORGS LÄN</t>
        </is>
      </c>
      <c r="G943" t="inlineStr">
        <is>
          <t>BOLLNÄS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10365-2026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46076</v>
      </c>
      <c r="E944" s="1" t="n">
        <v>46296</v>
      </c>
      <c r="F944" t="inlineStr">
        <is>
          <t>GÄVLEBORGS LÄN</t>
        </is>
      </c>
      <c r="G944" t="inlineStr">
        <is>
          <t>BOLLNÄS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10367-2026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46076</v>
      </c>
      <c r="E945" s="1" t="n">
        <v>46296</v>
      </c>
      <c r="F945" t="inlineStr">
        <is>
          <t>GÄVLEBORGS LÄN</t>
        </is>
      </c>
      <c r="G945" t="inlineStr">
        <is>
          <t>BOLLNÄS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10652-2026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46078</v>
      </c>
      <c r="E946" s="1" t="n">
        <v>46296</v>
      </c>
      <c r="F946" t="inlineStr">
        <is>
          <t>GÄVLEBORGS LÄN</t>
        </is>
      </c>
      <c r="G946" t="inlineStr">
        <is>
          <t>BOLLNÄS</t>
        </is>
      </c>
      <c r="I946" t="n">
        <v>11.6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10683-2026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46078</v>
      </c>
      <c r="E947" s="1" t="n">
        <v>46296</v>
      </c>
      <c r="F947" t="inlineStr">
        <is>
          <t>GÄVLEBORGS LÄN</t>
        </is>
      </c>
      <c r="G947" t="inlineStr">
        <is>
          <t>BOLLNÄS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10828-2026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46078</v>
      </c>
      <c r="E948" s="1" t="n">
        <v>46296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10687-2026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46078</v>
      </c>
      <c r="E949" s="1" t="n">
        <v>46296</v>
      </c>
      <c r="F949" t="inlineStr">
        <is>
          <t>GÄVLEBORGS LÄN</t>
        </is>
      </c>
      <c r="G949" t="inlineStr">
        <is>
          <t>BOLLNÄS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10259-2026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46076</v>
      </c>
      <c r="E950" s="1" t="n">
        <v>46296</v>
      </c>
      <c r="F950" t="inlineStr">
        <is>
          <t>GÄVLEBORGS LÄN</t>
        </is>
      </c>
      <c r="G950" t="inlineStr">
        <is>
          <t>BOLLNÄS</t>
        </is>
      </c>
      <c r="I950" t="n">
        <v>5.4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10316-2026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46076</v>
      </c>
      <c r="E951" s="1" t="n">
        <v>46296</v>
      </c>
      <c r="F951" t="inlineStr">
        <is>
          <t>GÄVLEBORGS LÄN</t>
        </is>
      </c>
      <c r="G951" t="inlineStr">
        <is>
          <t>BOLLNÄS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10528-2026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46077</v>
      </c>
      <c r="E952" s="1" t="n">
        <v>46296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10455-2026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46077</v>
      </c>
      <c r="E953" s="1" t="n">
        <v>46296</v>
      </c>
      <c r="F953" t="inlineStr">
        <is>
          <t>GÄVLEBORGS LÄN</t>
        </is>
      </c>
      <c r="G953" t="inlineStr">
        <is>
          <t>BOLLNÄS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10724-2026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46078</v>
      </c>
      <c r="E954" s="1" t="n">
        <v>46296</v>
      </c>
      <c r="F954" t="inlineStr">
        <is>
          <t>GÄVLEBORGS LÄN</t>
        </is>
      </c>
      <c r="G954" t="inlineStr">
        <is>
          <t>BOLLNÄS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10810-2026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46078</v>
      </c>
      <c r="E955" s="1" t="n">
        <v>46296</v>
      </c>
      <c r="F955" t="inlineStr">
        <is>
          <t>GÄVLEBORGS LÄN</t>
        </is>
      </c>
      <c r="G955" t="inlineStr">
        <is>
          <t>BOLLNÄS</t>
        </is>
      </c>
      <c r="I955" t="n">
        <v>4.9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10830-2026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46078</v>
      </c>
      <c r="E956" s="1" t="n">
        <v>46296</v>
      </c>
      <c r="F956" t="inlineStr">
        <is>
          <t>GÄVLEBORGS LÄN</t>
        </is>
      </c>
      <c r="G956" t="inlineStr">
        <is>
          <t>BOLLNÄS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10505-2026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46077</v>
      </c>
      <c r="E957" s="1" t="n">
        <v>46296</v>
      </c>
      <c r="F957" t="inlineStr">
        <is>
          <t>GÄVLEBORGS LÄN</t>
        </is>
      </c>
      <c r="G957" t="inlineStr">
        <is>
          <t>BOLLNÄS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  <c r="Z957">
        <f>HYPERLINK("https://klasma.github.io/Logging_2183/knärot/A 10505-2026 karta knärot.png", "A 10505-2026")</f>
        <v/>
      </c>
      <c r="AA957">
        <f>HYPERLINK("https://klasma.github.io/Logging_2183/klagomål/A 10505-2026 FSC-klagomål.docx", "A 10505-2026")</f>
        <v/>
      </c>
      <c r="AB957">
        <f>HYPERLINK("https://klasma.github.io/Logging_2183/klagomålsmail/A 10505-2026 FSC-klagomål mail.docx", "A 10505-2026")</f>
        <v/>
      </c>
      <c r="AC957">
        <f>HYPERLINK("https://klasma.github.io/Logging_2183/tillsyn/A 10505-2026 tillsynsbegäran.docx", "A 10505-2026")</f>
        <v/>
      </c>
      <c r="AD957">
        <f>HYPERLINK("https://klasma.github.io/Logging_2183/tillsynsmail/A 10505-2026 tillsynsbegäran mail.docx", "A 10505-2026")</f>
        <v/>
      </c>
    </row>
    <row r="958" ht="15" customHeight="1">
      <c r="A958" t="inlineStr">
        <is>
          <t>A 10736-2026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46078</v>
      </c>
      <c r="E958" s="1" t="n">
        <v>46296</v>
      </c>
      <c r="F958" t="inlineStr">
        <is>
          <t>GÄVLEBORGS LÄN</t>
        </is>
      </c>
      <c r="G958" t="inlineStr">
        <is>
          <t>BOLLNÄS</t>
        </is>
      </c>
      <c r="I958" t="n">
        <v>3.1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10748-2026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46078</v>
      </c>
      <c r="E959" s="1" t="n">
        <v>46296</v>
      </c>
      <c r="F959" t="inlineStr">
        <is>
          <t>GÄVLEBORGS LÄN</t>
        </is>
      </c>
      <c r="G959" t="inlineStr">
        <is>
          <t>BOLLNÄS</t>
        </is>
      </c>
      <c r="I959" t="n">
        <v>5.8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10880-2026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46078</v>
      </c>
      <c r="E960" s="1" t="n">
        <v>46296</v>
      </c>
      <c r="F960" t="inlineStr">
        <is>
          <t>GÄVLEBORGS LÄN</t>
        </is>
      </c>
      <c r="G960" t="inlineStr">
        <is>
          <t>BOLLNÄS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10857-2026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46078</v>
      </c>
      <c r="E961" s="1" t="n">
        <v>46296</v>
      </c>
      <c r="F961" t="inlineStr">
        <is>
          <t>GÄVLEBORGS LÄN</t>
        </is>
      </c>
      <c r="G961" t="inlineStr">
        <is>
          <t>BOLLNÄS</t>
        </is>
      </c>
      <c r="I961" t="n">
        <v>6.4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10120-2026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46075</v>
      </c>
      <c r="E962" s="1" t="n">
        <v>46296</v>
      </c>
      <c r="F962" t="inlineStr">
        <is>
          <t>GÄVLEBORGS LÄN</t>
        </is>
      </c>
      <c r="G962" t="inlineStr">
        <is>
          <t>BOLLNÄS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10126-2026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46075</v>
      </c>
      <c r="E963" s="1" t="n">
        <v>46296</v>
      </c>
      <c r="F963" t="inlineStr">
        <is>
          <t>GÄVLEBORGS LÄN</t>
        </is>
      </c>
      <c r="G963" t="inlineStr">
        <is>
          <t>BOLLNÄS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10890-2026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46078</v>
      </c>
      <c r="E964" s="1" t="n">
        <v>46296</v>
      </c>
      <c r="F964" t="inlineStr">
        <is>
          <t>GÄVLEBORGS LÄN</t>
        </is>
      </c>
      <c r="G964" t="inlineStr">
        <is>
          <t>BOLLNÄS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10956-2026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46079</v>
      </c>
      <c r="E965" s="1" t="n">
        <v>46296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11118-2026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46079</v>
      </c>
      <c r="E966" s="1" t="n">
        <v>46296</v>
      </c>
      <c r="F966" t="inlineStr">
        <is>
          <t>GÄVLEBORGS LÄN</t>
        </is>
      </c>
      <c r="G966" t="inlineStr">
        <is>
          <t>BOLLNÄS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11241-2026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46080</v>
      </c>
      <c r="E967" s="1" t="n">
        <v>46296</v>
      </c>
      <c r="F967" t="inlineStr">
        <is>
          <t>GÄVLEBORGS LÄN</t>
        </is>
      </c>
      <c r="G967" t="inlineStr">
        <is>
          <t>BOLLNÄS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11309-2026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46080</v>
      </c>
      <c r="E968" s="1" t="n">
        <v>46296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11019-2026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46079</v>
      </c>
      <c r="E969" s="1" t="n">
        <v>46296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väst AB</t>
        </is>
      </c>
      <c r="I969" t="n">
        <v>2.4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10923-2026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46079</v>
      </c>
      <c r="E970" s="1" t="n">
        <v>46296</v>
      </c>
      <c r="F970" t="inlineStr">
        <is>
          <t>GÄVLEBORGS LÄN</t>
        </is>
      </c>
      <c r="G970" t="inlineStr">
        <is>
          <t>BOLLNÄS</t>
        </is>
      </c>
      <c r="I970" t="n">
        <v>3.8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11133-2026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46079</v>
      </c>
      <c r="E971" s="1" t="n">
        <v>46296</v>
      </c>
      <c r="F971" t="inlineStr">
        <is>
          <t>GÄVLEBORGS LÄN</t>
        </is>
      </c>
      <c r="G971" t="inlineStr">
        <is>
          <t>BOLLNÄS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11128-2026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46079</v>
      </c>
      <c r="E972" s="1" t="n">
        <v>46296</v>
      </c>
      <c r="F972" t="inlineStr">
        <is>
          <t>GÄVLEBORGS LÄN</t>
        </is>
      </c>
      <c r="G972" t="inlineStr">
        <is>
          <t>BOLLNÄS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11131-2026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46079</v>
      </c>
      <c r="E973" s="1" t="n">
        <v>46296</v>
      </c>
      <c r="F973" t="inlineStr">
        <is>
          <t>GÄVLEBORGS LÄN</t>
        </is>
      </c>
      <c r="G973" t="inlineStr">
        <is>
          <t>BOLLNÄS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11166-2026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46080</v>
      </c>
      <c r="E974" s="1" t="n">
        <v>46296</v>
      </c>
      <c r="F974" t="inlineStr">
        <is>
          <t>GÄVLEBORGS LÄN</t>
        </is>
      </c>
      <c r="G974" t="inlineStr">
        <is>
          <t>BOLLNÄS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11308-2026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46080</v>
      </c>
      <c r="E975" s="1" t="n">
        <v>46296</v>
      </c>
      <c r="F975" t="inlineStr">
        <is>
          <t>GÄVLEBORGS LÄN</t>
        </is>
      </c>
      <c r="G975" t="inlineStr">
        <is>
          <t>BOLLNÄS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11294-2026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46080</v>
      </c>
      <c r="E976" s="1" t="n">
        <v>46296</v>
      </c>
      <c r="F976" t="inlineStr">
        <is>
          <t>GÄVLEBORGS LÄN</t>
        </is>
      </c>
      <c r="G976" t="inlineStr">
        <is>
          <t>BOLLNÄS</t>
        </is>
      </c>
      <c r="I976" t="n">
        <v>5.7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11371-2026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46083</v>
      </c>
      <c r="E977" s="1" t="n">
        <v>46296</v>
      </c>
      <c r="F977" t="inlineStr">
        <is>
          <t>GÄVLEBORGS LÄN</t>
        </is>
      </c>
      <c r="G977" t="inlineStr">
        <is>
          <t>BOLLNÄS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57887-2025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45981</v>
      </c>
      <c r="E978" s="1" t="n">
        <v>46296</v>
      </c>
      <c r="F978" t="inlineStr">
        <is>
          <t>GÄVLEBORGS LÄN</t>
        </is>
      </c>
      <c r="G978" t="inlineStr">
        <is>
          <t>BOLLNÄS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11367-2026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46083</v>
      </c>
      <c r="E979" s="1" t="n">
        <v>46296</v>
      </c>
      <c r="F979" t="inlineStr">
        <is>
          <t>GÄVLEBORGS LÄN</t>
        </is>
      </c>
      <c r="G979" t="inlineStr">
        <is>
          <t>BOLLNÄS</t>
        </is>
      </c>
      <c r="I979" t="n">
        <v>6.6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11343-2026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46082</v>
      </c>
      <c r="E980" s="1" t="n">
        <v>46296</v>
      </c>
      <c r="F980" t="inlineStr">
        <is>
          <t>GÄVLEBORGS LÄN</t>
        </is>
      </c>
      <c r="G980" t="inlineStr">
        <is>
          <t>BOLLNÄS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11680-2026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46084</v>
      </c>
      <c r="E981" s="1" t="n">
        <v>46296</v>
      </c>
      <c r="F981" t="inlineStr">
        <is>
          <t>GÄVLEBORGS LÄN</t>
        </is>
      </c>
      <c r="G981" t="inlineStr">
        <is>
          <t>BOLLNÄS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11345-2026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46082</v>
      </c>
      <c r="E982" s="1" t="n">
        <v>46296</v>
      </c>
      <c r="F982" t="inlineStr">
        <is>
          <t>GÄVLEBORGS LÄN</t>
        </is>
      </c>
      <c r="G982" t="inlineStr">
        <is>
          <t>BOLLNÄS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11547-2026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46084</v>
      </c>
      <c r="E983" s="1" t="n">
        <v>46296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11550-2026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46084</v>
      </c>
      <c r="E984" s="1" t="n">
        <v>46296</v>
      </c>
      <c r="F984" t="inlineStr">
        <is>
          <t>GÄVLEBORGS LÄN</t>
        </is>
      </c>
      <c r="G984" t="inlineStr">
        <is>
          <t>BOLLNÄS</t>
        </is>
      </c>
      <c r="I984" t="n">
        <v>14.1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11366-2026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46083</v>
      </c>
      <c r="E985" s="1" t="n">
        <v>46296</v>
      </c>
      <c r="F985" t="inlineStr">
        <is>
          <t>GÄVLEBORGS LÄN</t>
        </is>
      </c>
      <c r="G985" t="inlineStr">
        <is>
          <t>BOLLNÄS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11931-2026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46085</v>
      </c>
      <c r="E986" s="1" t="n">
        <v>46296</v>
      </c>
      <c r="F986" t="inlineStr">
        <is>
          <t>GÄVLEBORGS LÄN</t>
        </is>
      </c>
      <c r="G986" t="inlineStr">
        <is>
          <t>BOLLNÄS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11948-2026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46085</v>
      </c>
      <c r="E987" s="1" t="n">
        <v>46296</v>
      </c>
      <c r="F987" t="inlineStr">
        <is>
          <t>GÄVLEBORGS LÄN</t>
        </is>
      </c>
      <c r="G987" t="inlineStr">
        <is>
          <t>BOLLNÄS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12001-2026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46085</v>
      </c>
      <c r="E988" s="1" t="n">
        <v>46296</v>
      </c>
      <c r="F988" t="inlineStr">
        <is>
          <t>GÄVLEBORGS LÄN</t>
        </is>
      </c>
      <c r="G988" t="inlineStr">
        <is>
          <t>BOLLNÄS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12007-2026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46085</v>
      </c>
      <c r="E989" s="1" t="n">
        <v>46296</v>
      </c>
      <c r="F989" t="inlineStr">
        <is>
          <t>GÄVLEBORGS LÄN</t>
        </is>
      </c>
      <c r="G989" t="inlineStr">
        <is>
          <t>BOLLNÄS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11881-2026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46085</v>
      </c>
      <c r="E990" s="1" t="n">
        <v>46296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12006-2026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46085</v>
      </c>
      <c r="E991" s="1" t="n">
        <v>46296</v>
      </c>
      <c r="F991" t="inlineStr">
        <is>
          <t>GÄVLEBORGS LÄN</t>
        </is>
      </c>
      <c r="G991" t="inlineStr">
        <is>
          <t>BOLLNÄS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12207-2026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46087</v>
      </c>
      <c r="E992" s="1" t="n">
        <v>46296</v>
      </c>
      <c r="F992" t="inlineStr">
        <is>
          <t>GÄVLEBORGS LÄN</t>
        </is>
      </c>
      <c r="G992" t="inlineStr">
        <is>
          <t>BOLLNÄS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12549-2026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46090</v>
      </c>
      <c r="E993" s="1" t="n">
        <v>46296</v>
      </c>
      <c r="F993" t="inlineStr">
        <is>
          <t>GÄVLEBORGS LÄN</t>
        </is>
      </c>
      <c r="G993" t="inlineStr">
        <is>
          <t>BOLLNÄS</t>
        </is>
      </c>
      <c r="I993" t="n">
        <v>7.5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12360-2026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46088</v>
      </c>
      <c r="E994" s="1" t="n">
        <v>46296</v>
      </c>
      <c r="F994" t="inlineStr">
        <is>
          <t>GÄVLEBORGS LÄN</t>
        </is>
      </c>
      <c r="G994" t="inlineStr">
        <is>
          <t>BOLLNÄS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12359-2026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46088</v>
      </c>
      <c r="E995" s="1" t="n">
        <v>46296</v>
      </c>
      <c r="F995" t="inlineStr">
        <is>
          <t>GÄVLEBORGS LÄN</t>
        </is>
      </c>
      <c r="G995" t="inlineStr">
        <is>
          <t>BOLLNÄS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12325-2026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46087</v>
      </c>
      <c r="E996" s="1" t="n">
        <v>46296</v>
      </c>
      <c r="F996" t="inlineStr">
        <is>
          <t>GÄVLEBORGS LÄN</t>
        </is>
      </c>
      <c r="G996" t="inlineStr">
        <is>
          <t>BOLLNÄS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12378-2026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46090</v>
      </c>
      <c r="E997" s="1" t="n">
        <v>46296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8.6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12451-2026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46090</v>
      </c>
      <c r="E998" s="1" t="n">
        <v>46296</v>
      </c>
      <c r="F998" t="inlineStr">
        <is>
          <t>GÄVLEBORGS LÄN</t>
        </is>
      </c>
      <c r="G998" t="inlineStr">
        <is>
          <t>BOLLNÄS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12454-2026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46090</v>
      </c>
      <c r="E999" s="1" t="n">
        <v>46296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12449-2026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46090</v>
      </c>
      <c r="E1000" s="1" t="n">
        <v>46296</v>
      </c>
      <c r="F1000" t="inlineStr">
        <is>
          <t>GÄVLEBORGS LÄN</t>
        </is>
      </c>
      <c r="G1000" t="inlineStr">
        <is>
          <t>BOLLNÄS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12220-2026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46087</v>
      </c>
      <c r="E1001" s="1" t="n">
        <v>46296</v>
      </c>
      <c r="F1001" t="inlineStr">
        <is>
          <t>GÄVLEBORGS LÄN</t>
        </is>
      </c>
      <c r="G1001" t="inlineStr">
        <is>
          <t>BOLLNÄS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12728-2026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46091</v>
      </c>
      <c r="E1002" s="1" t="n">
        <v>46296</v>
      </c>
      <c r="F1002" t="inlineStr">
        <is>
          <t>GÄVLEBORGS LÄN</t>
        </is>
      </c>
      <c r="G1002" t="inlineStr">
        <is>
          <t>BOLLNÄS</t>
        </is>
      </c>
      <c r="I1002" t="n">
        <v>5.9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3324-2026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46041</v>
      </c>
      <c r="E1003" s="1" t="n">
        <v>46296</v>
      </c>
      <c r="F1003" t="inlineStr">
        <is>
          <t>GÄVLEBORGS LÄN</t>
        </is>
      </c>
      <c r="G1003" t="inlineStr">
        <is>
          <t>BOLLNÄS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12995-2026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46092</v>
      </c>
      <c r="E1004" s="1" t="n">
        <v>46296</v>
      </c>
      <c r="F1004" t="inlineStr">
        <is>
          <t>GÄVLEBORGS LÄN</t>
        </is>
      </c>
      <c r="G1004" t="inlineStr">
        <is>
          <t>BOLLNÄS</t>
        </is>
      </c>
      <c r="I1004" t="n">
        <v>5.5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12649-2026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46091</v>
      </c>
      <c r="E1005" s="1" t="n">
        <v>46296</v>
      </c>
      <c r="F1005" t="inlineStr">
        <is>
          <t>GÄVLEBORGS LÄN</t>
        </is>
      </c>
      <c r="G1005" t="inlineStr">
        <is>
          <t>BOLLNÄS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12951-2026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46092</v>
      </c>
      <c r="E1006" s="1" t="n">
        <v>46296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Sveaskog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12959-2026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46092</v>
      </c>
      <c r="E1007" s="1" t="n">
        <v>46296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Sveaskog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12895-2026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46092</v>
      </c>
      <c r="E1008" s="1" t="n">
        <v>46296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Bergvik skog väst AB</t>
        </is>
      </c>
      <c r="I1008" t="n">
        <v>6.6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13341-2026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46094</v>
      </c>
      <c r="E1009" s="1" t="n">
        <v>46296</v>
      </c>
      <c r="F1009" t="inlineStr">
        <is>
          <t>GÄVLEBORGS LÄN</t>
        </is>
      </c>
      <c r="G1009" t="inlineStr">
        <is>
          <t>BOLLNÄS</t>
        </is>
      </c>
      <c r="I1009" t="n">
        <v>11.7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13311-2026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46094</v>
      </c>
      <c r="E1010" s="1" t="n">
        <v>46296</v>
      </c>
      <c r="F1010" t="inlineStr">
        <is>
          <t>GÄVLEBORGS LÄN</t>
        </is>
      </c>
      <c r="G1010" t="inlineStr">
        <is>
          <t>BOLLNÄS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13407-2026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46094</v>
      </c>
      <c r="E1011" s="1" t="n">
        <v>46296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5.6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13358-2026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46094</v>
      </c>
      <c r="E1012" s="1" t="n">
        <v>46296</v>
      </c>
      <c r="F1012" t="inlineStr">
        <is>
          <t>GÄVLEBORGS LÄN</t>
        </is>
      </c>
      <c r="G1012" t="inlineStr">
        <is>
          <t>BOLLNÄS</t>
        </is>
      </c>
      <c r="I1012" t="n">
        <v>7.4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13378-2026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46094</v>
      </c>
      <c r="E1013" s="1" t="n">
        <v>46296</v>
      </c>
      <c r="F1013" t="inlineStr">
        <is>
          <t>GÄVLEBORGS LÄN</t>
        </is>
      </c>
      <c r="G1013" t="inlineStr">
        <is>
          <t>BOLLNÄS</t>
        </is>
      </c>
      <c r="I1013" t="n">
        <v>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13088-2026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46093</v>
      </c>
      <c r="E1014" s="1" t="n">
        <v>46296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32.8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13363-2026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46094</v>
      </c>
      <c r="E1015" s="1" t="n">
        <v>46296</v>
      </c>
      <c r="F1015" t="inlineStr">
        <is>
          <t>GÄVLEBORGS LÄN</t>
        </is>
      </c>
      <c r="G1015" t="inlineStr">
        <is>
          <t>BOLLNÄS</t>
        </is>
      </c>
      <c r="I1015" t="n">
        <v>9.199999999999999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13207-2026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46093</v>
      </c>
      <c r="E1016" s="1" t="n">
        <v>46296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13132-2026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46093</v>
      </c>
      <c r="E1017" s="1" t="n">
        <v>46296</v>
      </c>
      <c r="F1017" t="inlineStr">
        <is>
          <t>GÄVLEBORGS LÄN</t>
        </is>
      </c>
      <c r="G1017" t="inlineStr">
        <is>
          <t>BOLLNÄS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13173-2026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46093</v>
      </c>
      <c r="E1018" s="1" t="n">
        <v>46296</v>
      </c>
      <c r="F1018" t="inlineStr">
        <is>
          <t>GÄVLEBORGS LÄN</t>
        </is>
      </c>
      <c r="G1018" t="inlineStr">
        <is>
          <t>BOLLNÄS</t>
        </is>
      </c>
      <c r="I1018" t="n">
        <v>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13201-2026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46093</v>
      </c>
      <c r="E1019" s="1" t="n">
        <v>46296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17.4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13460-2026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46093</v>
      </c>
      <c r="E1020" s="1" t="n">
        <v>46296</v>
      </c>
      <c r="F1020" t="inlineStr">
        <is>
          <t>GÄVLEBORGS LÄN</t>
        </is>
      </c>
      <c r="G1020" t="inlineStr">
        <is>
          <t>BOLLNÄS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13421-2026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46094</v>
      </c>
      <c r="E1021" s="1" t="n">
        <v>46296</v>
      </c>
      <c r="F1021" t="inlineStr">
        <is>
          <t>GÄVLEBORGS LÄN</t>
        </is>
      </c>
      <c r="G1021" t="inlineStr">
        <is>
          <t>BOLLNÄS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13231-2026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46093</v>
      </c>
      <c r="E1022" s="1" t="n">
        <v>46296</v>
      </c>
      <c r="F1022" t="inlineStr">
        <is>
          <t>GÄVLEBORGS LÄN</t>
        </is>
      </c>
      <c r="G1022" t="inlineStr">
        <is>
          <t>BOLLNÄS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13052-2026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46093</v>
      </c>
      <c r="E1023" s="1" t="n">
        <v>46296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28.3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13083-2026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46093</v>
      </c>
      <c r="E1024" s="1" t="n">
        <v>46296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13131-2026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46093</v>
      </c>
      <c r="E1025" s="1" t="n">
        <v>46296</v>
      </c>
      <c r="F1025" t="inlineStr">
        <is>
          <t>GÄVLEBORGS LÄN</t>
        </is>
      </c>
      <c r="G1025" t="inlineStr">
        <is>
          <t>BOLLNÄS</t>
        </is>
      </c>
      <c r="I1025" t="n">
        <v>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13026-2026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46092</v>
      </c>
      <c r="E1026" s="1" t="n">
        <v>46296</v>
      </c>
      <c r="F1026" t="inlineStr">
        <is>
          <t>GÄVLEBORGS LÄN</t>
        </is>
      </c>
      <c r="G1026" t="inlineStr">
        <is>
          <t>BOLLNÄS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13548-2026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46094</v>
      </c>
      <c r="E1027" s="1" t="n">
        <v>46296</v>
      </c>
      <c r="F1027" t="inlineStr">
        <is>
          <t>GÄVLEBORGS LÄN</t>
        </is>
      </c>
      <c r="G1027" t="inlineStr">
        <is>
          <t>BOLLNÄS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13556-2026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46094</v>
      </c>
      <c r="E1028" s="1" t="n">
        <v>46296</v>
      </c>
      <c r="F1028" t="inlineStr">
        <is>
          <t>GÄVLEBORGS LÄN</t>
        </is>
      </c>
      <c r="G1028" t="inlineStr">
        <is>
          <t>BOLLNÄS</t>
        </is>
      </c>
      <c r="I1028" t="n">
        <v>9.6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13732-2026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46097</v>
      </c>
      <c r="E1029" s="1" t="n">
        <v>46296</v>
      </c>
      <c r="F1029" t="inlineStr">
        <is>
          <t>GÄVLEBORGS LÄN</t>
        </is>
      </c>
      <c r="G1029" t="inlineStr">
        <is>
          <t>BOLLNÄS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13646-2026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46097</v>
      </c>
      <c r="E1030" s="1" t="n">
        <v>46296</v>
      </c>
      <c r="F1030" t="inlineStr">
        <is>
          <t>GÄVLEBORGS LÄN</t>
        </is>
      </c>
      <c r="G1030" t="inlineStr">
        <is>
          <t>BOLLNÄS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13653-2026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46097</v>
      </c>
      <c r="E1031" s="1" t="n">
        <v>46296</v>
      </c>
      <c r="F1031" t="inlineStr">
        <is>
          <t>GÄVLEBORGS LÄN</t>
        </is>
      </c>
      <c r="G1031" t="inlineStr">
        <is>
          <t>BOLLNÄS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13665-2026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46097</v>
      </c>
      <c r="E1032" s="1" t="n">
        <v>46296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7.6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13918-2026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46098</v>
      </c>
      <c r="E1033" s="1" t="n">
        <v>46296</v>
      </c>
      <c r="F1033" t="inlineStr">
        <is>
          <t>GÄVLEBORGS LÄN</t>
        </is>
      </c>
      <c r="G1033" t="inlineStr">
        <is>
          <t>BOLLNÄS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13925-2026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46098</v>
      </c>
      <c r="E1034" s="1" t="n">
        <v>46296</v>
      </c>
      <c r="F1034" t="inlineStr">
        <is>
          <t>GÄVLEBORGS LÄN</t>
        </is>
      </c>
      <c r="G1034" t="inlineStr">
        <is>
          <t>BOLLNÄS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13859-2026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46098</v>
      </c>
      <c r="E1035" s="1" t="n">
        <v>46296</v>
      </c>
      <c r="F1035" t="inlineStr">
        <is>
          <t>GÄVLEBORGS LÄN</t>
        </is>
      </c>
      <c r="G1035" t="inlineStr">
        <is>
          <t>BOLLNÄS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9964-2026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46073</v>
      </c>
      <c r="E1036" s="1" t="n">
        <v>46296</v>
      </c>
      <c r="F1036" t="inlineStr">
        <is>
          <t>GÄVLEBORGS LÄN</t>
        </is>
      </c>
      <c r="G1036" t="inlineStr">
        <is>
          <t>BOLLNÄS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13595-2026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46097</v>
      </c>
      <c r="E1037" s="1" t="n">
        <v>46296</v>
      </c>
      <c r="F1037" t="inlineStr">
        <is>
          <t>GÄVLEBORGS LÄN</t>
        </is>
      </c>
      <c r="G1037" t="inlineStr">
        <is>
          <t>BOLLNÄS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13598-2026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46097</v>
      </c>
      <c r="E1038" s="1" t="n">
        <v>46296</v>
      </c>
      <c r="F1038" t="inlineStr">
        <is>
          <t>GÄVLEBORGS LÄN</t>
        </is>
      </c>
      <c r="G1038" t="inlineStr">
        <is>
          <t>BOLLNÄS</t>
        </is>
      </c>
      <c r="I1038" t="n">
        <v>3.1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13915-2026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46098</v>
      </c>
      <c r="E1039" s="1" t="n">
        <v>46296</v>
      </c>
      <c r="F1039" t="inlineStr">
        <is>
          <t>GÄVLEBORGS LÄN</t>
        </is>
      </c>
      <c r="G1039" t="inlineStr">
        <is>
          <t>BOLLNÄS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13624-2026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46097</v>
      </c>
      <c r="E1040" s="1" t="n">
        <v>46296</v>
      </c>
      <c r="F1040" t="inlineStr">
        <is>
          <t>GÄVLEBORGS LÄN</t>
        </is>
      </c>
      <c r="G1040" t="inlineStr">
        <is>
          <t>BOLLNÄS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14171-2026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46099</v>
      </c>
      <c r="E1041" s="1" t="n">
        <v>46296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Bergvik skog väst AB</t>
        </is>
      </c>
      <c r="I1041" t="n">
        <v>3.5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14183-2026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46099</v>
      </c>
      <c r="E1042" s="1" t="n">
        <v>46296</v>
      </c>
      <c r="F1042" t="inlineStr">
        <is>
          <t>GÄVLEBORGS LÄN</t>
        </is>
      </c>
      <c r="G1042" t="inlineStr">
        <is>
          <t>BOLLNÄS</t>
        </is>
      </c>
      <c r="I1042" t="n">
        <v>7.1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14155-2026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46099</v>
      </c>
      <c r="E1043" s="1" t="n">
        <v>46296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14133-2026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46099</v>
      </c>
      <c r="E1044" s="1" t="n">
        <v>46296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väst AB</t>
        </is>
      </c>
      <c r="I1044" t="n">
        <v>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14526-2026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46100</v>
      </c>
      <c r="E1045" s="1" t="n">
        <v>46296</v>
      </c>
      <c r="F1045" t="inlineStr">
        <is>
          <t>GÄVLEBORGS LÄN</t>
        </is>
      </c>
      <c r="G1045" t="inlineStr">
        <is>
          <t>BOLLNÄS</t>
        </is>
      </c>
      <c r="I1045" t="n">
        <v>10.9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14346-2026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46100</v>
      </c>
      <c r="E1046" s="1" t="n">
        <v>46296</v>
      </c>
      <c r="F1046" t="inlineStr">
        <is>
          <t>GÄVLEBORGS LÄN</t>
        </is>
      </c>
      <c r="G1046" t="inlineStr">
        <is>
          <t>BOLLNÄS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14504-2026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46100</v>
      </c>
      <c r="E1047" s="1" t="n">
        <v>46296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Bergvik skog väst AB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14053-2026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46099</v>
      </c>
      <c r="E1048" s="1" t="n">
        <v>46296</v>
      </c>
      <c r="F1048" t="inlineStr">
        <is>
          <t>GÄVLEBORGS LÄN</t>
        </is>
      </c>
      <c r="G1048" t="inlineStr">
        <is>
          <t>BOLLNÄS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14519-2026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46100</v>
      </c>
      <c r="E1049" s="1" t="n">
        <v>46296</v>
      </c>
      <c r="F1049" t="inlineStr">
        <is>
          <t>GÄVLEBORGS LÄN</t>
        </is>
      </c>
      <c r="G1049" t="inlineStr">
        <is>
          <t>BOLLNÄS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14148-2026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46099</v>
      </c>
      <c r="E1050" s="1" t="n">
        <v>46296</v>
      </c>
      <c r="F1050" t="inlineStr">
        <is>
          <t>GÄVLEBORGS LÄN</t>
        </is>
      </c>
      <c r="G1050" t="inlineStr">
        <is>
          <t>BOLLNÄS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14172-2026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46099</v>
      </c>
      <c r="E1051" s="1" t="n">
        <v>46296</v>
      </c>
      <c r="F1051" t="inlineStr">
        <is>
          <t>GÄVLEBORGS LÄN</t>
        </is>
      </c>
      <c r="G1051" t="inlineStr">
        <is>
          <t>BOLLNÄS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14328-2026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46100</v>
      </c>
      <c r="E1052" s="1" t="n">
        <v>46296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14216-2026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46099</v>
      </c>
      <c r="E1053" s="1" t="n">
        <v>46296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7.1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14252-2026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46099</v>
      </c>
      <c r="E1054" s="1" t="n">
        <v>46296</v>
      </c>
      <c r="F1054" t="inlineStr">
        <is>
          <t>GÄVLEBORGS LÄN</t>
        </is>
      </c>
      <c r="G1054" t="inlineStr">
        <is>
          <t>BOLLNÄS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14333-2026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46100</v>
      </c>
      <c r="E1055" s="1" t="n">
        <v>46296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Bergvik skog väst AB</t>
        </is>
      </c>
      <c r="I1055" t="n">
        <v>11.9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14223-2026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46099</v>
      </c>
      <c r="E1056" s="1" t="n">
        <v>46296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14503-2026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46100</v>
      </c>
      <c r="E1057" s="1" t="n">
        <v>46296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14174-2026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46099</v>
      </c>
      <c r="E1058" s="1" t="n">
        <v>46296</v>
      </c>
      <c r="F1058" t="inlineStr">
        <is>
          <t>GÄVLEBORGS LÄN</t>
        </is>
      </c>
      <c r="G1058" t="inlineStr">
        <is>
          <t>BOLLNÄS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14987-2026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46104</v>
      </c>
      <c r="E1059" s="1" t="n">
        <v>46296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14633-2026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46101</v>
      </c>
      <c r="E1060" s="1" t="n">
        <v>46296</v>
      </c>
      <c r="F1060" t="inlineStr">
        <is>
          <t>GÄVLEBORGS LÄN</t>
        </is>
      </c>
      <c r="G1060" t="inlineStr">
        <is>
          <t>BOLLNÄS</t>
        </is>
      </c>
      <c r="I1060" t="n">
        <v>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14700-2026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46101</v>
      </c>
      <c r="E1061" s="1" t="n">
        <v>46296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Kommuner</t>
        </is>
      </c>
      <c r="I1061" t="n">
        <v>10.4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14766-2026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46101</v>
      </c>
      <c r="E1062" s="1" t="n">
        <v>46296</v>
      </c>
      <c r="F1062" t="inlineStr">
        <is>
          <t>GÄVLEBORGS LÄN</t>
        </is>
      </c>
      <c r="G1062" t="inlineStr">
        <is>
          <t>BOLLNÄS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15037-2026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46104</v>
      </c>
      <c r="E1063" s="1" t="n">
        <v>46296</v>
      </c>
      <c r="F1063" t="inlineStr">
        <is>
          <t>GÄVLEBORGS LÄN</t>
        </is>
      </c>
      <c r="G1063" t="inlineStr">
        <is>
          <t>BOLLNÄS</t>
        </is>
      </c>
      <c r="I1063" t="n">
        <v>7.1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14871-2026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46104</v>
      </c>
      <c r="E1064" s="1" t="n">
        <v>46296</v>
      </c>
      <c r="F1064" t="inlineStr">
        <is>
          <t>GÄVLEBORGS LÄN</t>
        </is>
      </c>
      <c r="G1064" t="inlineStr">
        <is>
          <t>BOLLNÄS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14630-2026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46101</v>
      </c>
      <c r="E1065" s="1" t="n">
        <v>46296</v>
      </c>
      <c r="F1065" t="inlineStr">
        <is>
          <t>GÄVLEBORGS LÄN</t>
        </is>
      </c>
      <c r="G1065" t="inlineStr">
        <is>
          <t>BOLLNÄS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14678-2026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46101</v>
      </c>
      <c r="E1066" s="1" t="n">
        <v>46296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Kommuner</t>
        </is>
      </c>
      <c r="I1066" t="n">
        <v>23.7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14764-2026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46101</v>
      </c>
      <c r="E1067" s="1" t="n">
        <v>46296</v>
      </c>
      <c r="F1067" t="inlineStr">
        <is>
          <t>GÄVLEBORGS LÄN</t>
        </is>
      </c>
      <c r="G1067" t="inlineStr">
        <is>
          <t>BOLLNÄS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14784-2026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46101</v>
      </c>
      <c r="E1068" s="1" t="n">
        <v>46296</v>
      </c>
      <c r="F1068" t="inlineStr">
        <is>
          <t>GÄVLEBORGS LÄN</t>
        </is>
      </c>
      <c r="G1068" t="inlineStr">
        <is>
          <t>BOLLNÄS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14598-2026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46101</v>
      </c>
      <c r="E1069" s="1" t="n">
        <v>46296</v>
      </c>
      <c r="F1069" t="inlineStr">
        <is>
          <t>GÄVLEBORGS LÄN</t>
        </is>
      </c>
      <c r="G1069" t="inlineStr">
        <is>
          <t>BOLLNÄS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14599-2026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46101</v>
      </c>
      <c r="E1070" s="1" t="n">
        <v>46296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Kyrkan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14729-2026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46101</v>
      </c>
      <c r="E1071" s="1" t="n">
        <v>46296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Kommuner</t>
        </is>
      </c>
      <c r="I1071" t="n">
        <v>4.7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14735-2026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46101</v>
      </c>
      <c r="E1072" s="1" t="n">
        <v>46296</v>
      </c>
      <c r="F1072" t="inlineStr">
        <is>
          <t>GÄVLEBORGS LÄN</t>
        </is>
      </c>
      <c r="G1072" t="inlineStr">
        <is>
          <t>BOLLNÄS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14741-2026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46101</v>
      </c>
      <c r="E1073" s="1" t="n">
        <v>46296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14899-2026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46104</v>
      </c>
      <c r="E1074" s="1" t="n">
        <v>46296</v>
      </c>
      <c r="F1074" t="inlineStr">
        <is>
          <t>GÄVLEBORGS LÄN</t>
        </is>
      </c>
      <c r="G1074" t="inlineStr">
        <is>
          <t>BOLLNÄS</t>
        </is>
      </c>
      <c r="I1074" t="n">
        <v>7.3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14864-2026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46104</v>
      </c>
      <c r="E1075" s="1" t="n">
        <v>46296</v>
      </c>
      <c r="F1075" t="inlineStr">
        <is>
          <t>GÄVLEBORGS LÄN</t>
        </is>
      </c>
      <c r="G1075" t="inlineStr">
        <is>
          <t>BOLLNÄS</t>
        </is>
      </c>
      <c r="I1075" t="n">
        <v>7.9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14594-2026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46101</v>
      </c>
      <c r="E1076" s="1" t="n">
        <v>46296</v>
      </c>
      <c r="F1076" t="inlineStr">
        <is>
          <t>GÄVLEBORGS LÄN</t>
        </is>
      </c>
      <c r="G1076" t="inlineStr">
        <is>
          <t>BOLLNÄS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14872-2026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46104</v>
      </c>
      <c r="E1077" s="1" t="n">
        <v>46296</v>
      </c>
      <c r="F1077" t="inlineStr">
        <is>
          <t>GÄVLEBORGS LÄN</t>
        </is>
      </c>
      <c r="G1077" t="inlineStr">
        <is>
          <t>BOLLNÄS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14586-2026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46101</v>
      </c>
      <c r="E1078" s="1" t="n">
        <v>46296</v>
      </c>
      <c r="F1078" t="inlineStr">
        <is>
          <t>GÄVLEBORGS LÄN</t>
        </is>
      </c>
      <c r="G1078" t="inlineStr">
        <is>
          <t>BOLLNÄS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14589-2026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46101</v>
      </c>
      <c r="E1079" s="1" t="n">
        <v>46296</v>
      </c>
      <c r="F1079" t="inlineStr">
        <is>
          <t>GÄVLEBORGS LÄN</t>
        </is>
      </c>
      <c r="G1079" t="inlineStr">
        <is>
          <t>BOLLNÄS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14888-2026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46104</v>
      </c>
      <c r="E1080" s="1" t="n">
        <v>46296</v>
      </c>
      <c r="F1080" t="inlineStr">
        <is>
          <t>GÄVLEBORGS LÄN</t>
        </is>
      </c>
      <c r="G1080" t="inlineStr">
        <is>
          <t>BOLLNÄS</t>
        </is>
      </c>
      <c r="I1080" t="n">
        <v>11.3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14866-2026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46104</v>
      </c>
      <c r="E1081" s="1" t="n">
        <v>46296</v>
      </c>
      <c r="F1081" t="inlineStr">
        <is>
          <t>GÄVLEBORGS LÄN</t>
        </is>
      </c>
      <c r="G1081" t="inlineStr">
        <is>
          <t>BOLLNÄS</t>
        </is>
      </c>
      <c r="I1081" t="n">
        <v>3.1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15149-2026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46105</v>
      </c>
      <c r="E1082" s="1" t="n">
        <v>46296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Holmen skog AB</t>
        </is>
      </c>
      <c r="I1082" t="n">
        <v>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15643-2026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46106</v>
      </c>
      <c r="E1083" s="1" t="n">
        <v>46296</v>
      </c>
      <c r="F1083" t="inlineStr">
        <is>
          <t>GÄVLEBORGS LÄN</t>
        </is>
      </c>
      <c r="G1083" t="inlineStr">
        <is>
          <t>BOLLNÄS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14758-2026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46101</v>
      </c>
      <c r="E1084" s="1" t="n">
        <v>46296</v>
      </c>
      <c r="F1084" t="inlineStr">
        <is>
          <t>GÄVLEBORGS LÄN</t>
        </is>
      </c>
      <c r="G1084" t="inlineStr">
        <is>
          <t>BOLLNÄS</t>
        </is>
      </c>
      <c r="I1084" t="n">
        <v>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15511-2026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46106</v>
      </c>
      <c r="E1085" s="1" t="n">
        <v>46296</v>
      </c>
      <c r="F1085" t="inlineStr">
        <is>
          <t>GÄVLEBORGS LÄN</t>
        </is>
      </c>
      <c r="G1085" t="inlineStr">
        <is>
          <t>BOLLNÄS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15449-2026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46106</v>
      </c>
      <c r="E1086" s="1" t="n">
        <v>46296</v>
      </c>
      <c r="F1086" t="inlineStr">
        <is>
          <t>GÄVLEBORGS LÄN</t>
        </is>
      </c>
      <c r="G1086" t="inlineStr">
        <is>
          <t>BOLLNÄS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15605-2026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46106</v>
      </c>
      <c r="E1087" s="1" t="n">
        <v>46296</v>
      </c>
      <c r="F1087" t="inlineStr">
        <is>
          <t>GÄVLEBORGS LÄN</t>
        </is>
      </c>
      <c r="G1087" t="inlineStr">
        <is>
          <t>BOLLNÄS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14761-2026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46101</v>
      </c>
      <c r="E1088" s="1" t="n">
        <v>46296</v>
      </c>
      <c r="F1088" t="inlineStr">
        <is>
          <t>GÄVLEBORGS LÄN</t>
        </is>
      </c>
      <c r="G1088" t="inlineStr">
        <is>
          <t>BOLLNÄS</t>
        </is>
      </c>
      <c r="I1088" t="n">
        <v>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15507-2026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46106</v>
      </c>
      <c r="E1089" s="1" t="n">
        <v>46296</v>
      </c>
      <c r="F1089" t="inlineStr">
        <is>
          <t>GÄVLEBORGS LÄN</t>
        </is>
      </c>
      <c r="G1089" t="inlineStr">
        <is>
          <t>BOLLNÄS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15520-2026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46106</v>
      </c>
      <c r="E1090" s="1" t="n">
        <v>46296</v>
      </c>
      <c r="F1090" t="inlineStr">
        <is>
          <t>GÄVLEBORGS LÄN</t>
        </is>
      </c>
      <c r="G1090" t="inlineStr">
        <is>
          <t>BOLLNÄS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15528-2026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46106</v>
      </c>
      <c r="E1091" s="1" t="n">
        <v>46296</v>
      </c>
      <c r="F1091" t="inlineStr">
        <is>
          <t>GÄVLEBORGS LÄN</t>
        </is>
      </c>
      <c r="G1091" t="inlineStr">
        <is>
          <t>BOLLNÄS</t>
        </is>
      </c>
      <c r="I1091" t="n">
        <v>3.9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15522-2026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46106</v>
      </c>
      <c r="E1092" s="1" t="n">
        <v>46296</v>
      </c>
      <c r="F1092" t="inlineStr">
        <is>
          <t>GÄVLEBORGS LÄN</t>
        </is>
      </c>
      <c r="G1092" t="inlineStr">
        <is>
          <t>BOLLNÄS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15387-2026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46106</v>
      </c>
      <c r="E1093" s="1" t="n">
        <v>46296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16036-2026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46108</v>
      </c>
      <c r="E1094" s="1" t="n">
        <v>46296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Bergvik skog väst AB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15995-2026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46108</v>
      </c>
      <c r="E1095" s="1" t="n">
        <v>46296</v>
      </c>
      <c r="F1095" t="inlineStr">
        <is>
          <t>GÄVLEBORGS LÄN</t>
        </is>
      </c>
      <c r="G1095" t="inlineStr">
        <is>
          <t>BOLLNÄS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16029-2026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46108</v>
      </c>
      <c r="E1096" s="1" t="n">
        <v>46296</v>
      </c>
      <c r="F1096" t="inlineStr">
        <is>
          <t>GÄVLEBORGS LÄN</t>
        </is>
      </c>
      <c r="G1096" t="inlineStr">
        <is>
          <t>BOLLNÄS</t>
        </is>
      </c>
      <c r="I1096" t="n">
        <v>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16057-2026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46108</v>
      </c>
      <c r="E1097" s="1" t="n">
        <v>46296</v>
      </c>
      <c r="F1097" t="inlineStr">
        <is>
          <t>GÄVLEBORGS LÄN</t>
        </is>
      </c>
      <c r="G1097" t="inlineStr">
        <is>
          <t>BOLLNÄS</t>
        </is>
      </c>
      <c r="I1097" t="n">
        <v>2.1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16058-2026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46108</v>
      </c>
      <c r="E1098" s="1" t="n">
        <v>46296</v>
      </c>
      <c r="F1098" t="inlineStr">
        <is>
          <t>GÄVLEBORGS LÄN</t>
        </is>
      </c>
      <c r="G1098" t="inlineStr">
        <is>
          <t>BOLLNÄS</t>
        </is>
      </c>
      <c r="I1098" t="n">
        <v>0.4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16059-2026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46108</v>
      </c>
      <c r="E1099" s="1" t="n">
        <v>46296</v>
      </c>
      <c r="F1099" t="inlineStr">
        <is>
          <t>GÄVLEBORGS LÄN</t>
        </is>
      </c>
      <c r="G1099" t="inlineStr">
        <is>
          <t>BOLLNÄS</t>
        </is>
      </c>
      <c r="I1099" t="n">
        <v>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16068-2026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46108</v>
      </c>
      <c r="E1100" s="1" t="n">
        <v>46296</v>
      </c>
      <c r="F1100" t="inlineStr">
        <is>
          <t>GÄVLEBORGS LÄN</t>
        </is>
      </c>
      <c r="G1100" t="inlineStr">
        <is>
          <t>BOLLNÄS</t>
        </is>
      </c>
      <c r="I1100" t="n">
        <v>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15980-2026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46108</v>
      </c>
      <c r="E1101" s="1" t="n">
        <v>46296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Holmen skog AB</t>
        </is>
      </c>
      <c r="I1101" t="n">
        <v>26.2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16028-2026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46108</v>
      </c>
      <c r="E1102" s="1" t="n">
        <v>46296</v>
      </c>
      <c r="F1102" t="inlineStr">
        <is>
          <t>GÄVLEBORGS LÄN</t>
        </is>
      </c>
      <c r="G1102" t="inlineStr">
        <is>
          <t>BOLLNÄS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15768-2026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46107</v>
      </c>
      <c r="E1103" s="1" t="n">
        <v>46296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väst AB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15818-2026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46107</v>
      </c>
      <c r="E1104" s="1" t="n">
        <v>46296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Bergvik skog väst AB</t>
        </is>
      </c>
      <c r="I1104" t="n">
        <v>41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15996-2026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46108</v>
      </c>
      <c r="E1105" s="1" t="n">
        <v>46296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Holmen skog AB</t>
        </is>
      </c>
      <c r="I1105" t="n">
        <v>51.8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518-2026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46029</v>
      </c>
      <c r="E1106" s="1" t="n">
        <v>46296</v>
      </c>
      <c r="F1106" t="inlineStr">
        <is>
          <t>GÄVLEBORGS LÄN</t>
        </is>
      </c>
      <c r="G1106" t="inlineStr">
        <is>
          <t>BOLLNÄS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15718-2026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46107</v>
      </c>
      <c r="E1107" s="1" t="n">
        <v>46296</v>
      </c>
      <c r="F1107" t="inlineStr">
        <is>
          <t>GÄVLEBORGS LÄN</t>
        </is>
      </c>
      <c r="G1107" t="inlineStr">
        <is>
          <t>BOLLNÄS</t>
        </is>
      </c>
      <c r="I1107" t="n">
        <v>2.8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15832-2026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46107</v>
      </c>
      <c r="E1108" s="1" t="n">
        <v>46296</v>
      </c>
      <c r="F1108" t="inlineStr">
        <is>
          <t>GÄVLEBORGS LÄN</t>
        </is>
      </c>
      <c r="G1108" t="inlineStr">
        <is>
          <t>BOLLNÄS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16025-2026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46108</v>
      </c>
      <c r="E1109" s="1" t="n">
        <v>46296</v>
      </c>
      <c r="F1109" t="inlineStr">
        <is>
          <t>GÄVLEBORGS LÄN</t>
        </is>
      </c>
      <c r="G1109" t="inlineStr">
        <is>
          <t>BOLLNÄS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15813-2026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46107</v>
      </c>
      <c r="E1110" s="1" t="n">
        <v>46296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15727-2026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46107</v>
      </c>
      <c r="E1111" s="1" t="n">
        <v>46296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32.5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16635-2026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46112</v>
      </c>
      <c r="E1112" s="1" t="n">
        <v>46296</v>
      </c>
      <c r="F1112" t="inlineStr">
        <is>
          <t>GÄVLEBORGS LÄN</t>
        </is>
      </c>
      <c r="G1112" t="inlineStr">
        <is>
          <t>BOLLNÄS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16418-2026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46111</v>
      </c>
      <c r="E1113" s="1" t="n">
        <v>46296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Sveaskog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16451-2026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46112</v>
      </c>
      <c r="E1114" s="1" t="n">
        <v>46296</v>
      </c>
      <c r="F1114" t="inlineStr">
        <is>
          <t>GÄVLEBORGS LÄN</t>
        </is>
      </c>
      <c r="G1114" t="inlineStr">
        <is>
          <t>BOLLNÄS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16514-2026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46112</v>
      </c>
      <c r="E1115" s="1" t="n">
        <v>46296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5.5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16592-2026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46112</v>
      </c>
      <c r="E1116" s="1" t="n">
        <v>46296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16589-2026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46112</v>
      </c>
      <c r="E1117" s="1" t="n">
        <v>46296</v>
      </c>
      <c r="F1117" t="inlineStr">
        <is>
          <t>GÄVLEBORGS LÄN</t>
        </is>
      </c>
      <c r="G1117" t="inlineStr">
        <is>
          <t>BOLLNÄS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16568-2026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46112</v>
      </c>
      <c r="E1118" s="1" t="n">
        <v>46296</v>
      </c>
      <c r="F1118" t="inlineStr">
        <is>
          <t>GÄVLEBORGS LÄN</t>
        </is>
      </c>
      <c r="G1118" t="inlineStr">
        <is>
          <t>BOLLNÄS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16565-2026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46112</v>
      </c>
      <c r="E1119" s="1" t="n">
        <v>46296</v>
      </c>
      <c r="F1119" t="inlineStr">
        <is>
          <t>GÄVLEBORGS LÄN</t>
        </is>
      </c>
      <c r="G1119" t="inlineStr">
        <is>
          <t>BOLLNÄS</t>
        </is>
      </c>
      <c r="I1119" t="n">
        <v>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16575-2026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46112</v>
      </c>
      <c r="E1120" s="1" t="n">
        <v>46296</v>
      </c>
      <c r="F1120" t="inlineStr">
        <is>
          <t>GÄVLEBORGS LÄN</t>
        </is>
      </c>
      <c r="G1120" t="inlineStr">
        <is>
          <t>BOLLNÄS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16417-2026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46111</v>
      </c>
      <c r="E1121" s="1" t="n">
        <v>46296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Sveaskog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16529-2026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46112</v>
      </c>
      <c r="E1122" s="1" t="n">
        <v>46296</v>
      </c>
      <c r="F1122" t="inlineStr">
        <is>
          <t>GÄVLEBORGS LÄN</t>
        </is>
      </c>
      <c r="G1122" t="inlineStr">
        <is>
          <t>BOLLNÄS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16574-2026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46112</v>
      </c>
      <c r="E1123" s="1" t="n">
        <v>46296</v>
      </c>
      <c r="F1123" t="inlineStr">
        <is>
          <t>GÄVLEBORGS LÄN</t>
        </is>
      </c>
      <c r="G1123" t="inlineStr">
        <is>
          <t>BOLLNÄS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16459-2026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46112</v>
      </c>
      <c r="E1124" s="1" t="n">
        <v>46296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Bergvik skog väst AB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3913-2026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46043</v>
      </c>
      <c r="E1125" s="1" t="n">
        <v>46296</v>
      </c>
      <c r="F1125" t="inlineStr">
        <is>
          <t>GÄVLEBORGS LÄN</t>
        </is>
      </c>
      <c r="G1125" t="inlineStr">
        <is>
          <t>BOLLNÄS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44628-2025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45917</v>
      </c>
      <c r="E1126" s="1" t="n">
        <v>46296</v>
      </c>
      <c r="F1126" t="inlineStr">
        <is>
          <t>GÄVLEBORGS LÄN</t>
        </is>
      </c>
      <c r="G1126" t="inlineStr">
        <is>
          <t>BOLLNÄS</t>
        </is>
      </c>
      <c r="I1126" t="n">
        <v>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16566-2026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46112</v>
      </c>
      <c r="E1127" s="1" t="n">
        <v>46296</v>
      </c>
      <c r="F1127" t="inlineStr">
        <is>
          <t>GÄVLEBORGS LÄN</t>
        </is>
      </c>
      <c r="G1127" t="inlineStr">
        <is>
          <t>BOLLNÄS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16623-2026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46112</v>
      </c>
      <c r="E1128" s="1" t="n">
        <v>46296</v>
      </c>
      <c r="F1128" t="inlineStr">
        <is>
          <t>GÄVLEBORGS LÄN</t>
        </is>
      </c>
      <c r="G1128" t="inlineStr">
        <is>
          <t>BOLLNÄS</t>
        </is>
      </c>
      <c r="I1128" t="n">
        <v>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16450-2026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46112</v>
      </c>
      <c r="E1129" s="1" t="n">
        <v>46296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16622-2026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46112</v>
      </c>
      <c r="E1130" s="1" t="n">
        <v>46296</v>
      </c>
      <c r="F1130" t="inlineStr">
        <is>
          <t>GÄVLEBORGS LÄN</t>
        </is>
      </c>
      <c r="G1130" t="inlineStr">
        <is>
          <t>BOLLNÄS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16637-2026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46112</v>
      </c>
      <c r="E1131" s="1" t="n">
        <v>46296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16599-2026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46112</v>
      </c>
      <c r="E1132" s="1" t="n">
        <v>46296</v>
      </c>
      <c r="F1132" t="inlineStr">
        <is>
          <t>GÄVLEBORGS LÄN</t>
        </is>
      </c>
      <c r="G1132" t="inlineStr">
        <is>
          <t>BOLLNÄS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16620-2026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46112</v>
      </c>
      <c r="E1133" s="1" t="n">
        <v>46296</v>
      </c>
      <c r="F1133" t="inlineStr">
        <is>
          <t>GÄVLEBORGS LÄN</t>
        </is>
      </c>
      <c r="G1133" t="inlineStr">
        <is>
          <t>BOLLNÄS</t>
        </is>
      </c>
      <c r="I1133" t="n">
        <v>4.3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17007-2026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46114</v>
      </c>
      <c r="E1134" s="1" t="n">
        <v>46296</v>
      </c>
      <c r="F1134" t="inlineStr">
        <is>
          <t>GÄVLEBORGS LÄN</t>
        </is>
      </c>
      <c r="G1134" t="inlineStr">
        <is>
          <t>BOLLNÄS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17016-2026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46114</v>
      </c>
      <c r="E1135" s="1" t="n">
        <v>46296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Holmen skog AB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16871-2026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46113</v>
      </c>
      <c r="E1136" s="1" t="n">
        <v>46296</v>
      </c>
      <c r="F1136" t="inlineStr">
        <is>
          <t>GÄVLEBORGS LÄN</t>
        </is>
      </c>
      <c r="G1136" t="inlineStr">
        <is>
          <t>BOLLNÄS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16942-2026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46113</v>
      </c>
      <c r="E1137" s="1" t="n">
        <v>46296</v>
      </c>
      <c r="F1137" t="inlineStr">
        <is>
          <t>GÄVLEBORGS LÄN</t>
        </is>
      </c>
      <c r="G1137" t="inlineStr">
        <is>
          <t>BOLLNÄS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17070-2026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46114</v>
      </c>
      <c r="E1138" s="1" t="n">
        <v>46296</v>
      </c>
      <c r="F1138" t="inlineStr">
        <is>
          <t>GÄVLEBORGS LÄN</t>
        </is>
      </c>
      <c r="G1138" t="inlineStr">
        <is>
          <t>BOLLNÄS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16992-2026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46114</v>
      </c>
      <c r="E1139" s="1" t="n">
        <v>46296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Holmen skog AB</t>
        </is>
      </c>
      <c r="I1139" t="n">
        <v>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16858-2026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46113</v>
      </c>
      <c r="E1140" s="1" t="n">
        <v>46296</v>
      </c>
      <c r="F1140" t="inlineStr">
        <is>
          <t>GÄVLEBORGS LÄN</t>
        </is>
      </c>
      <c r="G1140" t="inlineStr">
        <is>
          <t>BOLLNÄS</t>
        </is>
      </c>
      <c r="I1140" t="n">
        <v>3.5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17092-2026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46114</v>
      </c>
      <c r="E1141" s="1" t="n">
        <v>46296</v>
      </c>
      <c r="F1141" t="inlineStr">
        <is>
          <t>GÄVLEBORGS LÄN</t>
        </is>
      </c>
      <c r="G1141" t="inlineStr">
        <is>
          <t>BOLLNÄS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17093-2026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46114</v>
      </c>
      <c r="E1142" s="1" t="n">
        <v>46296</v>
      </c>
      <c r="F1142" t="inlineStr">
        <is>
          <t>GÄVLEBORGS LÄN</t>
        </is>
      </c>
      <c r="G1142" t="inlineStr">
        <is>
          <t>BOLLNÄS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16700-2026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46113</v>
      </c>
      <c r="E1143" s="1" t="n">
        <v>46296</v>
      </c>
      <c r="F1143" t="inlineStr">
        <is>
          <t>GÄVLEBORGS LÄN</t>
        </is>
      </c>
      <c r="G1143" t="inlineStr">
        <is>
          <t>BOLLNÄS</t>
        </is>
      </c>
      <c r="I1143" t="n">
        <v>3.5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17187-2026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46117</v>
      </c>
      <c r="E1144" s="1" t="n">
        <v>46296</v>
      </c>
      <c r="F1144" t="inlineStr">
        <is>
          <t>GÄVLEBORGS LÄN</t>
        </is>
      </c>
      <c r="G1144" t="inlineStr">
        <is>
          <t>BOLLNÄS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17279-2026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46119</v>
      </c>
      <c r="E1145" s="1" t="n">
        <v>46296</v>
      </c>
      <c r="F1145" t="inlineStr">
        <is>
          <t>GÄVLEBORGS LÄN</t>
        </is>
      </c>
      <c r="G1145" t="inlineStr">
        <is>
          <t>BOLLNÄS</t>
        </is>
      </c>
      <c r="H1145" t="inlineStr">
        <is>
          <t>Bergvik skog väst AB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11151-2026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46080</v>
      </c>
      <c r="E1146" s="1" t="n">
        <v>46296</v>
      </c>
      <c r="F1146" t="inlineStr">
        <is>
          <t>GÄVLEBORGS LÄN</t>
        </is>
      </c>
      <c r="G1146" t="inlineStr">
        <is>
          <t>BOLLNÄS</t>
        </is>
      </c>
      <c r="I1146" t="n">
        <v>4.2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17960-2026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46122</v>
      </c>
      <c r="E1147" s="1" t="n">
        <v>46296</v>
      </c>
      <c r="F1147" t="inlineStr">
        <is>
          <t>GÄVLEBORGS LÄN</t>
        </is>
      </c>
      <c r="G1147" t="inlineStr">
        <is>
          <t>BOLLNÄS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17652-2026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46121</v>
      </c>
      <c r="E1148" s="1" t="n">
        <v>46296</v>
      </c>
      <c r="F1148" t="inlineStr">
        <is>
          <t>GÄVLEBORGS LÄN</t>
        </is>
      </c>
      <c r="G1148" t="inlineStr">
        <is>
          <t>BOLLNÄS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17647-2026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46121</v>
      </c>
      <c r="E1149" s="1" t="n">
        <v>46296</v>
      </c>
      <c r="F1149" t="inlineStr">
        <is>
          <t>GÄVLEBORGS LÄN</t>
        </is>
      </c>
      <c r="G1149" t="inlineStr">
        <is>
          <t>BOLLNÄS</t>
        </is>
      </c>
      <c r="I1149" t="n">
        <v>7.2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18088-2026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46125</v>
      </c>
      <c r="E1150" s="1" t="n">
        <v>46296</v>
      </c>
      <c r="F1150" t="inlineStr">
        <is>
          <t>GÄVLEBORGS LÄN</t>
        </is>
      </c>
      <c r="G1150" t="inlineStr">
        <is>
          <t>BOLLNÄS</t>
        </is>
      </c>
      <c r="I1150" t="n">
        <v>5.1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18010-2026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46125</v>
      </c>
      <c r="E1151" s="1" t="n">
        <v>46296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Holmen skog AB</t>
        </is>
      </c>
      <c r="I1151" t="n">
        <v>5.1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18196-2026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46125</v>
      </c>
      <c r="E1152" s="1" t="n">
        <v>46296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Bergvik skog väst AB</t>
        </is>
      </c>
      <c r="I1152" t="n">
        <v>5.7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18361-2026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46126</v>
      </c>
      <c r="E1153" s="1" t="n">
        <v>46296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Kyrkan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18364-2026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46126</v>
      </c>
      <c r="E1154" s="1" t="n">
        <v>46296</v>
      </c>
      <c r="F1154" t="inlineStr">
        <is>
          <t>GÄVLEBORGS LÄN</t>
        </is>
      </c>
      <c r="G1154" t="inlineStr">
        <is>
          <t>BOLLNÄS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18228-2026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46126</v>
      </c>
      <c r="E1155" s="1" t="n">
        <v>46296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Kyrkan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18317-2026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46126</v>
      </c>
      <c r="E1156" s="1" t="n">
        <v>46296</v>
      </c>
      <c r="F1156" t="inlineStr">
        <is>
          <t>GÄVLEBORGS LÄN</t>
        </is>
      </c>
      <c r="G1156" t="inlineStr">
        <is>
          <t>BOLLNÄS</t>
        </is>
      </c>
      <c r="I1156" t="n">
        <v>2.6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17970-2026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46123</v>
      </c>
      <c r="E1157" s="1" t="n">
        <v>46296</v>
      </c>
      <c r="F1157" t="inlineStr">
        <is>
          <t>GÄVLEBORGS LÄN</t>
        </is>
      </c>
      <c r="G1157" t="inlineStr">
        <is>
          <t>BOLLNÄS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18397-2026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46126</v>
      </c>
      <c r="E1158" s="1" t="n">
        <v>46296</v>
      </c>
      <c r="F1158" t="inlineStr">
        <is>
          <t>GÄVLEBORGS LÄN</t>
        </is>
      </c>
      <c r="G1158" t="inlineStr">
        <is>
          <t>BOLLNÄS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18195-2026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46125</v>
      </c>
      <c r="E1159" s="1" t="n">
        <v>46296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4.6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18198-2026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46125</v>
      </c>
      <c r="E1160" s="1" t="n">
        <v>46296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11.6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18211-2026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46125</v>
      </c>
      <c r="E1161" s="1" t="n">
        <v>46296</v>
      </c>
      <c r="F1161" t="inlineStr">
        <is>
          <t>GÄVLEBORGS LÄN</t>
        </is>
      </c>
      <c r="G1161" t="inlineStr">
        <is>
          <t>BOLLNÄS</t>
        </is>
      </c>
      <c r="I1161" t="n">
        <v>3.4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18721-2026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46128</v>
      </c>
      <c r="E1162" s="1" t="n">
        <v>46296</v>
      </c>
      <c r="F1162" t="inlineStr">
        <is>
          <t>GÄVLEBORGS LÄN</t>
        </is>
      </c>
      <c r="G1162" t="inlineStr">
        <is>
          <t>BOLLNÄS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18672-2026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46128</v>
      </c>
      <c r="E1163" s="1" t="n">
        <v>46296</v>
      </c>
      <c r="F1163" t="inlineStr">
        <is>
          <t>GÄVLEBORGS LÄN</t>
        </is>
      </c>
      <c r="G1163" t="inlineStr">
        <is>
          <t>BOLLNÄS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18791-2026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46128</v>
      </c>
      <c r="E1164" s="1" t="n">
        <v>46296</v>
      </c>
      <c r="F1164" t="inlineStr">
        <is>
          <t>GÄVLEBORGS LÄN</t>
        </is>
      </c>
      <c r="G1164" t="inlineStr">
        <is>
          <t>BOLLNÄS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18792-2026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46128</v>
      </c>
      <c r="E1165" s="1" t="n">
        <v>46296</v>
      </c>
      <c r="F1165" t="inlineStr">
        <is>
          <t>GÄVLEBORGS LÄN</t>
        </is>
      </c>
      <c r="G1165" t="inlineStr">
        <is>
          <t>BOLLNÄS</t>
        </is>
      </c>
      <c r="I1165" t="n">
        <v>8.9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18865-2026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46129</v>
      </c>
      <c r="E1166" s="1" t="n">
        <v>46296</v>
      </c>
      <c r="F1166" t="inlineStr">
        <is>
          <t>GÄVLEBORGS LÄN</t>
        </is>
      </c>
      <c r="G1166" t="inlineStr">
        <is>
          <t>BOLLNÄS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18768-2026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46128</v>
      </c>
      <c r="E1167" s="1" t="n">
        <v>46296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öst AB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18794-2026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46128</v>
      </c>
      <c r="E1168" s="1" t="n">
        <v>46296</v>
      </c>
      <c r="F1168" t="inlineStr">
        <is>
          <t>GÄVLEBORGS LÄN</t>
        </is>
      </c>
      <c r="G1168" t="inlineStr">
        <is>
          <t>BOLLNÄS</t>
        </is>
      </c>
      <c r="I1168" t="n">
        <v>8.800000000000001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16349-2026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46111</v>
      </c>
      <c r="E1169" s="1" t="n">
        <v>46296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öst AB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13547-2026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46094</v>
      </c>
      <c r="E1170" s="1" t="n">
        <v>46296</v>
      </c>
      <c r="F1170" t="inlineStr">
        <is>
          <t>GÄVLEBORGS LÄN</t>
        </is>
      </c>
      <c r="G1170" t="inlineStr">
        <is>
          <t>BOLLNÄS</t>
        </is>
      </c>
      <c r="I1170" t="n">
        <v>7.5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18462-2026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46127</v>
      </c>
      <c r="E1171" s="1" t="n">
        <v>46296</v>
      </c>
      <c r="F1171" t="inlineStr">
        <is>
          <t>GÄVLEBORGS LÄN</t>
        </is>
      </c>
      <c r="G1171" t="inlineStr">
        <is>
          <t>BOLLNÄS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18539-2026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46127</v>
      </c>
      <c r="E1172" s="1" t="n">
        <v>46296</v>
      </c>
      <c r="F1172" t="inlineStr">
        <is>
          <t>GÄVLEBORGS LÄN</t>
        </is>
      </c>
      <c r="G1172" t="inlineStr">
        <is>
          <t>BOLLNÄS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18842-2026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46129</v>
      </c>
      <c r="E1173" s="1" t="n">
        <v>46296</v>
      </c>
      <c r="F1173" t="inlineStr">
        <is>
          <t>GÄVLEBORGS LÄN</t>
        </is>
      </c>
      <c r="G1173" t="inlineStr">
        <is>
          <t>BOLLNÄS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18832-2026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46129</v>
      </c>
      <c r="E1174" s="1" t="n">
        <v>46296</v>
      </c>
      <c r="F1174" t="inlineStr">
        <is>
          <t>GÄVLEBORGS LÄN</t>
        </is>
      </c>
      <c r="G1174" t="inlineStr">
        <is>
          <t>BOLLNÄS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18723-2026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46128</v>
      </c>
      <c r="E1175" s="1" t="n">
        <v>46296</v>
      </c>
      <c r="F1175" t="inlineStr">
        <is>
          <t>GÄVLEBORGS LÄN</t>
        </is>
      </c>
      <c r="G1175" t="inlineStr">
        <is>
          <t>BOLLNÄS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18982-2026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46129</v>
      </c>
      <c r="E1176" s="1" t="n">
        <v>46296</v>
      </c>
      <c r="F1176" t="inlineStr">
        <is>
          <t>GÄVLEBORGS LÄN</t>
        </is>
      </c>
      <c r="G1176" t="inlineStr">
        <is>
          <t>BOLLNÄS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19288-2026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46133</v>
      </c>
      <c r="E1177" s="1" t="n">
        <v>46296</v>
      </c>
      <c r="F1177" t="inlineStr">
        <is>
          <t>GÄVLEBORGS LÄN</t>
        </is>
      </c>
      <c r="G1177" t="inlineStr">
        <is>
          <t>BOLLNÄS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19391-2026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46133</v>
      </c>
      <c r="E1178" s="1" t="n">
        <v>46296</v>
      </c>
      <c r="F1178" t="inlineStr">
        <is>
          <t>GÄVLEBORGS LÄN</t>
        </is>
      </c>
      <c r="G1178" t="inlineStr">
        <is>
          <t>BOLLNÄS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19403-2026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46133</v>
      </c>
      <c r="E1179" s="1" t="n">
        <v>46296</v>
      </c>
      <c r="F1179" t="inlineStr">
        <is>
          <t>GÄVLEBORGS LÄN</t>
        </is>
      </c>
      <c r="G1179" t="inlineStr">
        <is>
          <t>BOLLNÄS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19396-2026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46133</v>
      </c>
      <c r="E1180" s="1" t="n">
        <v>46296</v>
      </c>
      <c r="F1180" t="inlineStr">
        <is>
          <t>GÄVLEBORGS LÄN</t>
        </is>
      </c>
      <c r="G1180" t="inlineStr">
        <is>
          <t>BOLLNÄS</t>
        </is>
      </c>
      <c r="I1180" t="n">
        <v>4.5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19159-2026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46132</v>
      </c>
      <c r="E1181" s="1" t="n">
        <v>46296</v>
      </c>
      <c r="F1181" t="inlineStr">
        <is>
          <t>GÄVLEBORGS LÄN</t>
        </is>
      </c>
      <c r="G1181" t="inlineStr">
        <is>
          <t>BOLLNÄS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19340-2026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46133</v>
      </c>
      <c r="E1182" s="1" t="n">
        <v>46296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6.8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19228-2026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46132</v>
      </c>
      <c r="E1183" s="1" t="n">
        <v>46296</v>
      </c>
      <c r="F1183" t="inlineStr">
        <is>
          <t>GÄVLEBORGS LÄN</t>
        </is>
      </c>
      <c r="G1183" t="inlineStr">
        <is>
          <t>BOLLNÄS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19117-2026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46132</v>
      </c>
      <c r="E1184" s="1" t="n">
        <v>46296</v>
      </c>
      <c r="F1184" t="inlineStr">
        <is>
          <t>GÄVLEBORGS LÄN</t>
        </is>
      </c>
      <c r="G1184" t="inlineStr">
        <is>
          <t>BOLLNÄS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19234-2026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46132</v>
      </c>
      <c r="E1185" s="1" t="n">
        <v>46296</v>
      </c>
      <c r="F1185" t="inlineStr">
        <is>
          <t>GÄVLEBORGS LÄN</t>
        </is>
      </c>
      <c r="G1185" t="inlineStr">
        <is>
          <t>BOLLNÄS</t>
        </is>
      </c>
      <c r="I1185" t="n">
        <v>2.8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19333-2026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46133</v>
      </c>
      <c r="E1186" s="1" t="n">
        <v>46296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7.9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19276-2026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46133</v>
      </c>
      <c r="E1187" s="1" t="n">
        <v>46296</v>
      </c>
      <c r="F1187" t="inlineStr">
        <is>
          <t>GÄVLEBORGS LÄN</t>
        </is>
      </c>
      <c r="G1187" t="inlineStr">
        <is>
          <t>BOLLNÄS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19197-2026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46132</v>
      </c>
      <c r="E1188" s="1" t="n">
        <v>46296</v>
      </c>
      <c r="F1188" t="inlineStr">
        <is>
          <t>GÄVLEBORGS LÄN</t>
        </is>
      </c>
      <c r="G1188" t="inlineStr">
        <is>
          <t>BOLLNÄS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19284-2026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46133</v>
      </c>
      <c r="E1189" s="1" t="n">
        <v>46296</v>
      </c>
      <c r="F1189" t="inlineStr">
        <is>
          <t>GÄVLEBORGS LÄN</t>
        </is>
      </c>
      <c r="G1189" t="inlineStr">
        <is>
          <t>BOLLNÄS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19278-2026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46133</v>
      </c>
      <c r="E1190" s="1" t="n">
        <v>46296</v>
      </c>
      <c r="F1190" t="inlineStr">
        <is>
          <t>GÄVLEBORGS LÄN</t>
        </is>
      </c>
      <c r="G1190" t="inlineStr">
        <is>
          <t>BOLLNÄS</t>
        </is>
      </c>
      <c r="I1190" t="n">
        <v>2.9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19303-2026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46133</v>
      </c>
      <c r="E1191" s="1" t="n">
        <v>46296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3.9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19074-2026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46132</v>
      </c>
      <c r="E1192" s="1" t="n">
        <v>46296</v>
      </c>
      <c r="F1192" t="inlineStr">
        <is>
          <t>GÄVLEBORGS LÄN</t>
        </is>
      </c>
      <c r="G1192" t="inlineStr">
        <is>
          <t>BOLLNÄS</t>
        </is>
      </c>
      <c r="I1192" t="n">
        <v>4.2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19156-2026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46132</v>
      </c>
      <c r="E1193" s="1" t="n">
        <v>46296</v>
      </c>
      <c r="F1193" t="inlineStr">
        <is>
          <t>GÄVLEBORGS LÄN</t>
        </is>
      </c>
      <c r="G1193" t="inlineStr">
        <is>
          <t>BOLLNÄS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19188-2026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46132</v>
      </c>
      <c r="E1194" s="1" t="n">
        <v>46296</v>
      </c>
      <c r="F1194" t="inlineStr">
        <is>
          <t>GÄVLEBORGS LÄN</t>
        </is>
      </c>
      <c r="G1194" t="inlineStr">
        <is>
          <t>BOLLNÄS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19118-2026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46132</v>
      </c>
      <c r="E1195" s="1" t="n">
        <v>46296</v>
      </c>
      <c r="F1195" t="inlineStr">
        <is>
          <t>GÄVLEBORGS LÄN</t>
        </is>
      </c>
      <c r="G1195" t="inlineStr">
        <is>
          <t>BOLLNÄS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19124-2026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46132</v>
      </c>
      <c r="E1196" s="1" t="n">
        <v>46296</v>
      </c>
      <c r="F1196" t="inlineStr">
        <is>
          <t>GÄVLEBORGS LÄN</t>
        </is>
      </c>
      <c r="G1196" t="inlineStr">
        <is>
          <t>BOLLNÄS</t>
        </is>
      </c>
      <c r="I1196" t="n">
        <v>2.3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19235-2026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46132</v>
      </c>
      <c r="E1197" s="1" t="n">
        <v>46296</v>
      </c>
      <c r="F1197" t="inlineStr">
        <is>
          <t>GÄVLEBORGS LÄN</t>
        </is>
      </c>
      <c r="G1197" t="inlineStr">
        <is>
          <t>BOLLNÄS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19269-2026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46133</v>
      </c>
      <c r="E1198" s="1" t="n">
        <v>46296</v>
      </c>
      <c r="F1198" t="inlineStr">
        <is>
          <t>GÄVLEBORGS LÄN</t>
        </is>
      </c>
      <c r="G1198" t="inlineStr">
        <is>
          <t>BOLLNÄS</t>
        </is>
      </c>
      <c r="I1198" t="n">
        <v>5.3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19304-2026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46133</v>
      </c>
      <c r="E1199" s="1" t="n">
        <v>46296</v>
      </c>
      <c r="F1199" t="inlineStr">
        <is>
          <t>GÄVLEBORGS LÄN</t>
        </is>
      </c>
      <c r="G1199" t="inlineStr">
        <is>
          <t>BOLLNÄS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16587-2026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46112</v>
      </c>
      <c r="E1200" s="1" t="n">
        <v>46296</v>
      </c>
      <c r="F1200" t="inlineStr">
        <is>
          <t>GÄVLEBORGS LÄN</t>
        </is>
      </c>
      <c r="G1200" t="inlineStr">
        <is>
          <t>BOLLNÄS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13167-2026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46093</v>
      </c>
      <c r="E1201" s="1" t="n">
        <v>46296</v>
      </c>
      <c r="F1201" t="inlineStr">
        <is>
          <t>GÄVLEBORGS LÄN</t>
        </is>
      </c>
      <c r="G1201" t="inlineStr">
        <is>
          <t>BOLLNÄS</t>
        </is>
      </c>
      <c r="I1201" t="n">
        <v>7.6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19075-2026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46132</v>
      </c>
      <c r="E1202" s="1" t="n">
        <v>46296</v>
      </c>
      <c r="F1202" t="inlineStr">
        <is>
          <t>GÄVLEBORGS LÄN</t>
        </is>
      </c>
      <c r="G1202" t="inlineStr">
        <is>
          <t>BOLLNÄS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19279-2026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46133</v>
      </c>
      <c r="E1203" s="1" t="n">
        <v>46296</v>
      </c>
      <c r="F1203" t="inlineStr">
        <is>
          <t>GÄVLEBORGS LÄN</t>
        </is>
      </c>
      <c r="G1203" t="inlineStr">
        <is>
          <t>BOLLNÄS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19163-2026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46132</v>
      </c>
      <c r="E1204" s="1" t="n">
        <v>46296</v>
      </c>
      <c r="F1204" t="inlineStr">
        <is>
          <t>GÄVLEBORGS LÄN</t>
        </is>
      </c>
      <c r="G1204" t="inlineStr">
        <is>
          <t>BOLLNÄS</t>
        </is>
      </c>
      <c r="I1204" t="n">
        <v>14.1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19169-2026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46132</v>
      </c>
      <c r="E1205" s="1" t="n">
        <v>46296</v>
      </c>
      <c r="F1205" t="inlineStr">
        <is>
          <t>GÄVLEBORGS LÄN</t>
        </is>
      </c>
      <c r="G1205" t="inlineStr">
        <is>
          <t>BOLLNÄS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19115-2026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46132</v>
      </c>
      <c r="E1206" s="1" t="n">
        <v>46296</v>
      </c>
      <c r="F1206" t="inlineStr">
        <is>
          <t>GÄVLEBORGS LÄN</t>
        </is>
      </c>
      <c r="G1206" t="inlineStr">
        <is>
          <t>BOLLNÄS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19399-2026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46133</v>
      </c>
      <c r="E1207" s="1" t="n">
        <v>46296</v>
      </c>
      <c r="F1207" t="inlineStr">
        <is>
          <t>GÄVLEBORGS LÄN</t>
        </is>
      </c>
      <c r="G1207" t="inlineStr">
        <is>
          <t>BOLLNÄS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19402-2026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46133</v>
      </c>
      <c r="E1208" s="1" t="n">
        <v>46296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19409-2026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46133</v>
      </c>
      <c r="E1209" s="1" t="n">
        <v>46296</v>
      </c>
      <c r="F1209" t="inlineStr">
        <is>
          <t>GÄVLEBORGS LÄN</t>
        </is>
      </c>
      <c r="G1209" t="inlineStr">
        <is>
          <t>BOLLNÄS</t>
        </is>
      </c>
      <c r="I1209" t="n">
        <v>0.2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19412-2026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46133</v>
      </c>
      <c r="E1210" s="1" t="n">
        <v>46296</v>
      </c>
      <c r="F1210" t="inlineStr">
        <is>
          <t>GÄVLEBORGS LÄN</t>
        </is>
      </c>
      <c r="G1210" t="inlineStr">
        <is>
          <t>BOLLNÄS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19125-2026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46132</v>
      </c>
      <c r="E1211" s="1" t="n">
        <v>46296</v>
      </c>
      <c r="F1211" t="inlineStr">
        <is>
          <t>GÄVLEBORGS LÄN</t>
        </is>
      </c>
      <c r="G1211" t="inlineStr">
        <is>
          <t>BOLLNÄS</t>
        </is>
      </c>
      <c r="I1211" t="n">
        <v>6.3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19127-2026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46132</v>
      </c>
      <c r="E1212" s="1" t="n">
        <v>46296</v>
      </c>
      <c r="F1212" t="inlineStr">
        <is>
          <t>GÄVLEBORGS LÄN</t>
        </is>
      </c>
      <c r="G1212" t="inlineStr">
        <is>
          <t>BOLLNÄS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19168-2026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46132</v>
      </c>
      <c r="E1213" s="1" t="n">
        <v>46296</v>
      </c>
      <c r="F1213" t="inlineStr">
        <is>
          <t>GÄVLEBORGS LÄN</t>
        </is>
      </c>
      <c r="G1213" t="inlineStr">
        <is>
          <t>BOLLNÄS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10772-2026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46078</v>
      </c>
      <c r="E1214" s="1" t="n">
        <v>46296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19413-2026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46133</v>
      </c>
      <c r="E1215" s="1" t="n">
        <v>46296</v>
      </c>
      <c r="F1215" t="inlineStr">
        <is>
          <t>GÄVLEBORGS LÄN</t>
        </is>
      </c>
      <c r="G1215" t="inlineStr">
        <is>
          <t>BOLLNÄS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19507-2026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46134</v>
      </c>
      <c r="E1216" s="1" t="n">
        <v>46296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19534-2026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46134</v>
      </c>
      <c r="E1217" s="1" t="n">
        <v>46296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6024-2026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46052</v>
      </c>
      <c r="E1218" s="1" t="n">
        <v>46296</v>
      </c>
      <c r="F1218" t="inlineStr">
        <is>
          <t>GÄVLEBORGS LÄN</t>
        </is>
      </c>
      <c r="G1218" t="inlineStr">
        <is>
          <t>BOLLNÄS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14691-2026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46101</v>
      </c>
      <c r="E1219" s="1" t="n">
        <v>46296</v>
      </c>
      <c r="F1219" t="inlineStr">
        <is>
          <t>GÄVLEBORGS LÄN</t>
        </is>
      </c>
      <c r="G1219" t="inlineStr">
        <is>
          <t>BOLLNÄS</t>
        </is>
      </c>
      <c r="I1219" t="n">
        <v>5.6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19487-2026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46134</v>
      </c>
      <c r="E1220" s="1" t="n">
        <v>46296</v>
      </c>
      <c r="F1220" t="inlineStr">
        <is>
          <t>GÄVLEBORGS LÄN</t>
        </is>
      </c>
      <c r="G1220" t="inlineStr">
        <is>
          <t>BOLLNÄS</t>
        </is>
      </c>
      <c r="I1220" t="n">
        <v>3.2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16462-2026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46112</v>
      </c>
      <c r="E1221" s="1" t="n">
        <v>46296</v>
      </c>
      <c r="F1221" t="inlineStr">
        <is>
          <t>GÄVLEBORGS LÄN</t>
        </is>
      </c>
      <c r="G1221" t="inlineStr">
        <is>
          <t>BOLLNÄS</t>
        </is>
      </c>
      <c r="I1221" t="n">
        <v>11.8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19395-2026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46133</v>
      </c>
      <c r="E1222" s="1" t="n">
        <v>46296</v>
      </c>
      <c r="F1222" t="inlineStr">
        <is>
          <t>GÄVLEBORGS LÄN</t>
        </is>
      </c>
      <c r="G1222" t="inlineStr">
        <is>
          <t>BOLLNÄS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19323-2026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46133</v>
      </c>
      <c r="E1223" s="1" t="n">
        <v>46296</v>
      </c>
      <c r="F1223" t="inlineStr">
        <is>
          <t>GÄVLEBORGS LÄN</t>
        </is>
      </c>
      <c r="G1223" t="inlineStr">
        <is>
          <t>BOLLNÄS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19838-2026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46135</v>
      </c>
      <c r="E1224" s="1" t="n">
        <v>46296</v>
      </c>
      <c r="F1224" t="inlineStr">
        <is>
          <t>GÄVLEBORGS LÄN</t>
        </is>
      </c>
      <c r="G1224" t="inlineStr">
        <is>
          <t>BOLLNÄS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19543-2026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46134</v>
      </c>
      <c r="E1225" s="1" t="n">
        <v>46296</v>
      </c>
      <c r="F1225" t="inlineStr">
        <is>
          <t>GÄVLEBORGS LÄN</t>
        </is>
      </c>
      <c r="G1225" t="inlineStr">
        <is>
          <t>BOLLNÄS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19862-2026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46135</v>
      </c>
      <c r="E1226" s="1" t="n">
        <v>46296</v>
      </c>
      <c r="F1226" t="inlineStr">
        <is>
          <t>GÄVLEBORGS LÄN</t>
        </is>
      </c>
      <c r="G1226" t="inlineStr">
        <is>
          <t>BOLLNÄS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19654-2026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46134</v>
      </c>
      <c r="E1227" s="1" t="n">
        <v>46296</v>
      </c>
      <c r="F1227" t="inlineStr">
        <is>
          <t>GÄVLEBORGS LÄN</t>
        </is>
      </c>
      <c r="G1227" t="inlineStr">
        <is>
          <t>BOLLNÄS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19837-2026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46135</v>
      </c>
      <c r="E1228" s="1" t="n">
        <v>46296</v>
      </c>
      <c r="F1228" t="inlineStr">
        <is>
          <t>GÄVLEBORGS LÄN</t>
        </is>
      </c>
      <c r="G1228" t="inlineStr">
        <is>
          <t>BOLLNÄS</t>
        </is>
      </c>
      <c r="I1228" t="n">
        <v>0.4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19841-2026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46135</v>
      </c>
      <c r="E1229" s="1" t="n">
        <v>46296</v>
      </c>
      <c r="F1229" t="inlineStr">
        <is>
          <t>GÄVLEBORGS LÄN</t>
        </is>
      </c>
      <c r="G1229" t="inlineStr">
        <is>
          <t>BOLLNÄS</t>
        </is>
      </c>
      <c r="I1229" t="n">
        <v>5.5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19624-2026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46134</v>
      </c>
      <c r="E1230" s="1" t="n">
        <v>46296</v>
      </c>
      <c r="F1230" t="inlineStr">
        <is>
          <t>GÄVLEBORGS LÄN</t>
        </is>
      </c>
      <c r="G1230" t="inlineStr">
        <is>
          <t>BOLLNÄS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19404-2026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46133</v>
      </c>
      <c r="E1231" s="1" t="n">
        <v>46296</v>
      </c>
      <c r="F1231" t="inlineStr">
        <is>
          <t>GÄVLEBORGS LÄN</t>
        </is>
      </c>
      <c r="G1231" t="inlineStr">
        <is>
          <t>BOLLNÄS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19482-2026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46134</v>
      </c>
      <c r="E1232" s="1" t="n">
        <v>46296</v>
      </c>
      <c r="F1232" t="inlineStr">
        <is>
          <t>GÄVLEBORGS LÄN</t>
        </is>
      </c>
      <c r="G1232" t="inlineStr">
        <is>
          <t>BOLLNÄS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8800-2026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46066</v>
      </c>
      <c r="E1233" s="1" t="n">
        <v>46296</v>
      </c>
      <c r="F1233" t="inlineStr">
        <is>
          <t>GÄVLEBORGS LÄN</t>
        </is>
      </c>
      <c r="G1233" t="inlineStr">
        <is>
          <t>BOLLNÄS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13554-2026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46094</v>
      </c>
      <c r="E1234" s="1" t="n">
        <v>46296</v>
      </c>
      <c r="F1234" t="inlineStr">
        <is>
          <t>GÄVLEBORGS LÄN</t>
        </is>
      </c>
      <c r="G1234" t="inlineStr">
        <is>
          <t>BOLLNÄS</t>
        </is>
      </c>
      <c r="I1234" t="n">
        <v>6.5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19539-2026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46134</v>
      </c>
      <c r="E1235" s="1" t="n">
        <v>46296</v>
      </c>
      <c r="F1235" t="inlineStr">
        <is>
          <t>GÄVLEBORGS LÄN</t>
        </is>
      </c>
      <c r="G1235" t="inlineStr">
        <is>
          <t>BOLLNÄS</t>
        </is>
      </c>
      <c r="I1235" t="n">
        <v>10.4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19746-2026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46135</v>
      </c>
      <c r="E1236" s="1" t="n">
        <v>46296</v>
      </c>
      <c r="F1236" t="inlineStr">
        <is>
          <t>GÄVLEBORGS LÄN</t>
        </is>
      </c>
      <c r="G1236" t="inlineStr">
        <is>
          <t>BOLLNÄS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19748-2026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46135</v>
      </c>
      <c r="E1237" s="1" t="n">
        <v>46296</v>
      </c>
      <c r="F1237" t="inlineStr">
        <is>
          <t>GÄVLEBORGS LÄN</t>
        </is>
      </c>
      <c r="G1237" t="inlineStr">
        <is>
          <t>BOLLNÄS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19521-2026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46134</v>
      </c>
      <c r="E1238" s="1" t="n">
        <v>46296</v>
      </c>
      <c r="F1238" t="inlineStr">
        <is>
          <t>GÄVLEBORGS LÄN</t>
        </is>
      </c>
      <c r="G1238" t="inlineStr">
        <is>
          <t>BOLLNÄS</t>
        </is>
      </c>
      <c r="I1238" t="n">
        <v>3.5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16122-2026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46108</v>
      </c>
      <c r="E1239" s="1" t="n">
        <v>46296</v>
      </c>
      <c r="F1239" t="inlineStr">
        <is>
          <t>GÄVLEBORGS LÄN</t>
        </is>
      </c>
      <c r="G1239" t="inlineStr">
        <is>
          <t>BOLLNÄS</t>
        </is>
      </c>
      <c r="I1239" t="n">
        <v>6.3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19745-2026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46135</v>
      </c>
      <c r="E1240" s="1" t="n">
        <v>46296</v>
      </c>
      <c r="F1240" t="inlineStr">
        <is>
          <t>GÄVLEBORGS LÄN</t>
        </is>
      </c>
      <c r="G1240" t="inlineStr">
        <is>
          <t>BOLLNÄS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19750-2026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46135</v>
      </c>
      <c r="E1241" s="1" t="n">
        <v>46296</v>
      </c>
      <c r="F1241" t="inlineStr">
        <is>
          <t>GÄVLEBORGS LÄN</t>
        </is>
      </c>
      <c r="G1241" t="inlineStr">
        <is>
          <t>BOLLNÄS</t>
        </is>
      </c>
      <c r="I1241" t="n">
        <v>4.9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19747-2026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46135</v>
      </c>
      <c r="E1242" s="1" t="n">
        <v>46296</v>
      </c>
      <c r="F1242" t="inlineStr">
        <is>
          <t>GÄVLEBORGS LÄN</t>
        </is>
      </c>
      <c r="G1242" t="inlineStr">
        <is>
          <t>BOLLNÄS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19700-2026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46134</v>
      </c>
      <c r="E1243" s="1" t="n">
        <v>46296</v>
      </c>
      <c r="F1243" t="inlineStr">
        <is>
          <t>GÄVLEBORGS LÄN</t>
        </is>
      </c>
      <c r="G1243" t="inlineStr">
        <is>
          <t>BOLLNÄS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1800-2026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46035</v>
      </c>
      <c r="E1244" s="1" t="n">
        <v>46296</v>
      </c>
      <c r="F1244" t="inlineStr">
        <is>
          <t>GÄVLEBORGS LÄN</t>
        </is>
      </c>
      <c r="G1244" t="inlineStr">
        <is>
          <t>BOLLNÄS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30152-2022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44757</v>
      </c>
      <c r="E1245" s="1" t="n">
        <v>46296</v>
      </c>
      <c r="F1245" t="inlineStr">
        <is>
          <t>GÄVLEBORGS LÄN</t>
        </is>
      </c>
      <c r="G1245" t="inlineStr">
        <is>
          <t>BOLLNÄS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10413-2026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46077</v>
      </c>
      <c r="E1246" s="1" t="n">
        <v>46296</v>
      </c>
      <c r="F1246" t="inlineStr">
        <is>
          <t>GÄVLEBORGS LÄN</t>
        </is>
      </c>
      <c r="G1246" t="inlineStr">
        <is>
          <t>BOLLNÄS</t>
        </is>
      </c>
      <c r="I1246" t="n">
        <v>11.6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10043-2026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46073</v>
      </c>
      <c r="E1247" s="1" t="n">
        <v>46296</v>
      </c>
      <c r="F1247" t="inlineStr">
        <is>
          <t>GÄVLEBORGS LÄN</t>
        </is>
      </c>
      <c r="G1247" t="inlineStr">
        <is>
          <t>BOLLNÄS</t>
        </is>
      </c>
      <c r="I1247" t="n">
        <v>12.2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20192-2026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46139</v>
      </c>
      <c r="E1248" s="1" t="n">
        <v>46296</v>
      </c>
      <c r="F1248" t="inlineStr">
        <is>
          <t>GÄVLEBORGS LÄN</t>
        </is>
      </c>
      <c r="G1248" t="inlineStr">
        <is>
          <t>BOLLNÄS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8914-2026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46069</v>
      </c>
      <c r="E1249" s="1" t="n">
        <v>46296</v>
      </c>
      <c r="F1249" t="inlineStr">
        <is>
          <t>GÄVLEBORGS LÄN</t>
        </is>
      </c>
      <c r="G1249" t="inlineStr">
        <is>
          <t>BOLLNÄS</t>
        </is>
      </c>
      <c r="I1249" t="n">
        <v>37.3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15519-2026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46106</v>
      </c>
      <c r="E1250" s="1" t="n">
        <v>46296</v>
      </c>
      <c r="F1250" t="inlineStr">
        <is>
          <t>GÄVLEBORGS LÄN</t>
        </is>
      </c>
      <c r="G1250" t="inlineStr">
        <is>
          <t>BOLLNÄS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20308-2026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46139</v>
      </c>
      <c r="E1251" s="1" t="n">
        <v>46296</v>
      </c>
      <c r="F1251" t="inlineStr">
        <is>
          <t>GÄVLEBORGS LÄN</t>
        </is>
      </c>
      <c r="G1251" t="inlineStr">
        <is>
          <t>BOLLNÄS</t>
        </is>
      </c>
      <c r="I1251" t="n">
        <v>1.9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20361-2026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46139</v>
      </c>
      <c r="E1252" s="1" t="n">
        <v>46296</v>
      </c>
      <c r="F1252" t="inlineStr">
        <is>
          <t>GÄVLEBORGS LÄN</t>
        </is>
      </c>
      <c r="G1252" t="inlineStr">
        <is>
          <t>BOLLNÄS</t>
        </is>
      </c>
      <c r="I1252" t="n">
        <v>9.300000000000001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9555-2026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46071</v>
      </c>
      <c r="E1253" s="1" t="n">
        <v>46296</v>
      </c>
      <c r="F1253" t="inlineStr">
        <is>
          <t>GÄVLEBORGS LÄN</t>
        </is>
      </c>
      <c r="G1253" t="inlineStr">
        <is>
          <t>BOLLNÄS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20257-2026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46296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20153-2026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46138</v>
      </c>
      <c r="E1255" s="1" t="n">
        <v>46296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3319-2026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46041</v>
      </c>
      <c r="E1256" s="1" t="n">
        <v>46296</v>
      </c>
      <c r="F1256" t="inlineStr">
        <is>
          <t>GÄVLEBORGS LÄN</t>
        </is>
      </c>
      <c r="G1256" t="inlineStr">
        <is>
          <t>BOLLNÄS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11164-2026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46080</v>
      </c>
      <c r="E1257" s="1" t="n">
        <v>46296</v>
      </c>
      <c r="F1257" t="inlineStr">
        <is>
          <t>GÄVLEBORGS LÄN</t>
        </is>
      </c>
      <c r="G1257" t="inlineStr">
        <is>
          <t>BOLLNÄS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10204-2026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46076</v>
      </c>
      <c r="E1258" s="1" t="n">
        <v>46296</v>
      </c>
      <c r="F1258" t="inlineStr">
        <is>
          <t>GÄVLEBORGS LÄN</t>
        </is>
      </c>
      <c r="G1258" t="inlineStr">
        <is>
          <t>BOLLNÄS</t>
        </is>
      </c>
      <c r="I1258" t="n">
        <v>7.1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9697-2025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45716</v>
      </c>
      <c r="E1259" s="1" t="n">
        <v>46296</v>
      </c>
      <c r="F1259" t="inlineStr">
        <is>
          <t>GÄVLEBORGS LÄN</t>
        </is>
      </c>
      <c r="G1259" t="inlineStr">
        <is>
          <t>BOLLNÄS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12243-2026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46087</v>
      </c>
      <c r="E1260" s="1" t="n">
        <v>46296</v>
      </c>
      <c r="F1260" t="inlineStr">
        <is>
          <t>GÄVLEBORGS LÄN</t>
        </is>
      </c>
      <c r="G1260" t="inlineStr">
        <is>
          <t>BOLLNÄS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7339-2026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46058</v>
      </c>
      <c r="E1261" s="1" t="n">
        <v>46296</v>
      </c>
      <c r="F1261" t="inlineStr">
        <is>
          <t>GÄVLEBORGS LÄN</t>
        </is>
      </c>
      <c r="G1261" t="inlineStr">
        <is>
          <t>BOLLNÄS</t>
        </is>
      </c>
      <c r="I1261" t="n">
        <v>12.1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14783-2026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46101</v>
      </c>
      <c r="E1262" s="1" t="n">
        <v>46296</v>
      </c>
      <c r="F1262" t="inlineStr">
        <is>
          <t>GÄVLEBORGS LÄN</t>
        </is>
      </c>
      <c r="G1262" t="inlineStr">
        <is>
          <t>BOLLNÄS</t>
        </is>
      </c>
      <c r="I1262" t="n">
        <v>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2811-2026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46038</v>
      </c>
      <c r="E1263" s="1" t="n">
        <v>46296</v>
      </c>
      <c r="F1263" t="inlineStr">
        <is>
          <t>GÄVLEBORGS LÄN</t>
        </is>
      </c>
      <c r="G1263" t="inlineStr">
        <is>
          <t>BOLLNÄS</t>
        </is>
      </c>
      <c r="I1263" t="n">
        <v>8.6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6052-2026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46052</v>
      </c>
      <c r="E1264" s="1" t="n">
        <v>46296</v>
      </c>
      <c r="F1264" t="inlineStr">
        <is>
          <t>GÄVLEBORGS LÄN</t>
        </is>
      </c>
      <c r="G1264" t="inlineStr">
        <is>
          <t>BOLLNÄS</t>
        </is>
      </c>
      <c r="I1264" t="n">
        <v>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6850-2026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46057</v>
      </c>
      <c r="E1265" s="1" t="n">
        <v>46296</v>
      </c>
      <c r="F1265" t="inlineStr">
        <is>
          <t>GÄVLEBORGS LÄN</t>
        </is>
      </c>
      <c r="G1265" t="inlineStr">
        <is>
          <t>BOLLNÄS</t>
        </is>
      </c>
      <c r="I1265" t="n">
        <v>3.8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7878-2026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46063</v>
      </c>
      <c r="E1266" s="1" t="n">
        <v>46296</v>
      </c>
      <c r="F1266" t="inlineStr">
        <is>
          <t>GÄVLEBORGS LÄN</t>
        </is>
      </c>
      <c r="G1266" t="inlineStr">
        <is>
          <t>BOLLNÄS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15858-2026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46107</v>
      </c>
      <c r="E1267" s="1" t="n">
        <v>46296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6.4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20282-2026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46139</v>
      </c>
      <c r="E1268" s="1" t="n">
        <v>46296</v>
      </c>
      <c r="F1268" t="inlineStr">
        <is>
          <t>GÄVLEBORGS LÄN</t>
        </is>
      </c>
      <c r="G1268" t="inlineStr">
        <is>
          <t>BOLLNÄS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51797-2023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45222</v>
      </c>
      <c r="E1269" s="1" t="n">
        <v>46296</v>
      </c>
      <c r="F1269" t="inlineStr">
        <is>
          <t>GÄVLEBORGS LÄN</t>
        </is>
      </c>
      <c r="G1269" t="inlineStr">
        <is>
          <t>BOLLNÄS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15147-2023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45016</v>
      </c>
      <c r="E1270" s="1" t="n">
        <v>46296</v>
      </c>
      <c r="F1270" t="inlineStr">
        <is>
          <t>GÄVLEBORGS LÄN</t>
        </is>
      </c>
      <c r="G1270" t="inlineStr">
        <is>
          <t>BOLLNÄS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19623-2026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46134</v>
      </c>
      <c r="E1271" s="1" t="n">
        <v>46296</v>
      </c>
      <c r="F1271" t="inlineStr">
        <is>
          <t>GÄVLEBORGS LÄN</t>
        </is>
      </c>
      <c r="G1271" t="inlineStr">
        <is>
          <t>BOLLNÄS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14623-2023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45013</v>
      </c>
      <c r="E1272" s="1" t="n">
        <v>46296</v>
      </c>
      <c r="F1272" t="inlineStr">
        <is>
          <t>GÄVLEBORGS LÄN</t>
        </is>
      </c>
      <c r="G1272" t="inlineStr">
        <is>
          <t>BOLLNÄS</t>
        </is>
      </c>
      <c r="I1272" t="n">
        <v>5.3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4908-2026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46048</v>
      </c>
      <c r="E1273" s="1" t="n">
        <v>46296</v>
      </c>
      <c r="F1273" t="inlineStr">
        <is>
          <t>GÄVLEBORGS LÄN</t>
        </is>
      </c>
      <c r="G1273" t="inlineStr">
        <is>
          <t>BOLLNÄS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5876-2026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46052</v>
      </c>
      <c r="E1274" s="1" t="n">
        <v>46296</v>
      </c>
      <c r="F1274" t="inlineStr">
        <is>
          <t>GÄVLEBORGS LÄN</t>
        </is>
      </c>
      <c r="G1274" t="inlineStr">
        <is>
          <t>BOLLNÄS</t>
        </is>
      </c>
      <c r="I1274" t="n">
        <v>9.9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7309-2026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46058</v>
      </c>
      <c r="E1275" s="1" t="n">
        <v>46296</v>
      </c>
      <c r="F1275" t="inlineStr">
        <is>
          <t>GÄVLEBORGS LÄN</t>
        </is>
      </c>
      <c r="G1275" t="inlineStr">
        <is>
          <t>BOLLNÄS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1047-2026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46030</v>
      </c>
      <c r="E1276" s="1" t="n">
        <v>46296</v>
      </c>
      <c r="F1276" t="inlineStr">
        <is>
          <t>GÄVLEBORGS LÄN</t>
        </is>
      </c>
      <c r="G1276" t="inlineStr">
        <is>
          <t>BOLLNÄS</t>
        </is>
      </c>
      <c r="I1276" t="n">
        <v>32.1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7144-2026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46058</v>
      </c>
      <c r="E1277" s="1" t="n">
        <v>46296</v>
      </c>
      <c r="F1277" t="inlineStr">
        <is>
          <t>GÄVLEBORGS LÄN</t>
        </is>
      </c>
      <c r="G1277" t="inlineStr">
        <is>
          <t>BOLLNÄS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8528-2026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46065</v>
      </c>
      <c r="E1278" s="1" t="n">
        <v>46296</v>
      </c>
      <c r="F1278" t="inlineStr">
        <is>
          <t>GÄVLEBORGS LÄN</t>
        </is>
      </c>
      <c r="G1278" t="inlineStr">
        <is>
          <t>BOLLNÄS</t>
        </is>
      </c>
      <c r="I1278" t="n">
        <v>2.5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6257-2026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46055</v>
      </c>
      <c r="E1279" s="1" t="n">
        <v>46296</v>
      </c>
      <c r="F1279" t="inlineStr">
        <is>
          <t>GÄVLEBORGS LÄN</t>
        </is>
      </c>
      <c r="G1279" t="inlineStr">
        <is>
          <t>BOLLNÄS</t>
        </is>
      </c>
      <c r="I1279" t="n">
        <v>2.2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4621-2026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46048</v>
      </c>
      <c r="E1280" s="1" t="n">
        <v>46296</v>
      </c>
      <c r="F1280" t="inlineStr">
        <is>
          <t>GÄVLEBORGS LÄN</t>
        </is>
      </c>
      <c r="G1280" t="inlineStr">
        <is>
          <t>BOLLNÄS</t>
        </is>
      </c>
      <c r="I1280" t="n">
        <v>6.2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644-2026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46029</v>
      </c>
      <c r="E1281" s="1" t="n">
        <v>46296</v>
      </c>
      <c r="F1281" t="inlineStr">
        <is>
          <t>GÄVLEBORGS LÄN</t>
        </is>
      </c>
      <c r="G1281" t="inlineStr">
        <is>
          <t>BOLLNÄS</t>
        </is>
      </c>
      <c r="I1281" t="n">
        <v>24.2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49931-2023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45215</v>
      </c>
      <c r="E1282" s="1" t="n">
        <v>46296</v>
      </c>
      <c r="F1282" t="inlineStr">
        <is>
          <t>GÄVLEBORGS LÄN</t>
        </is>
      </c>
      <c r="G1282" t="inlineStr">
        <is>
          <t>BOLLNÄS</t>
        </is>
      </c>
      <c r="I1282" t="n">
        <v>5.1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8560-2026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46065</v>
      </c>
      <c r="E1283" s="1" t="n">
        <v>46296</v>
      </c>
      <c r="F1283" t="inlineStr">
        <is>
          <t>GÄVLEBORGS LÄN</t>
        </is>
      </c>
      <c r="G1283" t="inlineStr">
        <is>
          <t>BOLLNÄS</t>
        </is>
      </c>
      <c r="I1283" t="n">
        <v>8.4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4617-2026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46048</v>
      </c>
      <c r="E1284" s="1" t="n">
        <v>46296</v>
      </c>
      <c r="F1284" t="inlineStr">
        <is>
          <t>GÄVLEBORGS LÄN</t>
        </is>
      </c>
      <c r="G1284" t="inlineStr">
        <is>
          <t>BOLLNÄS</t>
        </is>
      </c>
      <c r="I1284" t="n">
        <v>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25632-2022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44732</v>
      </c>
      <c r="E1285" s="1" t="n">
        <v>46296</v>
      </c>
      <c r="F1285" t="inlineStr">
        <is>
          <t>GÄVLEBORGS LÄN</t>
        </is>
      </c>
      <c r="G1285" t="inlineStr">
        <is>
          <t>BOLLNÄS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6025-2026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46052</v>
      </c>
      <c r="E1286" s="1" t="n">
        <v>46296</v>
      </c>
      <c r="F1286" t="inlineStr">
        <is>
          <t>GÄVLEBORGS LÄN</t>
        </is>
      </c>
      <c r="G1286" t="inlineStr">
        <is>
          <t>BOLLNÄS</t>
        </is>
      </c>
      <c r="I1286" t="n">
        <v>34.4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28179-2023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45099</v>
      </c>
      <c r="E1287" s="1" t="n">
        <v>46296</v>
      </c>
      <c r="F1287" t="inlineStr">
        <is>
          <t>GÄVLEBORGS LÄN</t>
        </is>
      </c>
      <c r="G1287" t="inlineStr">
        <is>
          <t>BOLLNÄS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24742-2024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45460</v>
      </c>
      <c r="E1288" s="1" t="n">
        <v>46296</v>
      </c>
      <c r="F1288" t="inlineStr">
        <is>
          <t>GÄVLEBORGS LÄN</t>
        </is>
      </c>
      <c r="G1288" t="inlineStr">
        <is>
          <t>BOLLNÄS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20252-2026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46139</v>
      </c>
      <c r="E1289" s="1" t="n">
        <v>46296</v>
      </c>
      <c r="F1289" t="inlineStr">
        <is>
          <t>GÄVLEBORGS LÄN</t>
        </is>
      </c>
      <c r="G1289" t="inlineStr">
        <is>
          <t>BOLLNÄS</t>
        </is>
      </c>
      <c r="I1289" t="n">
        <v>6.4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7408-2026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46059</v>
      </c>
      <c r="E1290" s="1" t="n">
        <v>46296</v>
      </c>
      <c r="F1290" t="inlineStr">
        <is>
          <t>GÄVLEBORGS LÄN</t>
        </is>
      </c>
      <c r="G1290" t="inlineStr">
        <is>
          <t>BOLLNÄS</t>
        </is>
      </c>
      <c r="I1290" t="n">
        <v>10.8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10447-2026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46077</v>
      </c>
      <c r="E1291" s="1" t="n">
        <v>46296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väst AB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5995-2026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46052</v>
      </c>
      <c r="E1292" s="1" t="n">
        <v>46296</v>
      </c>
      <c r="F1292" t="inlineStr">
        <is>
          <t>GÄVLEBORGS LÄN</t>
        </is>
      </c>
      <c r="G1292" t="inlineStr">
        <is>
          <t>BOLLNÄS</t>
        </is>
      </c>
      <c r="I1292" t="n">
        <v>2.4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18438-2024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45425</v>
      </c>
      <c r="E1293" s="1" t="n">
        <v>46296</v>
      </c>
      <c r="F1293" t="inlineStr">
        <is>
          <t>GÄVLEBORGS LÄN</t>
        </is>
      </c>
      <c r="G1293" t="inlineStr">
        <is>
          <t>BOLLNÄS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20026-2026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46136</v>
      </c>
      <c r="E1294" s="1" t="n">
        <v>46296</v>
      </c>
      <c r="F1294" t="inlineStr">
        <is>
          <t>GÄVLEBORGS LÄN</t>
        </is>
      </c>
      <c r="G1294" t="inlineStr">
        <is>
          <t>BOLLNÄS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20247-2026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46139</v>
      </c>
      <c r="E1295" s="1" t="n">
        <v>46296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5.3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63877-2025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46020</v>
      </c>
      <c r="E1296" s="1" t="n">
        <v>46296</v>
      </c>
      <c r="F1296" t="inlineStr">
        <is>
          <t>GÄVLEBORGS LÄN</t>
        </is>
      </c>
      <c r="G1296" t="inlineStr">
        <is>
          <t>BOLLNÄS</t>
        </is>
      </c>
      <c r="I1296" t="n">
        <v>8.800000000000001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12595-2026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46090</v>
      </c>
      <c r="E1297" s="1" t="n">
        <v>46296</v>
      </c>
      <c r="F1297" t="inlineStr">
        <is>
          <t>GÄVLEBORGS LÄN</t>
        </is>
      </c>
      <c r="G1297" t="inlineStr">
        <is>
          <t>BOLLNÄS</t>
        </is>
      </c>
      <c r="I1297" t="n">
        <v>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4291-2026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46045</v>
      </c>
      <c r="E1298" s="1" t="n">
        <v>46296</v>
      </c>
      <c r="F1298" t="inlineStr">
        <is>
          <t>GÄVLEBORGS LÄN</t>
        </is>
      </c>
      <c r="G1298" t="inlineStr">
        <is>
          <t>BOLLNÄS</t>
        </is>
      </c>
      <c r="I1298" t="n">
        <v>14.4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20177-2026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46139</v>
      </c>
      <c r="E1299" s="1" t="n">
        <v>46296</v>
      </c>
      <c r="F1299" t="inlineStr">
        <is>
          <t>GÄVLEBORGS LÄN</t>
        </is>
      </c>
      <c r="G1299" t="inlineStr">
        <is>
          <t>BOLLNÄS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20024-2026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46136</v>
      </c>
      <c r="E1300" s="1" t="n">
        <v>46296</v>
      </c>
      <c r="F1300" t="inlineStr">
        <is>
          <t>GÄVLEBORGS LÄN</t>
        </is>
      </c>
      <c r="G1300" t="inlineStr">
        <is>
          <t>BOLLNÄS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28477-2025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45819</v>
      </c>
      <c r="E1301" s="1" t="n">
        <v>46296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20285-2026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46139</v>
      </c>
      <c r="E1302" s="1" t="n">
        <v>46296</v>
      </c>
      <c r="F1302" t="inlineStr">
        <is>
          <t>GÄVLEBORGS LÄN</t>
        </is>
      </c>
      <c r="G1302" t="inlineStr">
        <is>
          <t>BOLLNÄS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20287-2026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46139</v>
      </c>
      <c r="E1303" s="1" t="n">
        <v>46296</v>
      </c>
      <c r="F1303" t="inlineStr">
        <is>
          <t>GÄVLEBORGS LÄN</t>
        </is>
      </c>
      <c r="G1303" t="inlineStr">
        <is>
          <t>BOLLNÄS</t>
        </is>
      </c>
      <c r="I1303" t="n">
        <v>6.9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6251-2026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46055</v>
      </c>
      <c r="E1304" s="1" t="n">
        <v>46296</v>
      </c>
      <c r="F1304" t="inlineStr">
        <is>
          <t>GÄVLEBORGS LÄN</t>
        </is>
      </c>
      <c r="G1304" t="inlineStr">
        <is>
          <t>BOLLNÄS</t>
        </is>
      </c>
      <c r="I1304" t="n">
        <v>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20030-2026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46136</v>
      </c>
      <c r="E1305" s="1" t="n">
        <v>46296</v>
      </c>
      <c r="F1305" t="inlineStr">
        <is>
          <t>GÄVLEBORGS LÄN</t>
        </is>
      </c>
      <c r="G1305" t="inlineStr">
        <is>
          <t>BOLLNÄS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12342-2026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46087</v>
      </c>
      <c r="E1306" s="1" t="n">
        <v>46296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Kyrkan</t>
        </is>
      </c>
      <c r="I1306" t="n">
        <v>2.5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20028-2026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46136</v>
      </c>
      <c r="E1307" s="1" t="n">
        <v>46296</v>
      </c>
      <c r="F1307" t="inlineStr">
        <is>
          <t>GÄVLEBORGS LÄN</t>
        </is>
      </c>
      <c r="G1307" t="inlineStr">
        <is>
          <t>BOLLNÄS</t>
        </is>
      </c>
      <c r="I1307" t="n">
        <v>0.5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6430-2026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46055</v>
      </c>
      <c r="E1308" s="1" t="n">
        <v>46296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Kyrkan</t>
        </is>
      </c>
      <c r="I1308" t="n">
        <v>8.6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840-2026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46030</v>
      </c>
      <c r="E1309" s="1" t="n">
        <v>46296</v>
      </c>
      <c r="F1309" t="inlineStr">
        <is>
          <t>GÄVLEBORGS LÄN</t>
        </is>
      </c>
      <c r="G1309" t="inlineStr">
        <is>
          <t>BOLLNÄS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11335-2026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46082</v>
      </c>
      <c r="E1310" s="1" t="n">
        <v>46296</v>
      </c>
      <c r="F1310" t="inlineStr">
        <is>
          <t>GÄVLEBORGS LÄN</t>
        </is>
      </c>
      <c r="G1310" t="inlineStr">
        <is>
          <t>BOLLNÄS</t>
        </is>
      </c>
      <c r="I1310" t="n">
        <v>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20042-2026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46136</v>
      </c>
      <c r="E1311" s="1" t="n">
        <v>46296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0.5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16628-2026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46112</v>
      </c>
      <c r="E1312" s="1" t="n">
        <v>46296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16660-2026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46112</v>
      </c>
      <c r="E1313" s="1" t="n">
        <v>46296</v>
      </c>
      <c r="F1313" t="inlineStr">
        <is>
          <t>GÄVLEBORGS LÄN</t>
        </is>
      </c>
      <c r="G1313" t="inlineStr">
        <is>
          <t>BOLLNÄS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3908-2026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46043</v>
      </c>
      <c r="E1314" s="1" t="n">
        <v>46296</v>
      </c>
      <c r="F1314" t="inlineStr">
        <is>
          <t>GÄVLEBORGS LÄN</t>
        </is>
      </c>
      <c r="G1314" t="inlineStr">
        <is>
          <t>BOLLNÄS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46027</v>
      </c>
      <c r="E1315" s="1" t="n">
        <v>46296</v>
      </c>
      <c r="F1315" t="inlineStr">
        <is>
          <t>GÄVLEBORGS LÄN</t>
        </is>
      </c>
      <c r="G1315" t="inlineStr">
        <is>
          <t>BOLLNÄS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1172-2026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46031</v>
      </c>
      <c r="E1316" s="1" t="n">
        <v>46296</v>
      </c>
      <c r="F1316" t="inlineStr">
        <is>
          <t>GÄVLEBORGS LÄN</t>
        </is>
      </c>
      <c r="G1316" t="inlineStr">
        <is>
          <t>BOLLNÄS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4039-2026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46044</v>
      </c>
      <c r="E1317" s="1" t="n">
        <v>46296</v>
      </c>
      <c r="F1317" t="inlineStr">
        <is>
          <t>GÄVLEBORGS LÄN</t>
        </is>
      </c>
      <c r="G1317" t="inlineStr">
        <is>
          <t>BOLLNÄS</t>
        </is>
      </c>
      <c r="I1317" t="n">
        <v>8.9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14256-2026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46099</v>
      </c>
      <c r="E1318" s="1" t="n">
        <v>46296</v>
      </c>
      <c r="F1318" t="inlineStr">
        <is>
          <t>GÄVLEBORGS LÄN</t>
        </is>
      </c>
      <c r="G1318" t="inlineStr">
        <is>
          <t>BOLLNÄS</t>
        </is>
      </c>
      <c r="I1318" t="n">
        <v>5.3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5999-2026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46052</v>
      </c>
      <c r="E1319" s="1" t="n">
        <v>46296</v>
      </c>
      <c r="F1319" t="inlineStr">
        <is>
          <t>GÄVLEBORGS LÄN</t>
        </is>
      </c>
      <c r="G1319" t="inlineStr">
        <is>
          <t>BOLLNÄS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11656-2026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46084</v>
      </c>
      <c r="E1320" s="1" t="n">
        <v>46296</v>
      </c>
      <c r="F1320" t="inlineStr">
        <is>
          <t>GÄVLEBORGS LÄN</t>
        </is>
      </c>
      <c r="G1320" t="inlineStr">
        <is>
          <t>BOLLNÄS</t>
        </is>
      </c>
      <c r="I1320" t="n">
        <v>7.1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20227-2026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46139</v>
      </c>
      <c r="E1321" s="1" t="n">
        <v>46296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öst AB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19921-2026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46136</v>
      </c>
      <c r="E1322" s="1" t="n">
        <v>46296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öst AB</t>
        </is>
      </c>
      <c r="I1322" t="n">
        <v>7.4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3322-2026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46041</v>
      </c>
      <c r="E1323" s="1" t="n">
        <v>46296</v>
      </c>
      <c r="F1323" t="inlineStr">
        <is>
          <t>GÄVLEBORGS LÄN</t>
        </is>
      </c>
      <c r="G1323" t="inlineStr">
        <is>
          <t>BOLLNÄS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13807-2026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46098</v>
      </c>
      <c r="E1324" s="1" t="n">
        <v>46296</v>
      </c>
      <c r="F1324" t="inlineStr">
        <is>
          <t>GÄVLEBORGS LÄN</t>
        </is>
      </c>
      <c r="G1324" t="inlineStr">
        <is>
          <t>BOLLNÄS</t>
        </is>
      </c>
      <c r="I1324" t="n">
        <v>4.4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16564-2026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46112</v>
      </c>
      <c r="E1325" s="1" t="n">
        <v>46296</v>
      </c>
      <c r="F1325" t="inlineStr">
        <is>
          <t>GÄVLEBORGS LÄN</t>
        </is>
      </c>
      <c r="G1325" t="inlineStr">
        <is>
          <t>BOLLNÄS</t>
        </is>
      </c>
      <c r="I1325" t="n">
        <v>3.7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10198-2026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46076</v>
      </c>
      <c r="E1326" s="1" t="n">
        <v>46296</v>
      </c>
      <c r="F1326" t="inlineStr">
        <is>
          <t>GÄVLEBORGS LÄN</t>
        </is>
      </c>
      <c r="G1326" t="inlineStr">
        <is>
          <t>BOLLNÄS</t>
        </is>
      </c>
      <c r="I1326" t="n">
        <v>15.9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11989-2026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46085</v>
      </c>
      <c r="E1327" s="1" t="n">
        <v>46296</v>
      </c>
      <c r="F1327" t="inlineStr">
        <is>
          <t>GÄVLEBORGS LÄN</t>
        </is>
      </c>
      <c r="G1327" t="inlineStr">
        <is>
          <t>BOLLNÄS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8906-2026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46069</v>
      </c>
      <c r="E1328" s="1" t="n">
        <v>46296</v>
      </c>
      <c r="F1328" t="inlineStr">
        <is>
          <t>GÄVLEBORGS LÄN</t>
        </is>
      </c>
      <c r="G1328" t="inlineStr">
        <is>
          <t>BOLLNÄS</t>
        </is>
      </c>
      <c r="I1328" t="n">
        <v>9.300000000000001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5147-2026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46049</v>
      </c>
      <c r="E1329" s="1" t="n">
        <v>46296</v>
      </c>
      <c r="F1329" t="inlineStr">
        <is>
          <t>GÄVLEBORGS LÄN</t>
        </is>
      </c>
      <c r="G1329" t="inlineStr">
        <is>
          <t>BOLLNÄS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255-2026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46027</v>
      </c>
      <c r="E1330" s="1" t="n">
        <v>46296</v>
      </c>
      <c r="F1330" t="inlineStr">
        <is>
          <t>GÄVLEBORGS LÄN</t>
        </is>
      </c>
      <c r="G1330" t="inlineStr">
        <is>
          <t>BOLLNÄS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20154-2026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46138</v>
      </c>
      <c r="E1331" s="1" t="n">
        <v>46296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20263-2026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46139</v>
      </c>
      <c r="E1332" s="1" t="n">
        <v>46296</v>
      </c>
      <c r="F1332" t="inlineStr">
        <is>
          <t>GÄVLEBORGS LÄN</t>
        </is>
      </c>
      <c r="G1332" t="inlineStr">
        <is>
          <t>BOLLNÄS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40653-2023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45169</v>
      </c>
      <c r="E1333" s="1" t="n">
        <v>46296</v>
      </c>
      <c r="F1333" t="inlineStr">
        <is>
          <t>GÄVLEBORGS LÄN</t>
        </is>
      </c>
      <c r="G1333" t="inlineStr">
        <is>
          <t>BOLLNÄS</t>
        </is>
      </c>
      <c r="I1333" t="n">
        <v>3.5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3451-2026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46042</v>
      </c>
      <c r="E1334" s="1" t="n">
        <v>46296</v>
      </c>
      <c r="F1334" t="inlineStr">
        <is>
          <t>GÄVLEBORGS LÄN</t>
        </is>
      </c>
      <c r="G1334" t="inlineStr">
        <is>
          <t>BOLLNÄS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2404-2026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46036</v>
      </c>
      <c r="E1335" s="1" t="n">
        <v>46296</v>
      </c>
      <c r="F1335" t="inlineStr">
        <is>
          <t>GÄVLEBORGS LÄN</t>
        </is>
      </c>
      <c r="G1335" t="inlineStr">
        <is>
          <t>BOLLNÄS</t>
        </is>
      </c>
      <c r="I1335" t="n">
        <v>3.4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2064-2026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46035</v>
      </c>
      <c r="E1336" s="1" t="n">
        <v>46296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22.7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8916-2026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46069</v>
      </c>
      <c r="E1337" s="1" t="n">
        <v>46296</v>
      </c>
      <c r="F1337" t="inlineStr">
        <is>
          <t>GÄVLEBORGS LÄN</t>
        </is>
      </c>
      <c r="G1337" t="inlineStr">
        <is>
          <t>BOLLNÄS</t>
        </is>
      </c>
      <c r="I1337" t="n">
        <v>3.4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29777-2025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45825</v>
      </c>
      <c r="E1338" s="1" t="n">
        <v>46296</v>
      </c>
      <c r="F1338" t="inlineStr">
        <is>
          <t>GÄVLEBORGS LÄN</t>
        </is>
      </c>
      <c r="G1338" t="inlineStr">
        <is>
          <t>BOLLNÄS</t>
        </is>
      </c>
      <c r="I1338" t="n">
        <v>2.7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20219-2026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46139</v>
      </c>
      <c r="E1339" s="1" t="n">
        <v>46296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öst AB</t>
        </is>
      </c>
      <c r="I1339" t="n">
        <v>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20283-2026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46139</v>
      </c>
      <c r="E1340" s="1" t="n">
        <v>46296</v>
      </c>
      <c r="F1340" t="inlineStr">
        <is>
          <t>GÄVLEBORGS LÄN</t>
        </is>
      </c>
      <c r="G1340" t="inlineStr">
        <is>
          <t>BOLLNÄS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20292-2026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46139</v>
      </c>
      <c r="E1341" s="1" t="n">
        <v>46296</v>
      </c>
      <c r="F1341" t="inlineStr">
        <is>
          <t>GÄVLEBORGS LÄN</t>
        </is>
      </c>
      <c r="G1341" t="inlineStr">
        <is>
          <t>BOLLNÄS</t>
        </is>
      </c>
      <c r="I1341" t="n">
        <v>5.5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23930-2025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45795</v>
      </c>
      <c r="E1342" s="1" t="n">
        <v>46296</v>
      </c>
      <c r="F1342" t="inlineStr">
        <is>
          <t>GÄVLEBORGS LÄN</t>
        </is>
      </c>
      <c r="G1342" t="inlineStr">
        <is>
          <t>BOLLNÄS</t>
        </is>
      </c>
      <c r="I1342" t="n">
        <v>7.9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33086-2022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44785</v>
      </c>
      <c r="E1343" s="1" t="n">
        <v>46296</v>
      </c>
      <c r="F1343" t="inlineStr">
        <is>
          <t>GÄVLEBORGS LÄN</t>
        </is>
      </c>
      <c r="G1343" t="inlineStr">
        <is>
          <t>BOLLNÄS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20180-2026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46139</v>
      </c>
      <c r="E1344" s="1" t="n">
        <v>46296</v>
      </c>
      <c r="F1344" t="inlineStr">
        <is>
          <t>GÄVLEBORGS LÄN</t>
        </is>
      </c>
      <c r="G1344" t="inlineStr">
        <is>
          <t>BOLLNÄS</t>
        </is>
      </c>
      <c r="I1344" t="n">
        <v>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20236-2026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46139</v>
      </c>
      <c r="E1345" s="1" t="n">
        <v>46296</v>
      </c>
      <c r="F1345" t="inlineStr">
        <is>
          <t>GÄVLEBORGS LÄN</t>
        </is>
      </c>
      <c r="G1345" t="inlineStr">
        <is>
          <t>BOLLNÄS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37983-2025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45881</v>
      </c>
      <c r="E1346" s="1" t="n">
        <v>46296</v>
      </c>
      <c r="F1346" t="inlineStr">
        <is>
          <t>GÄVLEBORGS LÄN</t>
        </is>
      </c>
      <c r="G1346" t="inlineStr">
        <is>
          <t>BOLLNÄS</t>
        </is>
      </c>
      <c r="I1346" t="n">
        <v>7.5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7576-2026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46061</v>
      </c>
      <c r="E1347" s="1" t="n">
        <v>46296</v>
      </c>
      <c r="F1347" t="inlineStr">
        <is>
          <t>GÄVLEBORGS LÄN</t>
        </is>
      </c>
      <c r="G1347" t="inlineStr">
        <is>
          <t>BOLLNÄS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2643-2026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46037</v>
      </c>
      <c r="E1348" s="1" t="n">
        <v>46296</v>
      </c>
      <c r="F1348" t="inlineStr">
        <is>
          <t>GÄVLEBORGS LÄN</t>
        </is>
      </c>
      <c r="G1348" t="inlineStr">
        <is>
          <t>BOLLNÄS</t>
        </is>
      </c>
      <c r="I1348" t="n">
        <v>4.2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8008-2026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46063</v>
      </c>
      <c r="E1349" s="1" t="n">
        <v>46296</v>
      </c>
      <c r="F1349" t="inlineStr">
        <is>
          <t>GÄVLEBORGS LÄN</t>
        </is>
      </c>
      <c r="G1349" t="inlineStr">
        <is>
          <t>BOLLNÄS</t>
        </is>
      </c>
      <c r="I1349" t="n">
        <v>14.6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8902-2026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46068</v>
      </c>
      <c r="E1350" s="1" t="n">
        <v>46296</v>
      </c>
      <c r="F1350" t="inlineStr">
        <is>
          <t>GÄVLEBORGS LÄN</t>
        </is>
      </c>
      <c r="G1350" t="inlineStr">
        <is>
          <t>BOLLNÄS</t>
        </is>
      </c>
      <c r="I1350" t="n">
        <v>3.6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20189-2026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46139</v>
      </c>
      <c r="E1351" s="1" t="n">
        <v>46296</v>
      </c>
      <c r="F1351" t="inlineStr">
        <is>
          <t>GÄVLEBORGS LÄN</t>
        </is>
      </c>
      <c r="G1351" t="inlineStr">
        <is>
          <t>BOLLNÄS</t>
        </is>
      </c>
      <c r="I1351" t="n">
        <v>11.7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20268-2026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46139</v>
      </c>
      <c r="E1352" s="1" t="n">
        <v>46296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Kyrkan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20271-2026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46139</v>
      </c>
      <c r="E1353" s="1" t="n">
        <v>46296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Kyrkan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5577-2026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46051</v>
      </c>
      <c r="E1354" s="1" t="n">
        <v>46296</v>
      </c>
      <c r="F1354" t="inlineStr">
        <is>
          <t>GÄVLEBORGS LÄN</t>
        </is>
      </c>
      <c r="G1354" t="inlineStr">
        <is>
          <t>BOLLNÄS</t>
        </is>
      </c>
      <c r="I1354" t="n">
        <v>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8594-2026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46065</v>
      </c>
      <c r="E1355" s="1" t="n">
        <v>46296</v>
      </c>
      <c r="F1355" t="inlineStr">
        <is>
          <t>GÄVLEBORGS LÄN</t>
        </is>
      </c>
      <c r="G1355" t="inlineStr">
        <is>
          <t>BOLLNÄS</t>
        </is>
      </c>
      <c r="I1355" t="n">
        <v>17.2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9667-2026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46072</v>
      </c>
      <c r="E1356" s="1" t="n">
        <v>46296</v>
      </c>
      <c r="F1356" t="inlineStr">
        <is>
          <t>GÄVLEBORGS LÄN</t>
        </is>
      </c>
      <c r="G1356" t="inlineStr">
        <is>
          <t>BOLLNÄS</t>
        </is>
      </c>
      <c r="I1356" t="n">
        <v>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26531-2023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45092</v>
      </c>
      <c r="E1357" s="1" t="n">
        <v>46296</v>
      </c>
      <c r="F1357" t="inlineStr">
        <is>
          <t>GÄVLEBORGS LÄN</t>
        </is>
      </c>
      <c r="G1357" t="inlineStr">
        <is>
          <t>BOLLNÄS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3353-2026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46042</v>
      </c>
      <c r="E1358" s="1" t="n">
        <v>46296</v>
      </c>
      <c r="F1358" t="inlineStr">
        <is>
          <t>GÄVLEBORGS LÄN</t>
        </is>
      </c>
      <c r="G1358" t="inlineStr">
        <is>
          <t>BOLLNÄS</t>
        </is>
      </c>
      <c r="I1358" t="n">
        <v>5.5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543-2026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46029</v>
      </c>
      <c r="E1359" s="1" t="n">
        <v>46296</v>
      </c>
      <c r="F1359" t="inlineStr">
        <is>
          <t>GÄVLEBORGS LÄN</t>
        </is>
      </c>
      <c r="G1359" t="inlineStr">
        <is>
          <t>BOLLNÄS</t>
        </is>
      </c>
      <c r="I1359" t="n">
        <v>2.7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15826-2026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46107</v>
      </c>
      <c r="E1360" s="1" t="n">
        <v>46296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20222-2026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46139</v>
      </c>
      <c r="E1361" s="1" t="n">
        <v>46296</v>
      </c>
      <c r="F1361" t="inlineStr">
        <is>
          <t>GÄVLEBORGS LÄN</t>
        </is>
      </c>
      <c r="G1361" t="inlineStr">
        <is>
          <t>BOLLNÄS</t>
        </is>
      </c>
      <c r="I1361" t="n">
        <v>18.3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13808-2026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46098</v>
      </c>
      <c r="E1362" s="1" t="n">
        <v>46296</v>
      </c>
      <c r="F1362" t="inlineStr">
        <is>
          <t>GÄVLEBORGS LÄN</t>
        </is>
      </c>
      <c r="G1362" t="inlineStr">
        <is>
          <t>BOLLNÄS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825-2026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46030</v>
      </c>
      <c r="E1363" s="1" t="n">
        <v>46296</v>
      </c>
      <c r="F1363" t="inlineStr">
        <is>
          <t>GÄVLEBORGS LÄN</t>
        </is>
      </c>
      <c r="G1363" t="inlineStr">
        <is>
          <t>BOLLNÄS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20186-2026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46139</v>
      </c>
      <c r="E1364" s="1" t="n">
        <v>46296</v>
      </c>
      <c r="F1364" t="inlineStr">
        <is>
          <t>GÄVLEBORGS LÄN</t>
        </is>
      </c>
      <c r="G1364" t="inlineStr">
        <is>
          <t>BOLLNÄS</t>
        </is>
      </c>
      <c r="I1364" t="n">
        <v>0.4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6783-2026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46057</v>
      </c>
      <c r="E1365" s="1" t="n">
        <v>46296</v>
      </c>
      <c r="F1365" t="inlineStr">
        <is>
          <t>GÄVLEBORGS LÄN</t>
        </is>
      </c>
      <c r="G1365" t="inlineStr">
        <is>
          <t>BOLLNÄS</t>
        </is>
      </c>
      <c r="I1365" t="n">
        <v>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20176-2026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46139</v>
      </c>
      <c r="E1366" s="1" t="n">
        <v>46296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Kyrkan</t>
        </is>
      </c>
      <c r="I1366" t="n">
        <v>4.7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1672-2026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46034</v>
      </c>
      <c r="E1367" s="1" t="n">
        <v>46296</v>
      </c>
      <c r="F1367" t="inlineStr">
        <is>
          <t>GÄVLEBORGS LÄN</t>
        </is>
      </c>
      <c r="G1367" t="inlineStr">
        <is>
          <t>BOLLNÄS</t>
        </is>
      </c>
      <c r="I1367" t="n">
        <v>5.4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9873-2026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46073</v>
      </c>
      <c r="E1368" s="1" t="n">
        <v>46296</v>
      </c>
      <c r="F1368" t="inlineStr">
        <is>
          <t>GÄVLEBORGS LÄN</t>
        </is>
      </c>
      <c r="G1368" t="inlineStr">
        <is>
          <t>BOLLNÄS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36594-2023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45153</v>
      </c>
      <c r="E1369" s="1" t="n">
        <v>46296</v>
      </c>
      <c r="F1369" t="inlineStr">
        <is>
          <t>GÄVLEBORGS LÄN</t>
        </is>
      </c>
      <c r="G1369" t="inlineStr">
        <is>
          <t>BOLLNÄS</t>
        </is>
      </c>
      <c r="I1369" t="n">
        <v>2.6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16944-2026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46113</v>
      </c>
      <c r="E1370" s="1" t="n">
        <v>46296</v>
      </c>
      <c r="F1370" t="inlineStr">
        <is>
          <t>GÄVLEBORGS LÄN</t>
        </is>
      </c>
      <c r="G1370" t="inlineStr">
        <is>
          <t>BOLLNÄS</t>
        </is>
      </c>
      <c r="I1370" t="n">
        <v>5.3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6479-2026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46056</v>
      </c>
      <c r="E1371" s="1" t="n">
        <v>46296</v>
      </c>
      <c r="F1371" t="inlineStr">
        <is>
          <t>GÄVLEBORGS LÄN</t>
        </is>
      </c>
      <c r="G1371" t="inlineStr">
        <is>
          <t>BOLLNÄS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20264-2026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46139</v>
      </c>
      <c r="E1372" s="1" t="n">
        <v>46296</v>
      </c>
      <c r="F1372" t="inlineStr">
        <is>
          <t>GÄVLEBORGS LÄN</t>
        </is>
      </c>
      <c r="G1372" t="inlineStr">
        <is>
          <t>BOLLNÄS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63936-2025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46020</v>
      </c>
      <c r="E1373" s="1" t="n">
        <v>46296</v>
      </c>
      <c r="F1373" t="inlineStr">
        <is>
          <t>GÄVLEBORGS LÄN</t>
        </is>
      </c>
      <c r="G1373" t="inlineStr">
        <is>
          <t>BOLLNÄS</t>
        </is>
      </c>
      <c r="I1373" t="n">
        <v>48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6782-2026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46057</v>
      </c>
      <c r="E1374" s="1" t="n">
        <v>46296</v>
      </c>
      <c r="F1374" t="inlineStr">
        <is>
          <t>GÄVLEBORGS LÄN</t>
        </is>
      </c>
      <c r="G1374" t="inlineStr">
        <is>
          <t>BOLLNÄS</t>
        </is>
      </c>
      <c r="I1374" t="n">
        <v>4.1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20611-2026</t>
        </is>
      </c>
      <c r="B1375" t="inlineStr">
        <is>
          <t>avverkningsanmälan</t>
        </is>
      </c>
      <c r="C1375" t="inlineStr">
        <is>
          <t>Avverkning för att bevara och utveckla /försöksver</t>
        </is>
      </c>
      <c r="D1375" s="1" t="n">
        <v>46140</v>
      </c>
      <c r="E1375" s="1" t="n">
        <v>46296</v>
      </c>
      <c r="F1375" t="inlineStr">
        <is>
          <t>GÄVLEBORGS LÄN</t>
        </is>
      </c>
      <c r="G1375" t="inlineStr">
        <is>
          <t>BOLLNÄS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14870-2026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46104</v>
      </c>
      <c r="E1376" s="1" t="n">
        <v>46296</v>
      </c>
      <c r="F1376" t="inlineStr">
        <is>
          <t>GÄVLEBORGS LÄN</t>
        </is>
      </c>
      <c r="G1376" t="inlineStr">
        <is>
          <t>BOLLNÄS</t>
        </is>
      </c>
      <c r="I1376" t="n">
        <v>5.8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8268-2026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46064</v>
      </c>
      <c r="E1377" s="1" t="n">
        <v>46296</v>
      </c>
      <c r="F1377" t="inlineStr">
        <is>
          <t>GÄVLEBORGS LÄN</t>
        </is>
      </c>
      <c r="G1377" t="inlineStr">
        <is>
          <t>BOLLNÄS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13613-2026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46097</v>
      </c>
      <c r="E1378" s="1" t="n">
        <v>46296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Kyrkan</t>
        </is>
      </c>
      <c r="I1378" t="n">
        <v>7.1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14371-2026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46100</v>
      </c>
      <c r="E1379" s="1" t="n">
        <v>46296</v>
      </c>
      <c r="F1379" t="inlineStr">
        <is>
          <t>GÄVLEBORGS LÄN</t>
        </is>
      </c>
      <c r="G1379" t="inlineStr">
        <is>
          <t>BOLLNÄS</t>
        </is>
      </c>
      <c r="I1379" t="n">
        <v>22.8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11293-2026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46080</v>
      </c>
      <c r="E1380" s="1" t="n">
        <v>46296</v>
      </c>
      <c r="F1380" t="inlineStr">
        <is>
          <t>GÄVLEBORGS LÄN</t>
        </is>
      </c>
      <c r="G1380" t="inlineStr">
        <is>
          <t>BOLLNÄS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4986-2026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46049</v>
      </c>
      <c r="E1381" s="1" t="n">
        <v>46296</v>
      </c>
      <c r="F1381" t="inlineStr">
        <is>
          <t>GÄVLEBORGS LÄN</t>
        </is>
      </c>
      <c r="G1381" t="inlineStr">
        <is>
          <t>BOLLNÄS</t>
        </is>
      </c>
      <c r="I1381" t="n">
        <v>3.3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6096-2026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46052</v>
      </c>
      <c r="E1382" s="1" t="n">
        <v>46296</v>
      </c>
      <c r="F1382" t="inlineStr">
        <is>
          <t>GÄVLEBORGS LÄN</t>
        </is>
      </c>
      <c r="G1382" t="inlineStr">
        <is>
          <t>BOLLNÄS</t>
        </is>
      </c>
      <c r="I1382" t="n">
        <v>16.8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20483-2026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46140</v>
      </c>
      <c r="E1383" s="1" t="n">
        <v>46296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7841-2026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46062</v>
      </c>
      <c r="E1384" s="1" t="n">
        <v>46296</v>
      </c>
      <c r="F1384" t="inlineStr">
        <is>
          <t>GÄVLEBORGS LÄN</t>
        </is>
      </c>
      <c r="G1384" t="inlineStr">
        <is>
          <t>BOLLNÄS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3893-2026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46043</v>
      </c>
      <c r="E1385" s="1" t="n">
        <v>46296</v>
      </c>
      <c r="F1385" t="inlineStr">
        <is>
          <t>GÄVLEBORGS LÄN</t>
        </is>
      </c>
      <c r="G1385" t="inlineStr">
        <is>
          <t>BOLLNÄS</t>
        </is>
      </c>
      <c r="I1385" t="n">
        <v>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11545-2026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46084</v>
      </c>
      <c r="E1386" s="1" t="n">
        <v>46296</v>
      </c>
      <c r="F1386" t="inlineStr">
        <is>
          <t>GÄVLEBORGS LÄN</t>
        </is>
      </c>
      <c r="G1386" t="inlineStr">
        <is>
          <t>BOLLNÄS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9254-2026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46070</v>
      </c>
      <c r="E1387" s="1" t="n">
        <v>46296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20038-2026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46136</v>
      </c>
      <c r="E1388" s="1" t="n">
        <v>46296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öst AB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13150-2026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46093</v>
      </c>
      <c r="E1389" s="1" t="n">
        <v>46296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Sveaskog</t>
        </is>
      </c>
      <c r="I1389" t="n">
        <v>7.1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14611-2026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46101</v>
      </c>
      <c r="E1390" s="1" t="n">
        <v>46296</v>
      </c>
      <c r="F1390" t="inlineStr">
        <is>
          <t>GÄVLEBORGS LÄN</t>
        </is>
      </c>
      <c r="G1390" t="inlineStr">
        <is>
          <t>BOLLNÄS</t>
        </is>
      </c>
      <c r="I1390" t="n">
        <v>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13296-2026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46094</v>
      </c>
      <c r="E1391" s="1" t="n">
        <v>46296</v>
      </c>
      <c r="F1391" t="inlineStr">
        <is>
          <t>GÄVLEBORGS LÄN</t>
        </is>
      </c>
      <c r="G1391" t="inlineStr">
        <is>
          <t>BOLLNÄS</t>
        </is>
      </c>
      <c r="I1391" t="n">
        <v>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5551-2026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46050</v>
      </c>
      <c r="E1392" s="1" t="n">
        <v>46296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Kyrkan</t>
        </is>
      </c>
      <c r="I1392" t="n">
        <v>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4500-2026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46045</v>
      </c>
      <c r="E1393" s="1" t="n">
        <v>46296</v>
      </c>
      <c r="F1393" t="inlineStr">
        <is>
          <t>GÄVLEBORGS LÄN</t>
        </is>
      </c>
      <c r="G1393" t="inlineStr">
        <is>
          <t>BOLLNÄS</t>
        </is>
      </c>
      <c r="I1393" t="n">
        <v>3.2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10225-2026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46076</v>
      </c>
      <c r="E1394" s="1" t="n">
        <v>46296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Bergvik skog väst AB</t>
        </is>
      </c>
      <c r="I1394" t="n">
        <v>2.8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10228-2026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46076</v>
      </c>
      <c r="E1395" s="1" t="n">
        <v>46296</v>
      </c>
      <c r="F1395" t="inlineStr">
        <is>
          <t>GÄVLEBORGS LÄN</t>
        </is>
      </c>
      <c r="G1395" t="inlineStr">
        <is>
          <t>BOLLNÄS</t>
        </is>
      </c>
      <c r="I1395" t="n">
        <v>2.5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4458-2026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46045</v>
      </c>
      <c r="E1396" s="1" t="n">
        <v>46296</v>
      </c>
      <c r="F1396" t="inlineStr">
        <is>
          <t>GÄVLEBORGS LÄN</t>
        </is>
      </c>
      <c r="G1396" t="inlineStr">
        <is>
          <t>BOLLNÄS</t>
        </is>
      </c>
      <c r="I1396" t="n">
        <v>4.6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10394-2026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46077</v>
      </c>
      <c r="E1397" s="1" t="n">
        <v>46296</v>
      </c>
      <c r="F1397" t="inlineStr">
        <is>
          <t>GÄVLEBORGS LÄN</t>
        </is>
      </c>
      <c r="G1397" t="inlineStr">
        <is>
          <t>BOLLNÄS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3105-2026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46041</v>
      </c>
      <c r="E1398" s="1" t="n">
        <v>46296</v>
      </c>
      <c r="F1398" t="inlineStr">
        <is>
          <t>GÄVLEBORGS LÄN</t>
        </is>
      </c>
      <c r="G1398" t="inlineStr">
        <is>
          <t>BOLLNÄS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6476-2026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46056</v>
      </c>
      <c r="E1399" s="1" t="n">
        <v>46296</v>
      </c>
      <c r="F1399" t="inlineStr">
        <is>
          <t>GÄVLEBORGS LÄN</t>
        </is>
      </c>
      <c r="G1399" t="inlineStr">
        <is>
          <t>BOLLNÄS</t>
        </is>
      </c>
      <c r="I1399" t="n">
        <v>5.3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6491-2026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46056</v>
      </c>
      <c r="E1400" s="1" t="n">
        <v>46296</v>
      </c>
      <c r="F1400" t="inlineStr">
        <is>
          <t>GÄVLEBORGS LÄN</t>
        </is>
      </c>
      <c r="G1400" t="inlineStr">
        <is>
          <t>BOLLNÄS</t>
        </is>
      </c>
      <c r="I1400" t="n">
        <v>2.1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4960-2026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46049</v>
      </c>
      <c r="E1401" s="1" t="n">
        <v>46296</v>
      </c>
      <c r="F1401" t="inlineStr">
        <is>
          <t>GÄVLEBORGS LÄN</t>
        </is>
      </c>
      <c r="G1401" t="inlineStr">
        <is>
          <t>BOLLNÄS</t>
        </is>
      </c>
      <c r="I1401" t="n">
        <v>4.6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4737-2026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46048</v>
      </c>
      <c r="E1402" s="1" t="n">
        <v>46296</v>
      </c>
      <c r="F1402" t="inlineStr">
        <is>
          <t>GÄVLEBORGS LÄN</t>
        </is>
      </c>
      <c r="G1402" t="inlineStr">
        <is>
          <t>BOLLNÄS</t>
        </is>
      </c>
      <c r="I1402" t="n">
        <v>18.3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12945-2026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46092</v>
      </c>
      <c r="E1403" s="1" t="n">
        <v>46296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Sveaskog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20620-2026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46141</v>
      </c>
      <c r="E1404" s="1" t="n">
        <v>46296</v>
      </c>
      <c r="F1404" t="inlineStr">
        <is>
          <t>GÄVLEBORGS LÄN</t>
        </is>
      </c>
      <c r="G1404" t="inlineStr">
        <is>
          <t>BOLLNÄS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20678-2026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46141</v>
      </c>
      <c r="E1405" s="1" t="n">
        <v>46296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4.7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20724-2026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46141</v>
      </c>
      <c r="E1406" s="1" t="n">
        <v>46296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Kyrkan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45639-2023</t>
        </is>
      </c>
      <c r="B1407" t="inlineStr">
        <is>
          <t>avverkningsanmälan</t>
        </is>
      </c>
      <c r="C1407" t="inlineStr">
        <is>
          <t>Avverkning för att bevara och utveckla /försöksver</t>
        </is>
      </c>
      <c r="D1407" s="1" t="n">
        <v>45194</v>
      </c>
      <c r="E1407" s="1" t="n">
        <v>46296</v>
      </c>
      <c r="F1407" t="inlineStr">
        <is>
          <t>GÄVLEBORGS LÄN</t>
        </is>
      </c>
      <c r="G1407" t="inlineStr">
        <is>
          <t>BOLLNÄS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11519-2026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46083</v>
      </c>
      <c r="E1408" s="1" t="n">
        <v>46296</v>
      </c>
      <c r="F1408" t="inlineStr">
        <is>
          <t>GÄVLEBORGS LÄN</t>
        </is>
      </c>
      <c r="G1408" t="inlineStr">
        <is>
          <t>BOLLNÄS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20485-2026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46140</v>
      </c>
      <c r="E1409" s="1" t="n">
        <v>46296</v>
      </c>
      <c r="F1409" t="inlineStr">
        <is>
          <t>GÄVLEBORGS LÄN</t>
        </is>
      </c>
      <c r="G1409" t="inlineStr">
        <is>
          <t>BOLLNÄS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4828-2026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46048</v>
      </c>
      <c r="E1410" s="1" t="n">
        <v>46296</v>
      </c>
      <c r="F1410" t="inlineStr">
        <is>
          <t>GÄVLEBORGS LÄN</t>
        </is>
      </c>
      <c r="G1410" t="inlineStr">
        <is>
          <t>BOLLNÄS</t>
        </is>
      </c>
      <c r="I1410" t="n">
        <v>5.3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10824-2026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46078</v>
      </c>
      <c r="E1411" s="1" t="n">
        <v>46296</v>
      </c>
      <c r="F1411" t="inlineStr">
        <is>
          <t>GÄVLEBORGS LÄN</t>
        </is>
      </c>
      <c r="G1411" t="inlineStr">
        <is>
          <t>BOLLNÄS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3898-2026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46043</v>
      </c>
      <c r="E1412" s="1" t="n">
        <v>46296</v>
      </c>
      <c r="F1412" t="inlineStr">
        <is>
          <t>GÄVLEBORGS LÄN</t>
        </is>
      </c>
      <c r="G1412" t="inlineStr">
        <is>
          <t>BOLLNÄS</t>
        </is>
      </c>
      <c r="I1412" t="n">
        <v>3.6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20547-2026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46140</v>
      </c>
      <c r="E1413" s="1" t="n">
        <v>46296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20548-2026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46140</v>
      </c>
      <c r="E1414" s="1" t="n">
        <v>46296</v>
      </c>
      <c r="F1414" t="inlineStr">
        <is>
          <t>GÄVLEBORGS LÄN</t>
        </is>
      </c>
      <c r="G1414" t="inlineStr">
        <is>
          <t>BOLLNÄS</t>
        </is>
      </c>
      <c r="I1414" t="n">
        <v>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20609-2026</t>
        </is>
      </c>
      <c r="B1415" t="inlineStr">
        <is>
          <t>avverkningsanmälan</t>
        </is>
      </c>
      <c r="C1415" t="inlineStr">
        <is>
          <t>Avverkning för att bevara och utveckla /försöksver</t>
        </is>
      </c>
      <c r="D1415" s="1" t="n">
        <v>46140</v>
      </c>
      <c r="E1415" s="1" t="n">
        <v>46296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12239-2026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46087</v>
      </c>
      <c r="E1416" s="1" t="n">
        <v>46296</v>
      </c>
      <c r="F1416" t="inlineStr">
        <is>
          <t>GÄVLEBORGS LÄN</t>
        </is>
      </c>
      <c r="G1416" t="inlineStr">
        <is>
          <t>BOLLNÄS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14632-2026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46101</v>
      </c>
      <c r="E1417" s="1" t="n">
        <v>46296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Kyrkan</t>
        </is>
      </c>
      <c r="I1417" t="n">
        <v>8.1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8204-2026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46064</v>
      </c>
      <c r="E1418" s="1" t="n">
        <v>46296</v>
      </c>
      <c r="F1418" t="inlineStr">
        <is>
          <t>GÄVLEBORGS LÄN</t>
        </is>
      </c>
      <c r="G1418" t="inlineStr">
        <is>
          <t>BOLLNÄS</t>
        </is>
      </c>
      <c r="I1418" t="n">
        <v>2.8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651-2026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46029</v>
      </c>
      <c r="E1419" s="1" t="n">
        <v>46296</v>
      </c>
      <c r="F1419" t="inlineStr">
        <is>
          <t>GÄVLEBORGS LÄN</t>
        </is>
      </c>
      <c r="G1419" t="inlineStr">
        <is>
          <t>BOLLNÄS</t>
        </is>
      </c>
      <c r="I1419" t="n">
        <v>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13238-2026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46093</v>
      </c>
      <c r="E1420" s="1" t="n">
        <v>46296</v>
      </c>
      <c r="F1420" t="inlineStr">
        <is>
          <t>GÄVLEBORGS LÄN</t>
        </is>
      </c>
      <c r="G1420" t="inlineStr">
        <is>
          <t>BOLLNÄS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9495-2026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46071</v>
      </c>
      <c r="E1421" s="1" t="n">
        <v>46296</v>
      </c>
      <c r="F1421" t="inlineStr">
        <is>
          <t>GÄVLEBORGS LÄN</t>
        </is>
      </c>
      <c r="G1421" t="inlineStr">
        <is>
          <t>BOLLNÄS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4295-2026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46045</v>
      </c>
      <c r="E1422" s="1" t="n">
        <v>46296</v>
      </c>
      <c r="F1422" t="inlineStr">
        <is>
          <t>GÄVLEBORGS LÄN</t>
        </is>
      </c>
      <c r="G1422" t="inlineStr">
        <is>
          <t>BOLLNÄS</t>
        </is>
      </c>
      <c r="I1422" t="n">
        <v>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2276-2026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46036</v>
      </c>
      <c r="E1423" s="1" t="n">
        <v>46296</v>
      </c>
      <c r="F1423" t="inlineStr">
        <is>
          <t>GÄVLEBORGS LÄN</t>
        </is>
      </c>
      <c r="G1423" t="inlineStr">
        <is>
          <t>BOLLNÄS</t>
        </is>
      </c>
      <c r="I1423" t="n">
        <v>6.2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11344-2026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46082</v>
      </c>
      <c r="E1424" s="1" t="n">
        <v>46296</v>
      </c>
      <c r="F1424" t="inlineStr">
        <is>
          <t>GÄVLEBORGS LÄN</t>
        </is>
      </c>
      <c r="G1424" t="inlineStr">
        <is>
          <t>BOLLNÄS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20422-2026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46140</v>
      </c>
      <c r="E1425" s="1" t="n">
        <v>46296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20426-2026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46140</v>
      </c>
      <c r="E1426" s="1" t="n">
        <v>46296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13041-2026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46093</v>
      </c>
      <c r="E1427" s="1" t="n">
        <v>46296</v>
      </c>
      <c r="F1427" t="inlineStr">
        <is>
          <t>GÄVLEBORGS LÄN</t>
        </is>
      </c>
      <c r="G1427" t="inlineStr">
        <is>
          <t>BOLLNÄS</t>
        </is>
      </c>
      <c r="I1427" t="n">
        <v>7.6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20531-2026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46140</v>
      </c>
      <c r="E1428" s="1" t="n">
        <v>46296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5.7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8844-2026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46066</v>
      </c>
      <c r="E1429" s="1" t="n">
        <v>46296</v>
      </c>
      <c r="F1429" t="inlineStr">
        <is>
          <t>GÄVLEBORGS LÄN</t>
        </is>
      </c>
      <c r="G1429" t="inlineStr">
        <is>
          <t>BOLLNÄS</t>
        </is>
      </c>
      <c r="I1429" t="n">
        <v>3.3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9719-2026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46072</v>
      </c>
      <c r="E1430" s="1" t="n">
        <v>46296</v>
      </c>
      <c r="F1430" t="inlineStr">
        <is>
          <t>GÄVLEBORGS LÄN</t>
        </is>
      </c>
      <c r="G1430" t="inlineStr">
        <is>
          <t>BOLLNÄS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6457-2026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46056</v>
      </c>
      <c r="E1431" s="1" t="n">
        <v>46296</v>
      </c>
      <c r="F1431" t="inlineStr">
        <is>
          <t>GÄVLEBORGS LÄN</t>
        </is>
      </c>
      <c r="G1431" t="inlineStr">
        <is>
          <t>BOLLNÄS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9801-2026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46072</v>
      </c>
      <c r="E1432" s="1" t="n">
        <v>46296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Sveaskog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4770-2026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46048</v>
      </c>
      <c r="E1433" s="1" t="n">
        <v>46296</v>
      </c>
      <c r="F1433" t="inlineStr">
        <is>
          <t>GÄVLEBORGS LÄN</t>
        </is>
      </c>
      <c r="G1433" t="inlineStr">
        <is>
          <t>BOLLNÄS</t>
        </is>
      </c>
      <c r="I1433" t="n">
        <v>3.5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5653-2026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46051</v>
      </c>
      <c r="E1434" s="1" t="n">
        <v>46296</v>
      </c>
      <c r="F1434" t="inlineStr">
        <is>
          <t>GÄVLEBORGS LÄN</t>
        </is>
      </c>
      <c r="G1434" t="inlineStr">
        <is>
          <t>BOLLNÄS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8045-2026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46063</v>
      </c>
      <c r="E1435" s="1" t="n">
        <v>46296</v>
      </c>
      <c r="F1435" t="inlineStr">
        <is>
          <t>GÄVLEBORGS LÄN</t>
        </is>
      </c>
      <c r="G1435" t="inlineStr">
        <is>
          <t>BOLLNÄS</t>
        </is>
      </c>
      <c r="I1435" t="n">
        <v>25.1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12659-2026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46091</v>
      </c>
      <c r="E1436" s="1" t="n">
        <v>46296</v>
      </c>
      <c r="F1436" t="inlineStr">
        <is>
          <t>GÄVLEBORGS LÄN</t>
        </is>
      </c>
      <c r="G1436" t="inlineStr">
        <is>
          <t>BOLLNÄS</t>
        </is>
      </c>
      <c r="I1436" t="n">
        <v>8.699999999999999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20827-2026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46141</v>
      </c>
      <c r="E1437" s="1" t="n">
        <v>46296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24551-2024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45460</v>
      </c>
      <c r="E1438" s="1" t="n">
        <v>46296</v>
      </c>
      <c r="F1438" t="inlineStr">
        <is>
          <t>GÄVLEBORGS LÄN</t>
        </is>
      </c>
      <c r="G1438" t="inlineStr">
        <is>
          <t>BOLLNÄS</t>
        </is>
      </c>
      <c r="I1438" t="n">
        <v>6.8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20679-2026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46141</v>
      </c>
      <c r="E1439" s="1" t="n">
        <v>46296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4.7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14615-2026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46101</v>
      </c>
      <c r="E1440" s="1" t="n">
        <v>46296</v>
      </c>
      <c r="F1440" t="inlineStr">
        <is>
          <t>GÄVLEBORGS LÄN</t>
        </is>
      </c>
      <c r="G1440" t="inlineStr">
        <is>
          <t>BOLLNÄS</t>
        </is>
      </c>
      <c r="I1440" t="n">
        <v>2.4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15163-2026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46105</v>
      </c>
      <c r="E1441" s="1" t="n">
        <v>46296</v>
      </c>
      <c r="F1441" t="inlineStr">
        <is>
          <t>GÄVLEBORGS LÄN</t>
        </is>
      </c>
      <c r="G1441" t="inlineStr">
        <is>
          <t>BOLLNÄS</t>
        </is>
      </c>
      <c r="I1441" t="n">
        <v>10.4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12643-2026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46091</v>
      </c>
      <c r="E1442" s="1" t="n">
        <v>46296</v>
      </c>
      <c r="F1442" t="inlineStr">
        <is>
          <t>GÄVLEBORGS LÄN</t>
        </is>
      </c>
      <c r="G1442" t="inlineStr">
        <is>
          <t>BOLLNÄS</t>
        </is>
      </c>
      <c r="I1442" t="n">
        <v>13.9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9216-2026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46070</v>
      </c>
      <c r="E1443" s="1" t="n">
        <v>46296</v>
      </c>
      <c r="F1443" t="inlineStr">
        <is>
          <t>GÄVLEBORGS LÄN</t>
        </is>
      </c>
      <c r="G1443" t="inlineStr">
        <is>
          <t>BOLLNÄS</t>
        </is>
      </c>
      <c r="I1443" t="n">
        <v>6.8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19392-2026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46133</v>
      </c>
      <c r="E1444" s="1" t="n">
        <v>46296</v>
      </c>
      <c r="F1444" t="inlineStr">
        <is>
          <t>GÄVLEBORGS LÄN</t>
        </is>
      </c>
      <c r="G1444" t="inlineStr">
        <is>
          <t>BOLLNÄS</t>
        </is>
      </c>
      <c r="I1444" t="n">
        <v>3.3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728-2026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46029</v>
      </c>
      <c r="E1445" s="1" t="n">
        <v>46296</v>
      </c>
      <c r="F1445" t="inlineStr">
        <is>
          <t>GÄVLEBORGS LÄN</t>
        </is>
      </c>
      <c r="G1445" t="inlineStr">
        <is>
          <t>BOLLNÄS</t>
        </is>
      </c>
      <c r="I1445" t="n">
        <v>12.9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2910-2026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46038</v>
      </c>
      <c r="E1446" s="1" t="n">
        <v>46296</v>
      </c>
      <c r="F1446" t="inlineStr">
        <is>
          <t>GÄVLEBORGS LÄN</t>
        </is>
      </c>
      <c r="G1446" t="inlineStr">
        <is>
          <t>BOLLNÄS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1389-2026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46031</v>
      </c>
      <c r="E1447" s="1" t="n">
        <v>46296</v>
      </c>
      <c r="F1447" t="inlineStr">
        <is>
          <t>GÄVLEBORGS LÄN</t>
        </is>
      </c>
      <c r="G1447" t="inlineStr">
        <is>
          <t>BOLLNÄS</t>
        </is>
      </c>
      <c r="I1447" t="n">
        <v>3.2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13862-2026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46098</v>
      </c>
      <c r="E1448" s="1" t="n">
        <v>46296</v>
      </c>
      <c r="F1448" t="inlineStr">
        <is>
          <t>GÄVLEBORGS LÄN</t>
        </is>
      </c>
      <c r="G1448" t="inlineStr">
        <is>
          <t>BOLLNÄS</t>
        </is>
      </c>
      <c r="I1448" t="n">
        <v>2.5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5996-2026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46052</v>
      </c>
      <c r="E1449" s="1" t="n">
        <v>46296</v>
      </c>
      <c r="F1449" t="inlineStr">
        <is>
          <t>GÄVLEBORGS LÄN</t>
        </is>
      </c>
      <c r="G1449" t="inlineStr">
        <is>
          <t>BOLLNÄS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20828-2026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46141</v>
      </c>
      <c r="E1450" s="1" t="n">
        <v>46296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1.7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5072-2026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46049</v>
      </c>
      <c r="E1451" s="1" t="n">
        <v>46296</v>
      </c>
      <c r="F1451" t="inlineStr">
        <is>
          <t>GÄVLEBORGS LÄN</t>
        </is>
      </c>
      <c r="G1451" t="inlineStr">
        <is>
          <t>BOLLNÄS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5869-2026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46052</v>
      </c>
      <c r="E1452" s="1" t="n">
        <v>46296</v>
      </c>
      <c r="F1452" t="inlineStr">
        <is>
          <t>GÄVLEBORGS LÄN</t>
        </is>
      </c>
      <c r="G1452" t="inlineStr">
        <is>
          <t>BOLLNÄS</t>
        </is>
      </c>
      <c r="I1452" t="n">
        <v>2.3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20726-2026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46141</v>
      </c>
      <c r="E1453" s="1" t="n">
        <v>46296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Kyrkan</t>
        </is>
      </c>
      <c r="I1453" t="n">
        <v>0.4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20766-2026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46141</v>
      </c>
      <c r="E1454" s="1" t="n">
        <v>46296</v>
      </c>
      <c r="F1454" t="inlineStr">
        <is>
          <t>GÄVLEBORGS LÄN</t>
        </is>
      </c>
      <c r="G1454" t="inlineStr">
        <is>
          <t>BOLLNÄS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5355-2026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46050</v>
      </c>
      <c r="E1455" s="1" t="n">
        <v>46296</v>
      </c>
      <c r="F1455" t="inlineStr">
        <is>
          <t>GÄVLEBORGS LÄN</t>
        </is>
      </c>
      <c r="G1455" t="inlineStr">
        <is>
          <t>BOLLNÄS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9755-2026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46072</v>
      </c>
      <c r="E1456" s="1" t="n">
        <v>46296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Sveaskog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2748-2026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46038</v>
      </c>
      <c r="E1457" s="1" t="n">
        <v>46296</v>
      </c>
      <c r="F1457" t="inlineStr">
        <is>
          <t>GÄVLEBORGS LÄN</t>
        </is>
      </c>
      <c r="G1457" t="inlineStr">
        <is>
          <t>BOLLNÄS</t>
        </is>
      </c>
      <c r="I1457" t="n">
        <v>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8966-2026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46069</v>
      </c>
      <c r="E1458" s="1" t="n">
        <v>46296</v>
      </c>
      <c r="F1458" t="inlineStr">
        <is>
          <t>GÄVLEBORGS LÄN</t>
        </is>
      </c>
      <c r="G1458" t="inlineStr">
        <is>
          <t>BOLLNÄS</t>
        </is>
      </c>
      <c r="I1458" t="n">
        <v>2.3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2513-2026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46037</v>
      </c>
      <c r="E1459" s="1" t="n">
        <v>46296</v>
      </c>
      <c r="F1459" t="inlineStr">
        <is>
          <t>GÄVLEBORGS LÄN</t>
        </is>
      </c>
      <c r="G1459" t="inlineStr">
        <is>
          <t>BOLLNÄS</t>
        </is>
      </c>
      <c r="I1459" t="n">
        <v>4.4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40453-2024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45555</v>
      </c>
      <c r="E1460" s="1" t="n">
        <v>46296</v>
      </c>
      <c r="F1460" t="inlineStr">
        <is>
          <t>GÄVLEBORGS LÄN</t>
        </is>
      </c>
      <c r="G1460" t="inlineStr">
        <is>
          <t>BOLLNÄS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15514-2026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46106</v>
      </c>
      <c r="E1461" s="1" t="n">
        <v>46296</v>
      </c>
      <c r="F1461" t="inlineStr">
        <is>
          <t>GÄVLEBORGS LÄN</t>
        </is>
      </c>
      <c r="G1461" t="inlineStr">
        <is>
          <t>BOLLNÄS</t>
        </is>
      </c>
      <c r="I1461" t="n">
        <v>7.5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13625-2026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46097</v>
      </c>
      <c r="E1462" s="1" t="n">
        <v>46296</v>
      </c>
      <c r="F1462" t="inlineStr">
        <is>
          <t>GÄVLEBORGS LÄN</t>
        </is>
      </c>
      <c r="G1462" t="inlineStr">
        <is>
          <t>BOLLNÄS</t>
        </is>
      </c>
      <c r="I1462" t="n">
        <v>3.6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20413-2026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46140</v>
      </c>
      <c r="E1463" s="1" t="n">
        <v>46296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250-2026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46027</v>
      </c>
      <c r="E1464" s="1" t="n">
        <v>46296</v>
      </c>
      <c r="F1464" t="inlineStr">
        <is>
          <t>GÄVLEBORGS LÄN</t>
        </is>
      </c>
      <c r="G1464" t="inlineStr">
        <is>
          <t>BOLLNÄS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20767-2026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46141</v>
      </c>
      <c r="E1465" s="1" t="n">
        <v>46296</v>
      </c>
      <c r="F1465" t="inlineStr">
        <is>
          <t>GÄVLEBORGS LÄN</t>
        </is>
      </c>
      <c r="G1465" t="inlineStr">
        <is>
          <t>BOLLNÄS</t>
        </is>
      </c>
      <c r="I1465" t="n">
        <v>3.2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20770-2026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46141</v>
      </c>
      <c r="E1466" s="1" t="n">
        <v>46296</v>
      </c>
      <c r="F1466" t="inlineStr">
        <is>
          <t>GÄVLEBORGS LÄN</t>
        </is>
      </c>
      <c r="G1466" t="inlineStr">
        <is>
          <t>BOLLNÄS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12372-2026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46090</v>
      </c>
      <c r="E1467" s="1" t="n">
        <v>46296</v>
      </c>
      <c r="F1467" t="inlineStr">
        <is>
          <t>GÄVLEBORGS LÄN</t>
        </is>
      </c>
      <c r="G1467" t="inlineStr">
        <is>
          <t>BOLLNÄS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11139-2026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46079</v>
      </c>
      <c r="E1468" s="1" t="n">
        <v>46296</v>
      </c>
      <c r="F1468" t="inlineStr">
        <is>
          <t>GÄVLEBORGS LÄN</t>
        </is>
      </c>
      <c r="G1468" t="inlineStr">
        <is>
          <t>BOLLNÄS</t>
        </is>
      </c>
      <c r="I1468" t="n">
        <v>3.9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20447-2026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46140</v>
      </c>
      <c r="E1469" s="1" t="n">
        <v>46296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8148-2026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46064</v>
      </c>
      <c r="E1470" s="1" t="n">
        <v>46296</v>
      </c>
      <c r="F1470" t="inlineStr">
        <is>
          <t>GÄVLEBORGS LÄN</t>
        </is>
      </c>
      <c r="G1470" t="inlineStr">
        <is>
          <t>BOLLNÄS</t>
        </is>
      </c>
      <c r="I1470" t="n">
        <v>23.9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8185-2026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46064</v>
      </c>
      <c r="E1471" s="1" t="n">
        <v>46296</v>
      </c>
      <c r="F1471" t="inlineStr">
        <is>
          <t>GÄVLEBORGS LÄN</t>
        </is>
      </c>
      <c r="G1471" t="inlineStr">
        <is>
          <t>BOLLNÄS</t>
        </is>
      </c>
      <c r="I1471" t="n">
        <v>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13914-2026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46098</v>
      </c>
      <c r="E1472" s="1" t="n">
        <v>46296</v>
      </c>
      <c r="F1472" t="inlineStr">
        <is>
          <t>GÄVLEBORGS LÄN</t>
        </is>
      </c>
      <c r="G1472" t="inlineStr">
        <is>
          <t>BOLLNÄS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12014-2026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46085</v>
      </c>
      <c r="E1473" s="1" t="n">
        <v>46296</v>
      </c>
      <c r="F1473" t="inlineStr">
        <is>
          <t>GÄVLEBORGS LÄN</t>
        </is>
      </c>
      <c r="G1473" t="inlineStr">
        <is>
          <t>BOLLNÄS</t>
        </is>
      </c>
      <c r="I1473" t="n">
        <v>4.9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12142-2026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46086</v>
      </c>
      <c r="E1474" s="1" t="n">
        <v>46296</v>
      </c>
      <c r="F1474" t="inlineStr">
        <is>
          <t>GÄVLEBORGS LÄN</t>
        </is>
      </c>
      <c r="G1474" t="inlineStr">
        <is>
          <t>BOLLNÄS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8938-2026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46069</v>
      </c>
      <c r="E1475" s="1" t="n">
        <v>46296</v>
      </c>
      <c r="F1475" t="inlineStr">
        <is>
          <t>GÄVLEBORGS LÄN</t>
        </is>
      </c>
      <c r="G1475" t="inlineStr">
        <is>
          <t>BOLLNÄS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9731-2026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46072</v>
      </c>
      <c r="E1476" s="1" t="n">
        <v>46296</v>
      </c>
      <c r="F1476" t="inlineStr">
        <is>
          <t>GÄVLEBORGS LÄN</t>
        </is>
      </c>
      <c r="G1476" t="inlineStr">
        <is>
          <t>BOLLNÄS</t>
        </is>
      </c>
      <c r="I1476" t="n">
        <v>13.7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10978-2026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46079</v>
      </c>
      <c r="E1477" s="1" t="n">
        <v>46296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46024</v>
      </c>
      <c r="E1478" s="1" t="n">
        <v>46296</v>
      </c>
      <c r="F1478" t="inlineStr">
        <is>
          <t>GÄVLEBORGS LÄN</t>
        </is>
      </c>
      <c r="G1478" t="inlineStr">
        <is>
          <t>BOLLNÄS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20486-2026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46140</v>
      </c>
      <c r="E1479" s="1" t="n">
        <v>46296</v>
      </c>
      <c r="F1479" t="inlineStr">
        <is>
          <t>GÄVLEBORGS LÄN</t>
        </is>
      </c>
      <c r="G1479" t="inlineStr">
        <is>
          <t>BOLLNÄS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10727-2026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46078</v>
      </c>
      <c r="E1480" s="1" t="n">
        <v>46296</v>
      </c>
      <c r="F1480" t="inlineStr">
        <is>
          <t>GÄVLEBORGS LÄN</t>
        </is>
      </c>
      <c r="G1480" t="inlineStr">
        <is>
          <t>BOLLNÄS</t>
        </is>
      </c>
      <c r="I1480" t="n">
        <v>3.6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15374-2026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46106</v>
      </c>
      <c r="E1481" s="1" t="n">
        <v>46296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Kyrkan</t>
        </is>
      </c>
      <c r="I1481" t="n">
        <v>4.7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15391-2026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46106</v>
      </c>
      <c r="E1482" s="1" t="n">
        <v>46296</v>
      </c>
      <c r="F1482" t="inlineStr">
        <is>
          <t>GÄVLEBORGS LÄN</t>
        </is>
      </c>
      <c r="G1482" t="inlineStr">
        <is>
          <t>BOLLNÄS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11546-2026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46084</v>
      </c>
      <c r="E1483" s="1" t="n">
        <v>46296</v>
      </c>
      <c r="F1483" t="inlineStr">
        <is>
          <t>GÄVLEBORGS LÄN</t>
        </is>
      </c>
      <c r="G1483" t="inlineStr">
        <is>
          <t>BOLLNÄS</t>
        </is>
      </c>
      <c r="I1483" t="n">
        <v>3.3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20032-2026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46136</v>
      </c>
      <c r="E1484" s="1" t="n">
        <v>46296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öst AB</t>
        </is>
      </c>
      <c r="I1484" t="n">
        <v>20.5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20954-2026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46142</v>
      </c>
      <c r="E1485" s="1" t="n">
        <v>46296</v>
      </c>
      <c r="F1485" t="inlineStr">
        <is>
          <t>GÄVLEBORGS LÄN</t>
        </is>
      </c>
      <c r="G1485" t="inlineStr">
        <is>
          <t>BOLLNÄS</t>
        </is>
      </c>
      <c r="I1485" t="n">
        <v>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20963-2026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46142</v>
      </c>
      <c r="E1486" s="1" t="n">
        <v>46296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20865-2026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46142</v>
      </c>
      <c r="E1487" s="1" t="n">
        <v>46296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20869-2026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46142</v>
      </c>
      <c r="E1488" s="1" t="n">
        <v>46296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20872-2026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46142</v>
      </c>
      <c r="E1489" s="1" t="n">
        <v>46296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20878-2026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46142</v>
      </c>
      <c r="E1490" s="1" t="n">
        <v>46296</v>
      </c>
      <c r="F1490" t="inlineStr">
        <is>
          <t>GÄVLEBORGS LÄN</t>
        </is>
      </c>
      <c r="G1490" t="inlineStr">
        <is>
          <t>BOLLNÄS</t>
        </is>
      </c>
      <c r="I1490" t="n">
        <v>4.3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20762-2026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46141</v>
      </c>
      <c r="E1491" s="1" t="n">
        <v>46296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20731-2026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46141</v>
      </c>
      <c r="E1492" s="1" t="n">
        <v>46296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Kyrkan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13327-2026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46094</v>
      </c>
      <c r="E1493" s="1" t="n">
        <v>46296</v>
      </c>
      <c r="F1493" t="inlineStr">
        <is>
          <t>GÄVLEBORGS LÄN</t>
        </is>
      </c>
      <c r="G1493" t="inlineStr">
        <is>
          <t>BOLLNÄS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20859-2026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46142</v>
      </c>
      <c r="E1494" s="1" t="n">
        <v>46296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20868-2026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46142</v>
      </c>
      <c r="E1495" s="1" t="n">
        <v>46296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2993-2026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46038</v>
      </c>
      <c r="E1496" s="1" t="n">
        <v>46296</v>
      </c>
      <c r="F1496" t="inlineStr">
        <is>
          <t>GÄVLEBORGS LÄN</t>
        </is>
      </c>
      <c r="G1496" t="inlineStr">
        <is>
          <t>BOLLNÄS</t>
        </is>
      </c>
      <c r="I1496" t="n">
        <v>5.2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2807-2026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46038</v>
      </c>
      <c r="E1497" s="1" t="n">
        <v>46296</v>
      </c>
      <c r="F1497" t="inlineStr">
        <is>
          <t>GÄVLEBORGS LÄN</t>
        </is>
      </c>
      <c r="G1497" t="inlineStr">
        <is>
          <t>BOLLNÄS</t>
        </is>
      </c>
      <c r="I1497" t="n">
        <v>5.4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21040-2026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46146</v>
      </c>
      <c r="E1498" s="1" t="n">
        <v>46296</v>
      </c>
      <c r="F1498" t="inlineStr">
        <is>
          <t>GÄVLEBORGS LÄN</t>
        </is>
      </c>
      <c r="G1498" t="inlineStr">
        <is>
          <t>BOLLNÄS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12607-2026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46091</v>
      </c>
      <c r="E1499" s="1" t="n">
        <v>46296</v>
      </c>
      <c r="F1499" t="inlineStr">
        <is>
          <t>GÄVLEBORGS LÄN</t>
        </is>
      </c>
      <c r="G1499" t="inlineStr">
        <is>
          <t>BOLLNÄS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21038-2026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46146</v>
      </c>
      <c r="E1500" s="1" t="n">
        <v>46296</v>
      </c>
      <c r="F1500" t="inlineStr">
        <is>
          <t>GÄVLEBORGS LÄN</t>
        </is>
      </c>
      <c r="G1500" t="inlineStr">
        <is>
          <t>BOLLNÄS</t>
        </is>
      </c>
      <c r="I1500" t="n">
        <v>3.4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21101-2026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46146</v>
      </c>
      <c r="E1501" s="1" t="n">
        <v>46296</v>
      </c>
      <c r="F1501" t="inlineStr">
        <is>
          <t>GÄVLEBORGS LÄN</t>
        </is>
      </c>
      <c r="G1501" t="inlineStr">
        <is>
          <t>BOLLNÄS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21036-2026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46146</v>
      </c>
      <c r="E1502" s="1" t="n">
        <v>46296</v>
      </c>
      <c r="F1502" t="inlineStr">
        <is>
          <t>GÄVLEBORGS LÄN</t>
        </is>
      </c>
      <c r="G1502" t="inlineStr">
        <is>
          <t>BOLLNÄS</t>
        </is>
      </c>
      <c r="I1502" t="n">
        <v>4.1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6325-2026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46055</v>
      </c>
      <c r="E1503" s="1" t="n">
        <v>46296</v>
      </c>
      <c r="F1503" t="inlineStr">
        <is>
          <t>GÄVLEBORGS LÄN</t>
        </is>
      </c>
      <c r="G1503" t="inlineStr">
        <is>
          <t>BOLLNÄS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21133-2026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46146</v>
      </c>
      <c r="E1504" s="1" t="n">
        <v>46296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21241-2026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46147</v>
      </c>
      <c r="E1505" s="1" t="n">
        <v>46296</v>
      </c>
      <c r="F1505" t="inlineStr">
        <is>
          <t>GÄVLEBORGS LÄN</t>
        </is>
      </c>
      <c r="G1505" t="inlineStr">
        <is>
          <t>BOLLNÄS</t>
        </is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21242-2026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46147</v>
      </c>
      <c r="E1506" s="1" t="n">
        <v>46296</v>
      </c>
      <c r="F1506" t="inlineStr">
        <is>
          <t>GÄVLEBORGS LÄN</t>
        </is>
      </c>
      <c r="G1506" t="inlineStr">
        <is>
          <t>BOLLNÄS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2587-2026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46037</v>
      </c>
      <c r="E1507" s="1" t="n">
        <v>46296</v>
      </c>
      <c r="F1507" t="inlineStr">
        <is>
          <t>GÄVLEBORGS LÄN</t>
        </is>
      </c>
      <c r="G1507" t="inlineStr">
        <is>
          <t>BOLLNÄS</t>
        </is>
      </c>
      <c r="I1507" t="n">
        <v>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21104-2026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46146</v>
      </c>
      <c r="E1508" s="1" t="n">
        <v>46296</v>
      </c>
      <c r="F1508" t="inlineStr">
        <is>
          <t>GÄVLEBORGS LÄN</t>
        </is>
      </c>
      <c r="G1508" t="inlineStr">
        <is>
          <t>BOLLNÄS</t>
        </is>
      </c>
      <c r="I1508" t="n">
        <v>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21309-2026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46147</v>
      </c>
      <c r="E1509" s="1" t="n">
        <v>46296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21313-2026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46147</v>
      </c>
      <c r="E1510" s="1" t="n">
        <v>46296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2.5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21299-2026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46147</v>
      </c>
      <c r="E1511" s="1" t="n">
        <v>46296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2.4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21300-2026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46147</v>
      </c>
      <c r="E1512" s="1" t="n">
        <v>46296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Bergvik skog väst AB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14772-2026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46101</v>
      </c>
      <c r="E1513" s="1" t="n">
        <v>46296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Kommuner</t>
        </is>
      </c>
      <c r="I1513" t="n">
        <v>3.5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21517-2026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46148</v>
      </c>
      <c r="E1514" s="1" t="n">
        <v>46296</v>
      </c>
      <c r="F1514" t="inlineStr">
        <is>
          <t>GÄVLEBORGS LÄN</t>
        </is>
      </c>
      <c r="G1514" t="inlineStr">
        <is>
          <t>BOLLNÄS</t>
        </is>
      </c>
      <c r="I1514" t="n">
        <v>0.5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21572-2026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46148</v>
      </c>
      <c r="E1515" s="1" t="n">
        <v>46296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21691-2026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46149</v>
      </c>
      <c r="E1516" s="1" t="n">
        <v>46296</v>
      </c>
      <c r="F1516" t="inlineStr">
        <is>
          <t>GÄVLEBORGS LÄN</t>
        </is>
      </c>
      <c r="G1516" t="inlineStr">
        <is>
          <t>BOLLNÄS</t>
        </is>
      </c>
      <c r="I1516" t="n">
        <v>10.2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21715-2026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46149</v>
      </c>
      <c r="E1517" s="1" t="n">
        <v>46296</v>
      </c>
      <c r="F1517" t="inlineStr">
        <is>
          <t>GÄVLEBORGS LÄN</t>
        </is>
      </c>
      <c r="G1517" t="inlineStr">
        <is>
          <t>BOLLNÄS</t>
        </is>
      </c>
      <c r="I1517" t="n">
        <v>5.3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21550-2026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46148</v>
      </c>
      <c r="E1518" s="1" t="n">
        <v>46296</v>
      </c>
      <c r="F1518" t="inlineStr">
        <is>
          <t>GÄVLEBORGS LÄN</t>
        </is>
      </c>
      <c r="G1518" t="inlineStr">
        <is>
          <t>BOLLNÄS</t>
        </is>
      </c>
      <c r="I1518" t="n">
        <v>3.6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21633-2026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46149</v>
      </c>
      <c r="E1519" s="1" t="n">
        <v>46296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väst AB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21681-2026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46149</v>
      </c>
      <c r="E1520" s="1" t="n">
        <v>46296</v>
      </c>
      <c r="F1520" t="inlineStr">
        <is>
          <t>GÄVLEBORGS LÄN</t>
        </is>
      </c>
      <c r="G1520" t="inlineStr">
        <is>
          <t>BOLLNÄS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21741-2026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46149</v>
      </c>
      <c r="E1521" s="1" t="n">
        <v>46296</v>
      </c>
      <c r="F1521" t="inlineStr">
        <is>
          <t>GÄVLEBORGS LÄN</t>
        </is>
      </c>
      <c r="G1521" t="inlineStr">
        <is>
          <t>BOLLNÄS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21520-2026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46148</v>
      </c>
      <c r="E1522" s="1" t="n">
        <v>46296</v>
      </c>
      <c r="F1522" t="inlineStr">
        <is>
          <t>GÄVLEBORGS LÄN</t>
        </is>
      </c>
      <c r="G1522" t="inlineStr">
        <is>
          <t>BOLLNÄS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21521-2026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46148</v>
      </c>
      <c r="E1523" s="1" t="n">
        <v>46296</v>
      </c>
      <c r="F1523" t="inlineStr">
        <is>
          <t>GÄVLEBORGS LÄN</t>
        </is>
      </c>
      <c r="G1523" t="inlineStr">
        <is>
          <t>BOLLNÄS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21399-2026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46148</v>
      </c>
      <c r="E1524" s="1" t="n">
        <v>46296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0.6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21639-2026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46149</v>
      </c>
      <c r="E1525" s="1" t="n">
        <v>46296</v>
      </c>
      <c r="F1525" t="inlineStr">
        <is>
          <t>GÄVLEBORGS LÄN</t>
        </is>
      </c>
      <c r="G1525" t="inlineStr">
        <is>
          <t>BOLLNÄS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21680-2026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46149</v>
      </c>
      <c r="E1526" s="1" t="n">
        <v>46296</v>
      </c>
      <c r="F1526" t="inlineStr">
        <is>
          <t>GÄVLEBORGS LÄN</t>
        </is>
      </c>
      <c r="G1526" t="inlineStr">
        <is>
          <t>BOLLNÄS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21474-2026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46148</v>
      </c>
      <c r="E1527" s="1" t="n">
        <v>46296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2.7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10805-2026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46078</v>
      </c>
      <c r="E1528" s="1" t="n">
        <v>46296</v>
      </c>
      <c r="F1528" t="inlineStr">
        <is>
          <t>GÄVLEBORGS LÄN</t>
        </is>
      </c>
      <c r="G1528" t="inlineStr">
        <is>
          <t>BOLLNÄS</t>
        </is>
      </c>
      <c r="I1528" t="n">
        <v>9.6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21696-2026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46149</v>
      </c>
      <c r="E1529" s="1" t="n">
        <v>46296</v>
      </c>
      <c r="F1529" t="inlineStr">
        <is>
          <t>GÄVLEBORGS LÄN</t>
        </is>
      </c>
      <c r="G1529" t="inlineStr">
        <is>
          <t>BOLLNÄS</t>
        </is>
      </c>
      <c r="I1529" t="n">
        <v>6.9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21698-2026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46149</v>
      </c>
      <c r="E1530" s="1" t="n">
        <v>46296</v>
      </c>
      <c r="F1530" t="inlineStr">
        <is>
          <t>GÄVLEBORGS LÄN</t>
        </is>
      </c>
      <c r="G1530" t="inlineStr">
        <is>
          <t>BOLLNÄS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21614-2026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46149</v>
      </c>
      <c r="E1531" s="1" t="n">
        <v>46296</v>
      </c>
      <c r="F1531" t="inlineStr">
        <is>
          <t>GÄVLEBORGS LÄN</t>
        </is>
      </c>
      <c r="G1531" t="inlineStr">
        <is>
          <t>BOLLNÄS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21637-2026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46149</v>
      </c>
      <c r="E1532" s="1" t="n">
        <v>46296</v>
      </c>
      <c r="F1532" t="inlineStr">
        <is>
          <t>GÄVLEBORGS LÄN</t>
        </is>
      </c>
      <c r="G1532" t="inlineStr">
        <is>
          <t>BOLLNÄS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21510-2026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46148</v>
      </c>
      <c r="E1533" s="1" t="n">
        <v>46296</v>
      </c>
      <c r="F1533" t="inlineStr">
        <is>
          <t>GÄVLEBORGS LÄN</t>
        </is>
      </c>
      <c r="G1533" t="inlineStr">
        <is>
          <t>BOLLNÄS</t>
        </is>
      </c>
      <c r="I1533" t="n">
        <v>4.3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21555-2026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46148</v>
      </c>
      <c r="E1534" s="1" t="n">
        <v>46296</v>
      </c>
      <c r="F1534" t="inlineStr">
        <is>
          <t>GÄVLEBORGS LÄN</t>
        </is>
      </c>
      <c r="G1534" t="inlineStr">
        <is>
          <t>BOLLNÄS</t>
        </is>
      </c>
      <c r="I1534" t="n">
        <v>8.9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21666-2026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46149</v>
      </c>
      <c r="E1535" s="1" t="n">
        <v>46296</v>
      </c>
      <c r="F1535" t="inlineStr">
        <is>
          <t>GÄVLEBORGS LÄN</t>
        </is>
      </c>
      <c r="G1535" t="inlineStr">
        <is>
          <t>BOLLNÄS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21671-2026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46149</v>
      </c>
      <c r="E1536" s="1" t="n">
        <v>46296</v>
      </c>
      <c r="F1536" t="inlineStr">
        <is>
          <t>GÄVLEBORGS LÄN</t>
        </is>
      </c>
      <c r="G1536" t="inlineStr">
        <is>
          <t>BOLLNÄS</t>
        </is>
      </c>
      <c r="I1536" t="n">
        <v>8.300000000000001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21677-2026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46149</v>
      </c>
      <c r="E1537" s="1" t="n">
        <v>46296</v>
      </c>
      <c r="F1537" t="inlineStr">
        <is>
          <t>GÄVLEBORGS LÄN</t>
        </is>
      </c>
      <c r="G1537" t="inlineStr">
        <is>
          <t>BOLLNÄS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21600-2026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46149</v>
      </c>
      <c r="E1538" s="1" t="n">
        <v>46296</v>
      </c>
      <c r="F1538" t="inlineStr">
        <is>
          <t>GÄVLEBORGS LÄN</t>
        </is>
      </c>
      <c r="G1538" t="inlineStr">
        <is>
          <t>BOLLNÄS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21693-2026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46149</v>
      </c>
      <c r="E1539" s="1" t="n">
        <v>46296</v>
      </c>
      <c r="F1539" t="inlineStr">
        <is>
          <t>GÄVLEBORGS LÄN</t>
        </is>
      </c>
      <c r="G1539" t="inlineStr">
        <is>
          <t>BOLLNÄS</t>
        </is>
      </c>
      <c r="I1539" t="n">
        <v>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21485-2026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46148</v>
      </c>
      <c r="E1540" s="1" t="n">
        <v>46296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3.3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21695-2026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46149</v>
      </c>
      <c r="E1541" s="1" t="n">
        <v>46296</v>
      </c>
      <c r="F1541" t="inlineStr">
        <is>
          <t>GÄVLEBORGS LÄN</t>
        </is>
      </c>
      <c r="G1541" t="inlineStr">
        <is>
          <t>BOLLNÄS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21791-2026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46150</v>
      </c>
      <c r="E1542" s="1" t="n">
        <v>46296</v>
      </c>
      <c r="F1542" t="inlineStr">
        <is>
          <t>GÄVLEBORGS LÄN</t>
        </is>
      </c>
      <c r="G1542" t="inlineStr">
        <is>
          <t>BOLLNÄS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20451-2026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46140</v>
      </c>
      <c r="E1543" s="1" t="n">
        <v>46296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3.5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13596-2026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46097</v>
      </c>
      <c r="E1544" s="1" t="n">
        <v>46296</v>
      </c>
      <c r="F1544" t="inlineStr">
        <is>
          <t>GÄVLEBORGS LÄN</t>
        </is>
      </c>
      <c r="G1544" t="inlineStr">
        <is>
          <t>BOLLNÄS</t>
        </is>
      </c>
      <c r="I1544" t="n">
        <v>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16049-2026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46108</v>
      </c>
      <c r="E1545" s="1" t="n">
        <v>46296</v>
      </c>
      <c r="F1545" t="inlineStr">
        <is>
          <t>GÄVLEBORGS LÄN</t>
        </is>
      </c>
      <c r="G1545" t="inlineStr">
        <is>
          <t>BOLLNÄS</t>
        </is>
      </c>
      <c r="I1545" t="n">
        <v>13.8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11561-2026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46084</v>
      </c>
      <c r="E1546" s="1" t="n">
        <v>46296</v>
      </c>
      <c r="F1546" t="inlineStr">
        <is>
          <t>GÄVLEBORGS LÄN</t>
        </is>
      </c>
      <c r="G1546" t="inlineStr">
        <is>
          <t>BOLLNÄS</t>
        </is>
      </c>
      <c r="I1546" t="n">
        <v>8.199999999999999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16453-2026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46112</v>
      </c>
      <c r="E1547" s="1" t="n">
        <v>46296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Bergvik skog väst AB</t>
        </is>
      </c>
      <c r="I1547" t="n">
        <v>4.9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21764-2026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46150</v>
      </c>
      <c r="E1548" s="1" t="n">
        <v>46296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21793-2026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46150</v>
      </c>
      <c r="E1549" s="1" t="n">
        <v>46296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2.7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21920-2026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46150</v>
      </c>
      <c r="E1550" s="1" t="n">
        <v>46296</v>
      </c>
      <c r="F1550" t="inlineStr">
        <is>
          <t>GÄVLEBORGS LÄN</t>
        </is>
      </c>
      <c r="G1550" t="inlineStr">
        <is>
          <t>BOLLNÄS</t>
        </is>
      </c>
      <c r="I1550" t="n">
        <v>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21767-2026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46150</v>
      </c>
      <c r="E1551" s="1" t="n">
        <v>46296</v>
      </c>
      <c r="F1551" t="inlineStr">
        <is>
          <t>GÄVLEBORGS LÄN</t>
        </is>
      </c>
      <c r="G1551" t="inlineStr">
        <is>
          <t>BOLLNÄS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15812-2026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46107</v>
      </c>
      <c r="E1552" s="1" t="n">
        <v>46296</v>
      </c>
      <c r="F1552" t="inlineStr">
        <is>
          <t>GÄVLEBORGS LÄN</t>
        </is>
      </c>
      <c r="G1552" t="inlineStr">
        <is>
          <t>BOLLNÄS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22195-2026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46153</v>
      </c>
      <c r="E1553" s="1" t="n">
        <v>46296</v>
      </c>
      <c r="F1553" t="inlineStr">
        <is>
          <t>GÄVLEBORGS LÄN</t>
        </is>
      </c>
      <c r="G1553" t="inlineStr">
        <is>
          <t>BOLLNÄS</t>
        </is>
      </c>
      <c r="I1553" t="n">
        <v>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22065-2026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46153</v>
      </c>
      <c r="E1554" s="1" t="n">
        <v>46296</v>
      </c>
      <c r="F1554" t="inlineStr">
        <is>
          <t>GÄVLEBORGS LÄN</t>
        </is>
      </c>
      <c r="G1554" t="inlineStr">
        <is>
          <t>BOLLNÄS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7100-2026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46058</v>
      </c>
      <c r="E1555" s="1" t="n">
        <v>46296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22187-2026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46153</v>
      </c>
      <c r="E1556" s="1" t="n">
        <v>46296</v>
      </c>
      <c r="F1556" t="inlineStr">
        <is>
          <t>GÄVLEBORGS LÄN</t>
        </is>
      </c>
      <c r="G1556" t="inlineStr">
        <is>
          <t>BOLLNÄS</t>
        </is>
      </c>
      <c r="I1556" t="n">
        <v>0.6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16964-2026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46114</v>
      </c>
      <c r="E1557" s="1" t="n">
        <v>46296</v>
      </c>
      <c r="F1557" t="inlineStr">
        <is>
          <t>GÄVLEBORGS LÄN</t>
        </is>
      </c>
      <c r="G1557" t="inlineStr">
        <is>
          <t>BOLLNÄS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16965-2026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46114</v>
      </c>
      <c r="E1558" s="1" t="n">
        <v>46296</v>
      </c>
      <c r="F1558" t="inlineStr">
        <is>
          <t>GÄVLEBORGS LÄN</t>
        </is>
      </c>
      <c r="G1558" t="inlineStr">
        <is>
          <t>BOLLNÄS</t>
        </is>
      </c>
      <c r="I1558" t="n">
        <v>0.5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22058-2026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46153</v>
      </c>
      <c r="E1559" s="1" t="n">
        <v>46296</v>
      </c>
      <c r="F1559" t="inlineStr">
        <is>
          <t>GÄVLEBORGS LÄN</t>
        </is>
      </c>
      <c r="G1559" t="inlineStr">
        <is>
          <t>BOLLNÄS</t>
        </is>
      </c>
      <c r="I1559" t="n">
        <v>1.5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22179-2026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46153</v>
      </c>
      <c r="E1560" s="1" t="n">
        <v>46296</v>
      </c>
      <c r="F1560" t="inlineStr">
        <is>
          <t>GÄVLEBORGS LÄN</t>
        </is>
      </c>
      <c r="G1560" t="inlineStr">
        <is>
          <t>BOLLNÄS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8036-2026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46063</v>
      </c>
      <c r="E1561" s="1" t="n">
        <v>46296</v>
      </c>
      <c r="F1561" t="inlineStr">
        <is>
          <t>GÄVLEBORGS LÄN</t>
        </is>
      </c>
      <c r="G1561" t="inlineStr">
        <is>
          <t>BOLLNÄS</t>
        </is>
      </c>
      <c r="I1561" t="n">
        <v>1.2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16966-2026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46114</v>
      </c>
      <c r="E1562" s="1" t="n">
        <v>46296</v>
      </c>
      <c r="F1562" t="inlineStr">
        <is>
          <t>GÄVLEBORGS LÄN</t>
        </is>
      </c>
      <c r="G1562" t="inlineStr">
        <is>
          <t>BOLLNÄS</t>
        </is>
      </c>
      <c r="I1562" t="n">
        <v>0.4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16971-2026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46114</v>
      </c>
      <c r="E1563" s="1" t="n">
        <v>46296</v>
      </c>
      <c r="F1563" t="inlineStr">
        <is>
          <t>GÄVLEBORGS LÄN</t>
        </is>
      </c>
      <c r="G1563" t="inlineStr">
        <is>
          <t>BOLLNÄS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1542-2026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46034</v>
      </c>
      <c r="E1564" s="1" t="n">
        <v>46296</v>
      </c>
      <c r="F1564" t="inlineStr">
        <is>
          <t>GÄVLEBORGS LÄN</t>
        </is>
      </c>
      <c r="G1564" t="inlineStr">
        <is>
          <t>BOLLNÄS</t>
        </is>
      </c>
      <c r="I1564" t="n">
        <v>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22206-2026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46153</v>
      </c>
      <c r="E1565" s="1" t="n">
        <v>46296</v>
      </c>
      <c r="F1565" t="inlineStr">
        <is>
          <t>GÄVLEBORGS LÄN</t>
        </is>
      </c>
      <c r="G1565" t="inlineStr">
        <is>
          <t>BOLLNÄS</t>
        </is>
      </c>
      <c r="I1565" t="n">
        <v>3.8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22185-2026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46153</v>
      </c>
      <c r="E1566" s="1" t="n">
        <v>46296</v>
      </c>
      <c r="F1566" t="inlineStr">
        <is>
          <t>GÄVLEBORGS LÄN</t>
        </is>
      </c>
      <c r="G1566" t="inlineStr">
        <is>
          <t>BOLLNÄS</t>
        </is>
      </c>
      <c r="I1566" t="n">
        <v>1.6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22190-2026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46153</v>
      </c>
      <c r="E1567" s="1" t="n">
        <v>46296</v>
      </c>
      <c r="F1567" t="inlineStr">
        <is>
          <t>GÄVLEBORGS LÄN</t>
        </is>
      </c>
      <c r="G1567" t="inlineStr">
        <is>
          <t>BOLLNÄS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8156-2026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46064</v>
      </c>
      <c r="E1568" s="1" t="n">
        <v>46296</v>
      </c>
      <c r="F1568" t="inlineStr">
        <is>
          <t>GÄVLEBORGS LÄN</t>
        </is>
      </c>
      <c r="G1568" t="inlineStr">
        <is>
          <t>BOLLNÄS</t>
        </is>
      </c>
      <c r="I1568" t="n">
        <v>6.8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22002-2026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46153</v>
      </c>
      <c r="E1569" s="1" t="n">
        <v>46296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9.199999999999999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22494-2026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46155</v>
      </c>
      <c r="E1570" s="1" t="n">
        <v>46296</v>
      </c>
      <c r="F1570" t="inlineStr">
        <is>
          <t>GÄVLEBORGS LÄN</t>
        </is>
      </c>
      <c r="G1570" t="inlineStr">
        <is>
          <t>BOLLNÄS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22496-2026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46155</v>
      </c>
      <c r="E1571" s="1" t="n">
        <v>46296</v>
      </c>
      <c r="F1571" t="inlineStr">
        <is>
          <t>GÄVLEBORGS LÄN</t>
        </is>
      </c>
      <c r="G1571" t="inlineStr">
        <is>
          <t>BOLLNÄS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22554-2026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46155</v>
      </c>
      <c r="E1572" s="1" t="n">
        <v>46296</v>
      </c>
      <c r="F1572" t="inlineStr">
        <is>
          <t>GÄVLEBORGS LÄN</t>
        </is>
      </c>
      <c r="G1572" t="inlineStr">
        <is>
          <t>BOLLNÄS</t>
        </is>
      </c>
      <c r="I1572" t="n">
        <v>29.4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22394-2026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46154</v>
      </c>
      <c r="E1573" s="1" t="n">
        <v>46296</v>
      </c>
      <c r="F1573" t="inlineStr">
        <is>
          <t>GÄVLEBORGS LÄN</t>
        </is>
      </c>
      <c r="G1573" t="inlineStr">
        <is>
          <t>BOLLNÄS</t>
        </is>
      </c>
      <c r="I1573" t="n">
        <v>2.7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12763-2026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46091</v>
      </c>
      <c r="E1574" s="1" t="n">
        <v>46296</v>
      </c>
      <c r="F1574" t="inlineStr">
        <is>
          <t>GÄVLEBORGS LÄN</t>
        </is>
      </c>
      <c r="G1574" t="inlineStr">
        <is>
          <t>BOLLNÄS</t>
        </is>
      </c>
      <c r="I1574" t="n">
        <v>3.3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12487-2026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46090</v>
      </c>
      <c r="E1575" s="1" t="n">
        <v>46296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Holmen skog AB</t>
        </is>
      </c>
      <c r="I1575" t="n">
        <v>8.199999999999999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8840-2026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46066</v>
      </c>
      <c r="E1576" s="1" t="n">
        <v>46296</v>
      </c>
      <c r="F1576" t="inlineStr">
        <is>
          <t>GÄVLEBORGS LÄN</t>
        </is>
      </c>
      <c r="G1576" t="inlineStr">
        <is>
          <t>BOLLNÄS</t>
        </is>
      </c>
      <c r="I1576" t="n">
        <v>16.7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22532-2026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46155</v>
      </c>
      <c r="E1577" s="1" t="n">
        <v>46296</v>
      </c>
      <c r="F1577" t="inlineStr">
        <is>
          <t>GÄVLEBORGS LÄN</t>
        </is>
      </c>
      <c r="G1577" t="inlineStr">
        <is>
          <t>BOLLNÄS</t>
        </is>
      </c>
      <c r="I1577" t="n">
        <v>10.6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12869-2026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46092</v>
      </c>
      <c r="E1578" s="1" t="n">
        <v>46296</v>
      </c>
      <c r="F1578" t="inlineStr">
        <is>
          <t>GÄVLEBORGS LÄN</t>
        </is>
      </c>
      <c r="G1578" t="inlineStr">
        <is>
          <t>BOLLNÄS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8203-2026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46064</v>
      </c>
      <c r="E1579" s="1" t="n">
        <v>46296</v>
      </c>
      <c r="F1579" t="inlineStr">
        <is>
          <t>GÄVLEBORGS LÄN</t>
        </is>
      </c>
      <c r="G1579" t="inlineStr">
        <is>
          <t>BOLLNÄS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22502-2026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46155</v>
      </c>
      <c r="E1580" s="1" t="n">
        <v>46296</v>
      </c>
      <c r="F1580" t="inlineStr">
        <is>
          <t>GÄVLEBORGS LÄN</t>
        </is>
      </c>
      <c r="G1580" t="inlineStr">
        <is>
          <t>BOLLNÄS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13540-2026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46094</v>
      </c>
      <c r="E1581" s="1" t="n">
        <v>46296</v>
      </c>
      <c r="F1581" t="inlineStr">
        <is>
          <t>GÄVLEBORGS LÄN</t>
        </is>
      </c>
      <c r="G1581" t="inlineStr">
        <is>
          <t>BOLLNÄS</t>
        </is>
      </c>
      <c r="I1581" t="n">
        <v>2.9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22540-2026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46155</v>
      </c>
      <c r="E1582" s="1" t="n">
        <v>46296</v>
      </c>
      <c r="F1582" t="inlineStr">
        <is>
          <t>GÄVLEBORGS LÄN</t>
        </is>
      </c>
      <c r="G1582" t="inlineStr">
        <is>
          <t>BOLLNÄS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22549-2026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46155</v>
      </c>
      <c r="E1583" s="1" t="n">
        <v>46296</v>
      </c>
      <c r="F1583" t="inlineStr">
        <is>
          <t>GÄVLEBORGS LÄN</t>
        </is>
      </c>
      <c r="G1583" t="inlineStr">
        <is>
          <t>BOLLNÄS</t>
        </is>
      </c>
      <c r="I1583" t="n">
        <v>10.8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22489-2026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46155</v>
      </c>
      <c r="E1584" s="1" t="n">
        <v>46296</v>
      </c>
      <c r="F1584" t="inlineStr">
        <is>
          <t>GÄVLEBORGS LÄN</t>
        </is>
      </c>
      <c r="G1584" t="inlineStr">
        <is>
          <t>BOLLNÄS</t>
        </is>
      </c>
      <c r="I1584" t="n">
        <v>4.8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22503-2026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46155</v>
      </c>
      <c r="E1585" s="1" t="n">
        <v>46296</v>
      </c>
      <c r="F1585" t="inlineStr">
        <is>
          <t>GÄVLEBORGS LÄN</t>
        </is>
      </c>
      <c r="G1585" t="inlineStr">
        <is>
          <t>BOLLNÄS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22513-2026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46155</v>
      </c>
      <c r="E1586" s="1" t="n">
        <v>46296</v>
      </c>
      <c r="F1586" t="inlineStr">
        <is>
          <t>GÄVLEBORGS LÄN</t>
        </is>
      </c>
      <c r="G1586" t="inlineStr">
        <is>
          <t>BOLLNÄS</t>
        </is>
      </c>
      <c r="I1586" t="n">
        <v>1.1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732-2026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46029</v>
      </c>
      <c r="E1587" s="1" t="n">
        <v>46296</v>
      </c>
      <c r="F1587" t="inlineStr">
        <is>
          <t>GÄVLEBORGS LÄN</t>
        </is>
      </c>
      <c r="G1587" t="inlineStr">
        <is>
          <t>BOLLNÄS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9336-2026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46070</v>
      </c>
      <c r="E1588" s="1" t="n">
        <v>46296</v>
      </c>
      <c r="F1588" t="inlineStr">
        <is>
          <t>GÄVLEBORGS LÄN</t>
        </is>
      </c>
      <c r="G1588" t="inlineStr">
        <is>
          <t>BOLLNÄS</t>
        </is>
      </c>
      <c r="I1588" t="n">
        <v>6.2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1546-2026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46034</v>
      </c>
      <c r="E1589" s="1" t="n">
        <v>46296</v>
      </c>
      <c r="F1589" t="inlineStr">
        <is>
          <t>GÄVLEBORGS LÄN</t>
        </is>
      </c>
      <c r="G1589" t="inlineStr">
        <is>
          <t>BOLLNÄS</t>
        </is>
      </c>
      <c r="I1589" t="n">
        <v>3.5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6473-2026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46056</v>
      </c>
      <c r="E1590" s="1" t="n">
        <v>46296</v>
      </c>
      <c r="F1590" t="inlineStr">
        <is>
          <t>GÄVLEBORGS LÄN</t>
        </is>
      </c>
      <c r="G1590" t="inlineStr">
        <is>
          <t>BOLLNÄS</t>
        </is>
      </c>
      <c r="I1590" t="n">
        <v>7.3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22254-2026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46154</v>
      </c>
      <c r="E1591" s="1" t="n">
        <v>46296</v>
      </c>
      <c r="F1591" t="inlineStr">
        <is>
          <t>GÄVLEBORGS LÄN</t>
        </is>
      </c>
      <c r="G1591" t="inlineStr">
        <is>
          <t>BOLLNÄS</t>
        </is>
      </c>
      <c r="I1591" t="n">
        <v>5.8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22303-2026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46154</v>
      </c>
      <c r="E1592" s="1" t="n">
        <v>46296</v>
      </c>
      <c r="F1592" t="inlineStr">
        <is>
          <t>GÄVLEBORGS LÄN</t>
        </is>
      </c>
      <c r="G1592" t="inlineStr">
        <is>
          <t>BOLLNÄS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22311-2026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46154</v>
      </c>
      <c r="E1593" s="1" t="n">
        <v>46296</v>
      </c>
      <c r="F1593" t="inlineStr">
        <is>
          <t>GÄVLEBORGS LÄN</t>
        </is>
      </c>
      <c r="G1593" t="inlineStr">
        <is>
          <t>BOLLNÄS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14271-2026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46099</v>
      </c>
      <c r="E1594" s="1" t="n">
        <v>46296</v>
      </c>
      <c r="F1594" t="inlineStr">
        <is>
          <t>GÄVLEBORGS LÄN</t>
        </is>
      </c>
      <c r="G1594" t="inlineStr">
        <is>
          <t>BOLLNÄS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4955-2026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46049</v>
      </c>
      <c r="E1595" s="1" t="n">
        <v>46296</v>
      </c>
      <c r="F1595" t="inlineStr">
        <is>
          <t>GÄVLEBORGS LÄN</t>
        </is>
      </c>
      <c r="G1595" t="inlineStr">
        <is>
          <t>BOLLNÄS</t>
        </is>
      </c>
      <c r="I1595" t="n">
        <v>7.1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21503-2026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46148</v>
      </c>
      <c r="E1596" s="1" t="n">
        <v>46296</v>
      </c>
      <c r="F1596" t="inlineStr">
        <is>
          <t>GÄVLEBORGS LÄN</t>
        </is>
      </c>
      <c r="G1596" t="inlineStr">
        <is>
          <t>BOLLNÄS</t>
        </is>
      </c>
      <c r="I1596" t="n">
        <v>2.4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12992-2026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46092</v>
      </c>
      <c r="E1597" s="1" t="n">
        <v>46296</v>
      </c>
      <c r="F1597" t="inlineStr">
        <is>
          <t>GÄVLEBORGS LÄN</t>
        </is>
      </c>
      <c r="G1597" t="inlineStr">
        <is>
          <t>BOLLNÄS</t>
        </is>
      </c>
      <c r="I1597" t="n">
        <v>2.7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13680-2026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46097</v>
      </c>
      <c r="E1598" s="1" t="n">
        <v>46296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6.1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9420-2026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46071</v>
      </c>
      <c r="E1599" s="1" t="n">
        <v>46296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1.6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22599-2026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46155</v>
      </c>
      <c r="E1600" s="1" t="n">
        <v>46296</v>
      </c>
      <c r="F1600" t="inlineStr">
        <is>
          <t>GÄVLEBORGS LÄN</t>
        </is>
      </c>
      <c r="G1600" t="inlineStr">
        <is>
          <t>BOLLNÄS</t>
        </is>
      </c>
      <c r="I1600" t="n">
        <v>0.3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22605-2026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46155</v>
      </c>
      <c r="E1601" s="1" t="n">
        <v>46296</v>
      </c>
      <c r="F1601" t="inlineStr">
        <is>
          <t>GÄVLEBORGS LÄN</t>
        </is>
      </c>
      <c r="G1601" t="inlineStr">
        <is>
          <t>BOLLNÄS</t>
        </is>
      </c>
      <c r="I1601" t="n">
        <v>0.4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22300-2026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46154</v>
      </c>
      <c r="E1602" s="1" t="n">
        <v>46296</v>
      </c>
      <c r="F1602" t="inlineStr">
        <is>
          <t>GÄVLEBORGS LÄN</t>
        </is>
      </c>
      <c r="G1602" t="inlineStr">
        <is>
          <t>BOLLNÄS</t>
        </is>
      </c>
      <c r="I1602" t="n">
        <v>3.8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22301-2026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46154</v>
      </c>
      <c r="E1603" s="1" t="n">
        <v>46296</v>
      </c>
      <c r="F1603" t="inlineStr">
        <is>
          <t>GÄVLEBORGS LÄN</t>
        </is>
      </c>
      <c r="G1603" t="inlineStr">
        <is>
          <t>BOLLNÄS</t>
        </is>
      </c>
      <c r="I1603" t="n">
        <v>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9612-2026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46072</v>
      </c>
      <c r="E1604" s="1" t="n">
        <v>46296</v>
      </c>
      <c r="F1604" t="inlineStr">
        <is>
          <t>GÄVLEBORGS LÄN</t>
        </is>
      </c>
      <c r="G1604" t="inlineStr">
        <is>
          <t>BOLLNÄS</t>
        </is>
      </c>
      <c r="I1604" t="n">
        <v>7.9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22499-2026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46155</v>
      </c>
      <c r="E1605" s="1" t="n">
        <v>46296</v>
      </c>
      <c r="F1605" t="inlineStr">
        <is>
          <t>GÄVLEBORGS LÄN</t>
        </is>
      </c>
      <c r="G1605" t="inlineStr">
        <is>
          <t>BOLLNÄS</t>
        </is>
      </c>
      <c r="I1605" t="n">
        <v>4.5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22510-2026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46155</v>
      </c>
      <c r="E1606" s="1" t="n">
        <v>46296</v>
      </c>
      <c r="F1606" t="inlineStr">
        <is>
          <t>GÄVLEBORGS LÄN</t>
        </is>
      </c>
      <c r="G1606" t="inlineStr">
        <is>
          <t>BOLLNÄS</t>
        </is>
      </c>
      <c r="I1606" t="n">
        <v>6.1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22606-2026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46155</v>
      </c>
      <c r="E1607" s="1" t="n">
        <v>46296</v>
      </c>
      <c r="F1607" t="inlineStr">
        <is>
          <t>GÄVLEBORGS LÄN</t>
        </is>
      </c>
      <c r="G1607" t="inlineStr">
        <is>
          <t>BOLLNÄS</t>
        </is>
      </c>
      <c r="I1607" t="n">
        <v>1.1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6001-2026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46052</v>
      </c>
      <c r="E1608" s="1" t="n">
        <v>46296</v>
      </c>
      <c r="F1608" t="inlineStr">
        <is>
          <t>GÄVLEBORGS LÄN</t>
        </is>
      </c>
      <c r="G1608" t="inlineStr">
        <is>
          <t>BOLLNÄS</t>
        </is>
      </c>
      <c r="I1608" t="n">
        <v>6.3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22609-2026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46155</v>
      </c>
      <c r="E1609" s="1" t="n">
        <v>46296</v>
      </c>
      <c r="F1609" t="inlineStr">
        <is>
          <t>GÄVLEBORGS LÄN</t>
        </is>
      </c>
      <c r="G1609" t="inlineStr">
        <is>
          <t>BOLLNÄS</t>
        </is>
      </c>
      <c r="I1609" t="n">
        <v>1.4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22305-2026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46154</v>
      </c>
      <c r="E1610" s="1" t="n">
        <v>46296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22316-2026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46154</v>
      </c>
      <c r="E1611" s="1" t="n">
        <v>46296</v>
      </c>
      <c r="F1611" t="inlineStr">
        <is>
          <t>GÄVLEBORGS LÄN</t>
        </is>
      </c>
      <c r="G1611" t="inlineStr">
        <is>
          <t>BOLLNÄS</t>
        </is>
      </c>
      <c r="I1611" t="n">
        <v>0.7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22761-2026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46157</v>
      </c>
      <c r="E1612" s="1" t="n">
        <v>46296</v>
      </c>
      <c r="F1612" t="inlineStr">
        <is>
          <t>GÄVLEBORGS LÄN</t>
        </is>
      </c>
      <c r="G1612" t="inlineStr">
        <is>
          <t>BOLLNÄS</t>
        </is>
      </c>
      <c r="I1612" t="n">
        <v>6.1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22746-2026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46157</v>
      </c>
      <c r="E1613" s="1" t="n">
        <v>46296</v>
      </c>
      <c r="F1613" t="inlineStr">
        <is>
          <t>GÄVLEBORGS LÄN</t>
        </is>
      </c>
      <c r="G1613" t="inlineStr">
        <is>
          <t>BOLLNÄS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20036-2026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46136</v>
      </c>
      <c r="E1614" s="1" t="n">
        <v>46296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öst AB</t>
        </is>
      </c>
      <c r="I1614" t="n">
        <v>23.8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22905-2026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46160</v>
      </c>
      <c r="E1615" s="1" t="n">
        <v>46296</v>
      </c>
      <c r="F1615" t="inlineStr">
        <is>
          <t>GÄVLEBORGS LÄN</t>
        </is>
      </c>
      <c r="G1615" t="inlineStr">
        <is>
          <t>BOLLNÄS</t>
        </is>
      </c>
      <c r="I1615" t="n">
        <v>12.3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23084-2026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46161</v>
      </c>
      <c r="E1616" s="1" t="n">
        <v>46296</v>
      </c>
      <c r="F1616" t="inlineStr">
        <is>
          <t>GÄVLEBORGS LÄN</t>
        </is>
      </c>
      <c r="G1616" t="inlineStr">
        <is>
          <t>BOLLNÄS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23085-2026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46161</v>
      </c>
      <c r="E1617" s="1" t="n">
        <v>46296</v>
      </c>
      <c r="F1617" t="inlineStr">
        <is>
          <t>GÄVLEBORGS LÄN</t>
        </is>
      </c>
      <c r="G1617" t="inlineStr">
        <is>
          <t>BOLLNÄS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23083-2026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46161</v>
      </c>
      <c r="E1618" s="1" t="n">
        <v>46296</v>
      </c>
      <c r="F1618" t="inlineStr">
        <is>
          <t>GÄVLEBORGS LÄN</t>
        </is>
      </c>
      <c r="G1618" t="inlineStr">
        <is>
          <t>BOLLNÄS</t>
        </is>
      </c>
      <c r="I1618" t="n">
        <v>3.4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23089-2026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46161</v>
      </c>
      <c r="E1619" s="1" t="n">
        <v>46296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23090-2026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46161</v>
      </c>
      <c r="E1620" s="1" t="n">
        <v>46296</v>
      </c>
      <c r="F1620" t="inlineStr">
        <is>
          <t>GÄVLEBORGS LÄN</t>
        </is>
      </c>
      <c r="G1620" t="inlineStr">
        <is>
          <t>BOLLNÄS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23091-2026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46161</v>
      </c>
      <c r="E1621" s="1" t="n">
        <v>46296</v>
      </c>
      <c r="F1621" t="inlineStr">
        <is>
          <t>GÄVLEBORGS LÄN</t>
        </is>
      </c>
      <c r="G1621" t="inlineStr">
        <is>
          <t>BOLLNÄS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16365-2026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46111</v>
      </c>
      <c r="E1622" s="1" t="n">
        <v>46296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22815-2026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46160</v>
      </c>
      <c r="E1623" s="1" t="n">
        <v>46296</v>
      </c>
      <c r="F1623" t="inlineStr">
        <is>
          <t>GÄVLEBORGS LÄN</t>
        </is>
      </c>
      <c r="G1623" t="inlineStr">
        <is>
          <t>BOLLNÄS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23172-2026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46161</v>
      </c>
      <c r="E1624" s="1" t="n">
        <v>46296</v>
      </c>
      <c r="F1624" t="inlineStr">
        <is>
          <t>GÄVLEBORGS LÄN</t>
        </is>
      </c>
      <c r="G1624" t="inlineStr">
        <is>
          <t>BOLLNÄS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22982-2026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46160</v>
      </c>
      <c r="E1625" s="1" t="n">
        <v>46296</v>
      </c>
      <c r="F1625" t="inlineStr">
        <is>
          <t>GÄVLEBORGS LÄN</t>
        </is>
      </c>
      <c r="G1625" t="inlineStr">
        <is>
          <t>BOLLNÄS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22985-2026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46160</v>
      </c>
      <c r="E1626" s="1" t="n">
        <v>46296</v>
      </c>
      <c r="F1626" t="inlineStr">
        <is>
          <t>GÄVLEBORGS LÄN</t>
        </is>
      </c>
      <c r="G1626" t="inlineStr">
        <is>
          <t>BOLLNÄS</t>
        </is>
      </c>
      <c r="I1626" t="n">
        <v>4.6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23092-2026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46161</v>
      </c>
      <c r="E1627" s="1" t="n">
        <v>46296</v>
      </c>
      <c r="F1627" t="inlineStr">
        <is>
          <t>GÄVLEBORGS LÄN</t>
        </is>
      </c>
      <c r="G1627" t="inlineStr">
        <is>
          <t>BOLLNÄS</t>
        </is>
      </c>
      <c r="I1627" t="n">
        <v>2.8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23093-2026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46161</v>
      </c>
      <c r="E1628" s="1" t="n">
        <v>46296</v>
      </c>
      <c r="F1628" t="inlineStr">
        <is>
          <t>GÄVLEBORGS LÄN</t>
        </is>
      </c>
      <c r="G1628" t="inlineStr">
        <is>
          <t>BOLLNÄS</t>
        </is>
      </c>
      <c r="I1628" t="n">
        <v>1.7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23544-2026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46163</v>
      </c>
      <c r="E1629" s="1" t="n">
        <v>46296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23478-2026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46163</v>
      </c>
      <c r="E1630" s="1" t="n">
        <v>46296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0.6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23523-2026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46163</v>
      </c>
      <c r="E1631" s="1" t="n">
        <v>46296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0.8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23289-2026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46162</v>
      </c>
      <c r="E1632" s="1" t="n">
        <v>46296</v>
      </c>
      <c r="F1632" t="inlineStr">
        <is>
          <t>GÄVLEBORGS LÄN</t>
        </is>
      </c>
      <c r="G1632" t="inlineStr">
        <is>
          <t>BOLLNÄS</t>
        </is>
      </c>
      <c r="I1632" t="n">
        <v>9.9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23251-2026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46162</v>
      </c>
      <c r="E1633" s="1" t="n">
        <v>46296</v>
      </c>
      <c r="F1633" t="inlineStr">
        <is>
          <t>GÄVLEBORGS LÄN</t>
        </is>
      </c>
      <c r="G1633" t="inlineStr">
        <is>
          <t>BOLLNÄS</t>
        </is>
      </c>
      <c r="I1633" t="n">
        <v>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23586-2026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46163</v>
      </c>
      <c r="E1634" s="1" t="n">
        <v>46296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48336-2023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45205</v>
      </c>
      <c r="E1635" s="1" t="n">
        <v>46296</v>
      </c>
      <c r="F1635" t="inlineStr">
        <is>
          <t>GÄVLEBORGS LÄN</t>
        </is>
      </c>
      <c r="G1635" t="inlineStr">
        <is>
          <t>BOLLNÄS</t>
        </is>
      </c>
      <c r="I1635" t="n">
        <v>6.1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23387-2026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46162</v>
      </c>
      <c r="E1636" s="1" t="n">
        <v>46296</v>
      </c>
      <c r="F1636" t="inlineStr">
        <is>
          <t>GÄVLEBORGS LÄN</t>
        </is>
      </c>
      <c r="G1636" t="inlineStr">
        <is>
          <t>BOLLNÄS</t>
        </is>
      </c>
      <c r="I1636" t="n">
        <v>7.5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22448-2026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46155</v>
      </c>
      <c r="E1637" s="1" t="n">
        <v>46296</v>
      </c>
      <c r="F1637" t="inlineStr">
        <is>
          <t>GÄVLEBORGS LÄN</t>
        </is>
      </c>
      <c r="G1637" t="inlineStr">
        <is>
          <t>BOLLNÄS</t>
        </is>
      </c>
      <c r="H1637" t="inlineStr">
        <is>
          <t>Bergvik skog väst AB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23206-2026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46162</v>
      </c>
      <c r="E1638" s="1" t="n">
        <v>46296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23331-2026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46162</v>
      </c>
      <c r="E1639" s="1" t="n">
        <v>46296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23594-2026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46163</v>
      </c>
      <c r="E1640" s="1" t="n">
        <v>46296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0.7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9758-2026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46072</v>
      </c>
      <c r="E1641" s="1" t="n">
        <v>46296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Sveaskog</t>
        </is>
      </c>
      <c r="I1641" t="n">
        <v>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23881-2026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46167</v>
      </c>
      <c r="E1642" s="1" t="n">
        <v>46296</v>
      </c>
      <c r="F1642" t="inlineStr">
        <is>
          <t>GÄVLEBORGS LÄN</t>
        </is>
      </c>
      <c r="G1642" t="inlineStr">
        <is>
          <t>BOLLNÄS</t>
        </is>
      </c>
      <c r="I1642" t="n">
        <v>5.9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23719-2026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46164</v>
      </c>
      <c r="E1643" s="1" t="n">
        <v>46296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23891-2026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46167</v>
      </c>
      <c r="E1644" s="1" t="n">
        <v>46296</v>
      </c>
      <c r="F1644" t="inlineStr">
        <is>
          <t>GÄVLEBORGS LÄN</t>
        </is>
      </c>
      <c r="G1644" t="inlineStr">
        <is>
          <t>BOLLNÄS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24039-2026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46167</v>
      </c>
      <c r="E1645" s="1" t="n">
        <v>46296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väst AB</t>
        </is>
      </c>
      <c r="I1645" t="n">
        <v>27.5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7609-2026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46062</v>
      </c>
      <c r="E1646" s="1" t="n">
        <v>46296</v>
      </c>
      <c r="F1646" t="inlineStr">
        <is>
          <t>GÄVLEBORGS LÄN</t>
        </is>
      </c>
      <c r="G1646" t="inlineStr">
        <is>
          <t>BOLLNÄS</t>
        </is>
      </c>
      <c r="I1646" t="n">
        <v>4.9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23856-2026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46167</v>
      </c>
      <c r="E1647" s="1" t="n">
        <v>46296</v>
      </c>
      <c r="F1647" t="inlineStr">
        <is>
          <t>GÄVLEBORGS LÄN</t>
        </is>
      </c>
      <c r="G1647" t="inlineStr">
        <is>
          <t>BOLLNÄS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23857-2026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46167</v>
      </c>
      <c r="E1648" s="1" t="n">
        <v>46296</v>
      </c>
      <c r="F1648" t="inlineStr">
        <is>
          <t>GÄVLEBORGS LÄN</t>
        </is>
      </c>
      <c r="G1648" t="inlineStr">
        <is>
          <t>BOLLNÄS</t>
        </is>
      </c>
      <c r="I1648" t="n">
        <v>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23673-2026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46164</v>
      </c>
      <c r="E1649" s="1" t="n">
        <v>46296</v>
      </c>
      <c r="F1649" t="inlineStr">
        <is>
          <t>GÄVLEBORGS LÄN</t>
        </is>
      </c>
      <c r="G1649" t="inlineStr">
        <is>
          <t>BOLLNÄS</t>
        </is>
      </c>
      <c r="I1649" t="n">
        <v>20.9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20665-2026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46141</v>
      </c>
      <c r="E1650" s="1" t="n">
        <v>46296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7.6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22551-2026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46155</v>
      </c>
      <c r="E1651" s="1" t="n">
        <v>46296</v>
      </c>
      <c r="F1651" t="inlineStr">
        <is>
          <t>GÄVLEBORGS LÄN</t>
        </is>
      </c>
      <c r="G1651" t="inlineStr">
        <is>
          <t>BOLLNÄS</t>
        </is>
      </c>
      <c r="I1651" t="n">
        <v>7.9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23664-2026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46164</v>
      </c>
      <c r="E1652" s="1" t="n">
        <v>46296</v>
      </c>
      <c r="F1652" t="inlineStr">
        <is>
          <t>GÄVLEBORGS LÄN</t>
        </is>
      </c>
      <c r="G1652" t="inlineStr">
        <is>
          <t>BOLLNÄS</t>
        </is>
      </c>
      <c r="I1652" t="n">
        <v>6.3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20690-2026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46141</v>
      </c>
      <c r="E1653" s="1" t="n">
        <v>46296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5.2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24034-2026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46167</v>
      </c>
      <c r="E1654" s="1" t="n">
        <v>46296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2.1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23703-2026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46164</v>
      </c>
      <c r="E1655" s="1" t="n">
        <v>46296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9403-2026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46071</v>
      </c>
      <c r="E1656" s="1" t="n">
        <v>46296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10.6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63953-2025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46020</v>
      </c>
      <c r="E1657" s="1" t="n">
        <v>46296</v>
      </c>
      <c r="F1657" t="inlineStr">
        <is>
          <t>GÄVLEBORGS LÄN</t>
        </is>
      </c>
      <c r="G1657" t="inlineStr">
        <is>
          <t>BOLLNÄS</t>
        </is>
      </c>
      <c r="I1657" t="n">
        <v>2.4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10620-2026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46296</v>
      </c>
      <c r="F1658" t="inlineStr">
        <is>
          <t>GÄVLEBORGS LÄN</t>
        </is>
      </c>
      <c r="G1658" t="inlineStr">
        <is>
          <t>BOLLNÄS</t>
        </is>
      </c>
      <c r="I1658" t="n">
        <v>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24136-2026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46168</v>
      </c>
      <c r="E1659" s="1" t="n">
        <v>46296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0.6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24147-2026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46168</v>
      </c>
      <c r="E1660" s="1" t="n">
        <v>46296</v>
      </c>
      <c r="F1660" t="inlineStr">
        <is>
          <t>GÄVLEBORGS LÄN</t>
        </is>
      </c>
      <c r="G1660" t="inlineStr">
        <is>
          <t>BOLLNÄS</t>
        </is>
      </c>
      <c r="I1660" t="n">
        <v>1.9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12005-2026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46085</v>
      </c>
      <c r="E1661" s="1" t="n">
        <v>46296</v>
      </c>
      <c r="F1661" t="inlineStr">
        <is>
          <t>GÄVLEBORGS LÄN</t>
        </is>
      </c>
      <c r="G1661" t="inlineStr">
        <is>
          <t>BOLLNÄS</t>
        </is>
      </c>
      <c r="I1661" t="n">
        <v>5.6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16061-2026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46108</v>
      </c>
      <c r="E1662" s="1" t="n">
        <v>46296</v>
      </c>
      <c r="F1662" t="inlineStr">
        <is>
          <t>GÄVLEBORGS LÄN</t>
        </is>
      </c>
      <c r="G1662" t="inlineStr">
        <is>
          <t>BOLLNÄS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10077-2026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46073</v>
      </c>
      <c r="E1663" s="1" t="n">
        <v>46296</v>
      </c>
      <c r="F1663" t="inlineStr">
        <is>
          <t>GÄVLEBORGS LÄN</t>
        </is>
      </c>
      <c r="G1663" t="inlineStr">
        <is>
          <t>BOLLNÄS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10798-2026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46078</v>
      </c>
      <c r="E1664" s="1" t="n">
        <v>46296</v>
      </c>
      <c r="F1664" t="inlineStr">
        <is>
          <t>GÄVLEBORGS LÄN</t>
        </is>
      </c>
      <c r="G1664" t="inlineStr">
        <is>
          <t>BOLLNÄS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22310-2026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46154</v>
      </c>
      <c r="E1665" s="1" t="n">
        <v>46296</v>
      </c>
      <c r="F1665" t="inlineStr">
        <is>
          <t>GÄVLEBORGS LÄN</t>
        </is>
      </c>
      <c r="G1665" t="inlineStr">
        <is>
          <t>BOLLNÄS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24231-2026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46168</v>
      </c>
      <c r="E1666" s="1" t="n">
        <v>46296</v>
      </c>
      <c r="F1666" t="inlineStr">
        <is>
          <t>GÄVLEBORGS LÄN</t>
        </is>
      </c>
      <c r="G1666" t="inlineStr">
        <is>
          <t>BOLLNÄS</t>
        </is>
      </c>
      <c r="I1666" t="n">
        <v>4.5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12275-2026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46087</v>
      </c>
      <c r="E1667" s="1" t="n">
        <v>46296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Kyrkan</t>
        </is>
      </c>
      <c r="I1667" t="n">
        <v>3.5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24076-2026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46168</v>
      </c>
      <c r="E1668" s="1" t="n">
        <v>46296</v>
      </c>
      <c r="F1668" t="inlineStr">
        <is>
          <t>GÄVLEBORGS LÄN</t>
        </is>
      </c>
      <c r="G1668" t="inlineStr">
        <is>
          <t>BOLLNÄS</t>
        </is>
      </c>
      <c r="I1668" t="n">
        <v>3.3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24083-2026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46168</v>
      </c>
      <c r="E1669" s="1" t="n">
        <v>46296</v>
      </c>
      <c r="F1669" t="inlineStr">
        <is>
          <t>GÄVLEBORGS LÄN</t>
        </is>
      </c>
      <c r="G1669" t="inlineStr">
        <is>
          <t>BOLLNÄS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19839-2026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46135</v>
      </c>
      <c r="E1670" s="1" t="n">
        <v>46296</v>
      </c>
      <c r="F1670" t="inlineStr">
        <is>
          <t>GÄVLEBORGS LÄN</t>
        </is>
      </c>
      <c r="G1670" t="inlineStr">
        <is>
          <t>BOLLNÄS</t>
        </is>
      </c>
      <c r="I1670" t="n">
        <v>2.7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18664-2026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46128</v>
      </c>
      <c r="E1671" s="1" t="n">
        <v>46296</v>
      </c>
      <c r="F1671" t="inlineStr">
        <is>
          <t>GÄVLEBORGS LÄN</t>
        </is>
      </c>
      <c r="G1671" t="inlineStr">
        <is>
          <t>BOLLNÄS</t>
        </is>
      </c>
      <c r="I1671" t="n">
        <v>7.9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24081-2026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46168</v>
      </c>
      <c r="E1672" s="1" t="n">
        <v>46296</v>
      </c>
      <c r="F1672" t="inlineStr">
        <is>
          <t>GÄVLEBORGS LÄN</t>
        </is>
      </c>
      <c r="G1672" t="inlineStr">
        <is>
          <t>BOLLNÄS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14521-2026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46100</v>
      </c>
      <c r="E1673" s="1" t="n">
        <v>46296</v>
      </c>
      <c r="F1673" t="inlineStr">
        <is>
          <t>GÄVLEBORGS LÄN</t>
        </is>
      </c>
      <c r="G1673" t="inlineStr">
        <is>
          <t>BOLLNÄS</t>
        </is>
      </c>
      <c r="I1673" t="n">
        <v>9.6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58279-2025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45985</v>
      </c>
      <c r="E1674" s="1" t="n">
        <v>46296</v>
      </c>
      <c r="F1674" t="inlineStr">
        <is>
          <t>GÄVLEBORGS LÄN</t>
        </is>
      </c>
      <c r="G1674" t="inlineStr">
        <is>
          <t>BOLLNÄS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9816-2026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46072</v>
      </c>
      <c r="E1675" s="1" t="n">
        <v>46296</v>
      </c>
      <c r="F1675" t="inlineStr">
        <is>
          <t>GÄVLEBORGS LÄN</t>
        </is>
      </c>
      <c r="G1675" t="inlineStr">
        <is>
          <t>BOLLNÄS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6067-2026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46052</v>
      </c>
      <c r="E1676" s="1" t="n">
        <v>46296</v>
      </c>
      <c r="F1676" t="inlineStr">
        <is>
          <t>GÄVLEBORGS LÄN</t>
        </is>
      </c>
      <c r="G1676" t="inlineStr">
        <is>
          <t>BOLLNÄS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7067-2026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46058</v>
      </c>
      <c r="E1677" s="1" t="n">
        <v>46296</v>
      </c>
      <c r="F1677" t="inlineStr">
        <is>
          <t>GÄVLEBORGS LÄN</t>
        </is>
      </c>
      <c r="G1677" t="inlineStr">
        <is>
          <t>BOLLNÄS</t>
        </is>
      </c>
      <c r="I1677" t="n">
        <v>3.9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17648-2026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46121</v>
      </c>
      <c r="E1678" s="1" t="n">
        <v>46296</v>
      </c>
      <c r="F1678" t="inlineStr">
        <is>
          <t>GÄVLEBORGS LÄN</t>
        </is>
      </c>
      <c r="G1678" t="inlineStr">
        <is>
          <t>BOLLNÄS</t>
        </is>
      </c>
      <c r="I1678" t="n">
        <v>5.6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24461-2026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46170</v>
      </c>
      <c r="E1679" s="1" t="n">
        <v>46296</v>
      </c>
      <c r="F1679" t="inlineStr">
        <is>
          <t>GÄVLEBORGS LÄN</t>
        </is>
      </c>
      <c r="G1679" t="inlineStr">
        <is>
          <t>BOLLNÄS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24557-2026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46170</v>
      </c>
      <c r="E1680" s="1" t="n">
        <v>46296</v>
      </c>
      <c r="F1680" t="inlineStr">
        <is>
          <t>GÄVLEBORGS LÄN</t>
        </is>
      </c>
      <c r="G1680" t="inlineStr">
        <is>
          <t>BOLLNÄS</t>
        </is>
      </c>
      <c r="I1680" t="n">
        <v>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19153-2026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46132</v>
      </c>
      <c r="E1681" s="1" t="n">
        <v>46296</v>
      </c>
      <c r="F1681" t="inlineStr">
        <is>
          <t>GÄVLEBORGS LÄN</t>
        </is>
      </c>
      <c r="G1681" t="inlineStr">
        <is>
          <t>BOLLNÄS</t>
        </is>
      </c>
      <c r="I1681" t="n">
        <v>10.2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16423-2026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46111</v>
      </c>
      <c r="E1682" s="1" t="n">
        <v>46296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öst AB</t>
        </is>
      </c>
      <c r="I1682" t="n">
        <v>4.7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13346-2026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46094</v>
      </c>
      <c r="E1683" s="1" t="n">
        <v>46296</v>
      </c>
      <c r="F1683" t="inlineStr">
        <is>
          <t>GÄVLEBORGS LÄN</t>
        </is>
      </c>
      <c r="G1683" t="inlineStr">
        <is>
          <t>BOLLNÄS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24747-2026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46171</v>
      </c>
      <c r="E1684" s="1" t="n">
        <v>46296</v>
      </c>
      <c r="F1684" t="inlineStr">
        <is>
          <t>GÄVLEBORGS LÄN</t>
        </is>
      </c>
      <c r="G1684" t="inlineStr">
        <is>
          <t>BOLLNÄS</t>
        </is>
      </c>
      <c r="I1684" t="n">
        <v>2.9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24753-2026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46171</v>
      </c>
      <c r="E1685" s="1" t="n">
        <v>46296</v>
      </c>
      <c r="F1685" t="inlineStr">
        <is>
          <t>GÄVLEBORGS LÄN</t>
        </is>
      </c>
      <c r="G1685" t="inlineStr">
        <is>
          <t>BOLLNÄS</t>
        </is>
      </c>
      <c r="I1685" t="n">
        <v>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23939-2026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46167</v>
      </c>
      <c r="E1686" s="1" t="n">
        <v>46296</v>
      </c>
      <c r="F1686" t="inlineStr">
        <is>
          <t>GÄVLEBORGS LÄN</t>
        </is>
      </c>
      <c r="G1686" t="inlineStr">
        <is>
          <t>BOLLNÄS</t>
        </is>
      </c>
      <c r="I1686" t="n">
        <v>3.6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24897-2026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46174</v>
      </c>
      <c r="E1687" s="1" t="n">
        <v>46296</v>
      </c>
      <c r="F1687" t="inlineStr">
        <is>
          <t>GÄVLEBORGS LÄN</t>
        </is>
      </c>
      <c r="G1687" t="inlineStr">
        <is>
          <t>BOLLNÄS</t>
        </is>
      </c>
      <c r="I1687" t="n">
        <v>9.9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24885-2026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46174</v>
      </c>
      <c r="E1688" s="1" t="n">
        <v>46296</v>
      </c>
      <c r="F1688" t="inlineStr">
        <is>
          <t>GÄVLEBORGS LÄN</t>
        </is>
      </c>
      <c r="G1688" t="inlineStr">
        <is>
          <t>BOLLNÄS</t>
        </is>
      </c>
      <c r="I1688" t="n">
        <v>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14811-2026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46104</v>
      </c>
      <c r="E1689" s="1" t="n">
        <v>46296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8497-2026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46065</v>
      </c>
      <c r="E1690" s="1" t="n">
        <v>46296</v>
      </c>
      <c r="F1690" t="inlineStr">
        <is>
          <t>GÄVLEBORGS LÄN</t>
        </is>
      </c>
      <c r="G1690" t="inlineStr">
        <is>
          <t>BOLLNÄS</t>
        </is>
      </c>
      <c r="I1690" t="n">
        <v>2.1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8130-2026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46064</v>
      </c>
      <c r="E1691" s="1" t="n">
        <v>46296</v>
      </c>
      <c r="F1691" t="inlineStr">
        <is>
          <t>GÄVLEBORGS LÄN</t>
        </is>
      </c>
      <c r="G1691" t="inlineStr">
        <is>
          <t>BOLLNÄS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24749-2026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46171</v>
      </c>
      <c r="E1692" s="1" t="n">
        <v>46296</v>
      </c>
      <c r="F1692" t="inlineStr">
        <is>
          <t>GÄVLEBORGS LÄN</t>
        </is>
      </c>
      <c r="G1692" t="inlineStr">
        <is>
          <t>BOLLNÄS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24652-2026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46171</v>
      </c>
      <c r="E1693" s="1" t="n">
        <v>46296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Bergvik skog väst AB</t>
        </is>
      </c>
      <c r="I1693" t="n">
        <v>15.7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24658-2026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46171</v>
      </c>
      <c r="E1694" s="1" t="n">
        <v>46296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väst AB</t>
        </is>
      </c>
      <c r="I1694" t="n">
        <v>15.5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24925-2026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46174</v>
      </c>
      <c r="E1695" s="1" t="n">
        <v>46296</v>
      </c>
      <c r="F1695" t="inlineStr">
        <is>
          <t>GÄVLEBORGS LÄN</t>
        </is>
      </c>
      <c r="G1695" t="inlineStr">
        <is>
          <t>BOLLNÄS</t>
        </is>
      </c>
      <c r="I1695" t="n">
        <v>1.6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24743-2026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46171</v>
      </c>
      <c r="E1696" s="1" t="n">
        <v>46296</v>
      </c>
      <c r="F1696" t="inlineStr">
        <is>
          <t>GÄVLEBORGS LÄN</t>
        </is>
      </c>
      <c r="G1696" t="inlineStr">
        <is>
          <t>BOLLNÄS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24748-2026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46171</v>
      </c>
      <c r="E1697" s="1" t="n">
        <v>46296</v>
      </c>
      <c r="F1697" t="inlineStr">
        <is>
          <t>GÄVLEBORGS LÄN</t>
        </is>
      </c>
      <c r="G1697" t="inlineStr">
        <is>
          <t>BOLLNÄS</t>
        </is>
      </c>
      <c r="I1697" t="n">
        <v>7.2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24751-2026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46171</v>
      </c>
      <c r="E1698" s="1" t="n">
        <v>46296</v>
      </c>
      <c r="F1698" t="inlineStr">
        <is>
          <t>GÄVLEBORGS LÄN</t>
        </is>
      </c>
      <c r="G1698" t="inlineStr">
        <is>
          <t>BOLLNÄS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9341-2026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46070</v>
      </c>
      <c r="E1699" s="1" t="n">
        <v>46296</v>
      </c>
      <c r="F1699" t="inlineStr">
        <is>
          <t>GÄVLEBORGS LÄN</t>
        </is>
      </c>
      <c r="G1699" t="inlineStr">
        <is>
          <t>BOLLNÄS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25474-2026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46177</v>
      </c>
      <c r="E1700" s="1" t="n">
        <v>46296</v>
      </c>
      <c r="F1700" t="inlineStr">
        <is>
          <t>GÄVLEBORGS LÄN</t>
        </is>
      </c>
      <c r="G1700" t="inlineStr">
        <is>
          <t>BOLLNÄS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25204-2026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46175</v>
      </c>
      <c r="E1701" s="1" t="n">
        <v>46296</v>
      </c>
      <c r="F1701" t="inlineStr">
        <is>
          <t>GÄVLEBORGS LÄN</t>
        </is>
      </c>
      <c r="G1701" t="inlineStr">
        <is>
          <t>BOLLNÄS</t>
        </is>
      </c>
      <c r="I1701" t="n">
        <v>10.1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19861-2026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46135</v>
      </c>
      <c r="E1702" s="1" t="n">
        <v>46296</v>
      </c>
      <c r="F1702" t="inlineStr">
        <is>
          <t>GÄVLEBORGS LÄN</t>
        </is>
      </c>
      <c r="G1702" t="inlineStr">
        <is>
          <t>BOLLNÄS</t>
        </is>
      </c>
      <c r="I1702" t="n">
        <v>2.5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3281-2026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46041</v>
      </c>
      <c r="E1703" s="1" t="n">
        <v>46296</v>
      </c>
      <c r="F1703" t="inlineStr">
        <is>
          <t>GÄVLEBORGS LÄN</t>
        </is>
      </c>
      <c r="G1703" t="inlineStr">
        <is>
          <t>BOLLNÄS</t>
        </is>
      </c>
      <c r="I1703" t="n">
        <v>2.6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15834-2026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46107</v>
      </c>
      <c r="E1704" s="1" t="n">
        <v>46296</v>
      </c>
      <c r="F1704" t="inlineStr">
        <is>
          <t>GÄVLEBORGS LÄN</t>
        </is>
      </c>
      <c r="G1704" t="inlineStr">
        <is>
          <t>BOLLNÄS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25269-2026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46176</v>
      </c>
      <c r="E1705" s="1" t="n">
        <v>46296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1.3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25538-2026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46177</v>
      </c>
      <c r="E1706" s="1" t="n">
        <v>46296</v>
      </c>
      <c r="F1706" t="inlineStr">
        <is>
          <t>GÄVLEBORGS LÄN</t>
        </is>
      </c>
      <c r="G1706" t="inlineStr">
        <is>
          <t>BOLLNÄS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20228-2026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46139</v>
      </c>
      <c r="E1707" s="1" t="n">
        <v>46296</v>
      </c>
      <c r="F1707" t="inlineStr">
        <is>
          <t>GÄVLEBORGS LÄN</t>
        </is>
      </c>
      <c r="G1707" t="inlineStr">
        <is>
          <t>BOLLNÄS</t>
        </is>
      </c>
      <c r="I1707" t="n">
        <v>13.5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20086-2026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46136</v>
      </c>
      <c r="E1708" s="1" t="n">
        <v>46296</v>
      </c>
      <c r="F1708" t="inlineStr">
        <is>
          <t>GÄVLEBORGS LÄN</t>
        </is>
      </c>
      <c r="G1708" t="inlineStr">
        <is>
          <t>BOLLNÄS</t>
        </is>
      </c>
      <c r="I1708" t="n">
        <v>1.8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18311-2025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45762</v>
      </c>
      <c r="E1709" s="1" t="n">
        <v>46296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25449-2026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46177</v>
      </c>
      <c r="E1710" s="1" t="n">
        <v>46296</v>
      </c>
      <c r="F1710" t="inlineStr">
        <is>
          <t>GÄVLEBORGS LÄN</t>
        </is>
      </c>
      <c r="G1710" t="inlineStr">
        <is>
          <t>BOLLNÄS</t>
        </is>
      </c>
      <c r="I1710" t="n">
        <v>7.5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12181-2025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45729</v>
      </c>
      <c r="E1711" s="1" t="n">
        <v>46296</v>
      </c>
      <c r="F1711" t="inlineStr">
        <is>
          <t>GÄVLEBORGS LÄN</t>
        </is>
      </c>
      <c r="G1711" t="inlineStr">
        <is>
          <t>BOLLNÄS</t>
        </is>
      </c>
      <c r="I1711" t="n">
        <v>3.8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22178-2026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46153</v>
      </c>
      <c r="E1712" s="1" t="n">
        <v>46296</v>
      </c>
      <c r="F1712" t="inlineStr">
        <is>
          <t>GÄVLEBORGS LÄN</t>
        </is>
      </c>
      <c r="G1712" t="inlineStr">
        <is>
          <t>BOLLNÄS</t>
        </is>
      </c>
      <c r="I1712" t="n">
        <v>9.6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21790-2026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46150</v>
      </c>
      <c r="E1713" s="1" t="n">
        <v>46296</v>
      </c>
      <c r="F1713" t="inlineStr">
        <is>
          <t>GÄVLEBORGS LÄN</t>
        </is>
      </c>
      <c r="G1713" t="inlineStr">
        <is>
          <t>BOLLNÄS</t>
        </is>
      </c>
      <c r="I1713" t="n">
        <v>4.1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21629-2026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46149</v>
      </c>
      <c r="E1714" s="1" t="n">
        <v>46296</v>
      </c>
      <c r="F1714" t="inlineStr">
        <is>
          <t>GÄVLEBORGS LÄN</t>
        </is>
      </c>
      <c r="G1714" t="inlineStr">
        <is>
          <t>BOLLNÄS</t>
        </is>
      </c>
      <c r="I1714" t="n">
        <v>5.9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21675-2026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46149</v>
      </c>
      <c r="E1715" s="1" t="n">
        <v>46296</v>
      </c>
      <c r="F1715" t="inlineStr">
        <is>
          <t>GÄVLEBORGS LÄN</t>
        </is>
      </c>
      <c r="G1715" t="inlineStr">
        <is>
          <t>BOLLNÄS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21700-2026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46149</v>
      </c>
      <c r="E1716" s="1" t="n">
        <v>46296</v>
      </c>
      <c r="F1716" t="inlineStr">
        <is>
          <t>GÄVLEBORGS LÄN</t>
        </is>
      </c>
      <c r="G1716" t="inlineStr">
        <is>
          <t>BOLLNÄS</t>
        </is>
      </c>
      <c r="I1716" t="n">
        <v>4.5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25497-2026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46177</v>
      </c>
      <c r="E1717" s="1" t="n">
        <v>46296</v>
      </c>
      <c r="F1717" t="inlineStr">
        <is>
          <t>GÄVLEBORGS LÄN</t>
        </is>
      </c>
      <c r="G1717" t="inlineStr">
        <is>
          <t>BOLLNÄS</t>
        </is>
      </c>
      <c r="I1717" t="n">
        <v>6.5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21682-2026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46149</v>
      </c>
      <c r="E1718" s="1" t="n">
        <v>46296</v>
      </c>
      <c r="F1718" t="inlineStr">
        <is>
          <t>GÄVLEBORGS LÄN</t>
        </is>
      </c>
      <c r="G1718" t="inlineStr">
        <is>
          <t>BOLLNÄS</t>
        </is>
      </c>
      <c r="I1718" t="n">
        <v>1.7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16391-2026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46111</v>
      </c>
      <c r="E1719" s="1" t="n">
        <v>46296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öst AB</t>
        </is>
      </c>
      <c r="I1719" t="n">
        <v>1.8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25561-2026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46177</v>
      </c>
      <c r="E1720" s="1" t="n">
        <v>46296</v>
      </c>
      <c r="F1720" t="inlineStr">
        <is>
          <t>GÄVLEBORGS LÄN</t>
        </is>
      </c>
      <c r="G1720" t="inlineStr">
        <is>
          <t>BOLLNÄS</t>
        </is>
      </c>
      <c r="I1720" t="n">
        <v>21.8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21565-2026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46148</v>
      </c>
      <c r="E1721" s="1" t="n">
        <v>46296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26069-2026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46181</v>
      </c>
      <c r="E1722" s="1" t="n">
        <v>46296</v>
      </c>
      <c r="F1722" t="inlineStr">
        <is>
          <t>GÄVLEBORGS LÄN</t>
        </is>
      </c>
      <c r="G1722" t="inlineStr">
        <is>
          <t>BOLLNÄS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26041-2026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46181</v>
      </c>
      <c r="E1723" s="1" t="n">
        <v>46296</v>
      </c>
      <c r="F1723" t="inlineStr">
        <is>
          <t>GÄVLEBORGS LÄN</t>
        </is>
      </c>
      <c r="G1723" t="inlineStr">
        <is>
          <t>BOLLNÄS</t>
        </is>
      </c>
      <c r="I1723" t="n">
        <v>6.4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26068-2026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46181</v>
      </c>
      <c r="E1724" s="1" t="n">
        <v>46296</v>
      </c>
      <c r="F1724" t="inlineStr">
        <is>
          <t>GÄVLEBORGS LÄN</t>
        </is>
      </c>
      <c r="G1724" t="inlineStr">
        <is>
          <t>BOLLNÄS</t>
        </is>
      </c>
      <c r="I1724" t="n">
        <v>2.8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26231-2026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46182</v>
      </c>
      <c r="E1725" s="1" t="n">
        <v>46296</v>
      </c>
      <c r="F1725" t="inlineStr">
        <is>
          <t>GÄVLEBORGS LÄN</t>
        </is>
      </c>
      <c r="G1725" t="inlineStr">
        <is>
          <t>BOLLNÄS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26039-2026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46181</v>
      </c>
      <c r="E1726" s="1" t="n">
        <v>46296</v>
      </c>
      <c r="F1726" t="inlineStr">
        <is>
          <t>GÄVLEBORGS LÄN</t>
        </is>
      </c>
      <c r="G1726" t="inlineStr">
        <is>
          <t>BOLLNÄS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26192-2026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46182</v>
      </c>
      <c r="E1727" s="1" t="n">
        <v>46296</v>
      </c>
      <c r="F1727" t="inlineStr">
        <is>
          <t>GÄVLEBORGS LÄN</t>
        </is>
      </c>
      <c r="G1727" t="inlineStr">
        <is>
          <t>BOLLNÄS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26065-2026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46181</v>
      </c>
      <c r="E1728" s="1" t="n">
        <v>46296</v>
      </c>
      <c r="F1728" t="inlineStr">
        <is>
          <t>GÄVLEBORGS LÄN</t>
        </is>
      </c>
      <c r="G1728" t="inlineStr">
        <is>
          <t>BOLLNÄS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26066-2026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46181</v>
      </c>
      <c r="E1729" s="1" t="n">
        <v>46296</v>
      </c>
      <c r="F1729" t="inlineStr">
        <is>
          <t>GÄVLEBORGS LÄN</t>
        </is>
      </c>
      <c r="G1729" t="inlineStr">
        <is>
          <t>BOLLNÄS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26247-2026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46182</v>
      </c>
      <c r="E1730" s="1" t="n">
        <v>46296</v>
      </c>
      <c r="F1730" t="inlineStr">
        <is>
          <t>GÄVLEBORGS LÄN</t>
        </is>
      </c>
      <c r="G1730" t="inlineStr">
        <is>
          <t>BOLLNÄS</t>
        </is>
      </c>
      <c r="I1730" t="n">
        <v>1.8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26194-2026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46182</v>
      </c>
      <c r="E1731" s="1" t="n">
        <v>46296</v>
      </c>
      <c r="F1731" t="inlineStr">
        <is>
          <t>GÄVLEBORGS LÄN</t>
        </is>
      </c>
      <c r="G1731" t="inlineStr">
        <is>
          <t>BOLLNÄS</t>
        </is>
      </c>
      <c r="I1731" t="n">
        <v>5.5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26214-2026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46182</v>
      </c>
      <c r="E1732" s="1" t="n">
        <v>46296</v>
      </c>
      <c r="F1732" t="inlineStr">
        <is>
          <t>GÄVLEBORGS LÄN</t>
        </is>
      </c>
      <c r="G1732" t="inlineStr">
        <is>
          <t>BOLLNÄS</t>
        </is>
      </c>
      <c r="I1732" t="n">
        <v>2.7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26558-2026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46183</v>
      </c>
      <c r="E1733" s="1" t="n">
        <v>46296</v>
      </c>
      <c r="F1733" t="inlineStr">
        <is>
          <t>GÄVLEBORGS LÄN</t>
        </is>
      </c>
      <c r="G1733" t="inlineStr">
        <is>
          <t>BOLLNÄS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26526-2026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46183</v>
      </c>
      <c r="E1734" s="1" t="n">
        <v>46296</v>
      </c>
      <c r="F1734" t="inlineStr">
        <is>
          <t>GÄVLEBORGS LÄN</t>
        </is>
      </c>
      <c r="G1734" t="inlineStr">
        <is>
          <t>BOLLNÄS</t>
        </is>
      </c>
      <c r="I1734" t="n">
        <v>4.6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26705-2026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46184</v>
      </c>
      <c r="E1735" s="1" t="n">
        <v>46296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Kyrkan</t>
        </is>
      </c>
      <c r="I1735" t="n">
        <v>1.9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26695-2026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46184</v>
      </c>
      <c r="E1736" s="1" t="n">
        <v>46296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Kyrkan</t>
        </is>
      </c>
      <c r="I1736" t="n">
        <v>8.300000000000001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26741-2026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46184</v>
      </c>
      <c r="E1737" s="1" t="n">
        <v>46296</v>
      </c>
      <c r="F1737" t="inlineStr">
        <is>
          <t>GÄVLEBORGS LÄN</t>
        </is>
      </c>
      <c r="G1737" t="inlineStr">
        <is>
          <t>BOLLNÄS</t>
        </is>
      </c>
      <c r="I1737" t="n">
        <v>1.5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26632-2026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46184</v>
      </c>
      <c r="E1738" s="1" t="n">
        <v>46296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Kyrkan</t>
        </is>
      </c>
      <c r="I1738" t="n">
        <v>0.9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26892-2026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46185</v>
      </c>
      <c r="E1739" s="1" t="n">
        <v>46296</v>
      </c>
      <c r="F1739" t="inlineStr">
        <is>
          <t>GÄVLEBORGS LÄN</t>
        </is>
      </c>
      <c r="G1739" t="inlineStr">
        <is>
          <t>BOLLNÄS</t>
        </is>
      </c>
      <c r="I1739" t="n">
        <v>9.800000000000001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26729-2026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46184</v>
      </c>
      <c r="E1740" s="1" t="n">
        <v>46296</v>
      </c>
      <c r="F1740" t="inlineStr">
        <is>
          <t>GÄVLEBORGS LÄN</t>
        </is>
      </c>
      <c r="G1740" t="inlineStr">
        <is>
          <t>BOLLNÄS</t>
        </is>
      </c>
      <c r="I1740" t="n">
        <v>2.4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26610-2026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46184</v>
      </c>
      <c r="E1741" s="1" t="n">
        <v>46296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Kyrkan</t>
        </is>
      </c>
      <c r="I1741" t="n">
        <v>3.4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27092-2026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46188</v>
      </c>
      <c r="E1742" s="1" t="n">
        <v>46296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26890-2026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46185</v>
      </c>
      <c r="E1743" s="1" t="n">
        <v>46296</v>
      </c>
      <c r="F1743" t="inlineStr">
        <is>
          <t>GÄVLEBORGS LÄN</t>
        </is>
      </c>
      <c r="G1743" t="inlineStr">
        <is>
          <t>BOLLNÄS</t>
        </is>
      </c>
      <c r="I1743" t="n">
        <v>1.7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26891-2026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46185</v>
      </c>
      <c r="E1744" s="1" t="n">
        <v>46296</v>
      </c>
      <c r="F1744" t="inlineStr">
        <is>
          <t>GÄVLEBORGS LÄN</t>
        </is>
      </c>
      <c r="G1744" t="inlineStr">
        <is>
          <t>BOLLNÄS</t>
        </is>
      </c>
      <c r="I1744" t="n">
        <v>0.3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26981-2026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46185</v>
      </c>
      <c r="E1745" s="1" t="n">
        <v>46296</v>
      </c>
      <c r="F1745" t="inlineStr">
        <is>
          <t>GÄVLEBORGS LÄN</t>
        </is>
      </c>
      <c r="G1745" t="inlineStr">
        <is>
          <t>BOLLNÄS</t>
        </is>
      </c>
      <c r="I1745" t="n">
        <v>2.6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27327-2026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46188</v>
      </c>
      <c r="E1746" s="1" t="n">
        <v>46296</v>
      </c>
      <c r="F1746" t="inlineStr">
        <is>
          <t>GÄVLEBORGS LÄN</t>
        </is>
      </c>
      <c r="G1746" t="inlineStr">
        <is>
          <t>BOLLNÄS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27143-2026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46188</v>
      </c>
      <c r="E1747" s="1" t="n">
        <v>46296</v>
      </c>
      <c r="F1747" t="inlineStr">
        <is>
          <t>GÄVLEBORGS LÄN</t>
        </is>
      </c>
      <c r="G1747" t="inlineStr">
        <is>
          <t>BOLLNÄS</t>
        </is>
      </c>
      <c r="I1747" t="n">
        <v>2.8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27318-2026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46188</v>
      </c>
      <c r="E1748" s="1" t="n">
        <v>46296</v>
      </c>
      <c r="F1748" t="inlineStr">
        <is>
          <t>GÄVLEBORGS LÄN</t>
        </is>
      </c>
      <c r="G1748" t="inlineStr">
        <is>
          <t>BOLLNÄS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26909-2026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46185</v>
      </c>
      <c r="E1749" s="1" t="n">
        <v>46296</v>
      </c>
      <c r="F1749" t="inlineStr">
        <is>
          <t>GÄVLEBORGS LÄN</t>
        </is>
      </c>
      <c r="G1749" t="inlineStr">
        <is>
          <t>BOLLNÄS</t>
        </is>
      </c>
      <c r="I1749" t="n">
        <v>2.5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26910-2026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46185</v>
      </c>
      <c r="E1750" s="1" t="n">
        <v>46296</v>
      </c>
      <c r="F1750" t="inlineStr">
        <is>
          <t>GÄVLEBORGS LÄN</t>
        </is>
      </c>
      <c r="G1750" t="inlineStr">
        <is>
          <t>BOLLNÄS</t>
        </is>
      </c>
      <c r="I1750" t="n">
        <v>2.7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26977-2026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46185</v>
      </c>
      <c r="E1751" s="1" t="n">
        <v>46296</v>
      </c>
      <c r="F1751" t="inlineStr">
        <is>
          <t>GÄVLEBORGS LÄN</t>
        </is>
      </c>
      <c r="G1751" t="inlineStr">
        <is>
          <t>BOLLNÄS</t>
        </is>
      </c>
      <c r="I1751" t="n">
        <v>3.4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27326-2026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46188</v>
      </c>
      <c r="E1752" s="1" t="n">
        <v>46296</v>
      </c>
      <c r="F1752" t="inlineStr">
        <is>
          <t>GÄVLEBORGS LÄN</t>
        </is>
      </c>
      <c r="G1752" t="inlineStr">
        <is>
          <t>BOLLNÄS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27037-2026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46185</v>
      </c>
      <c r="E1753" s="1" t="n">
        <v>46296</v>
      </c>
      <c r="F1753" t="inlineStr">
        <is>
          <t>GÄVLEBORGS LÄN</t>
        </is>
      </c>
      <c r="G1753" t="inlineStr">
        <is>
          <t>BOLLNÄS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27598-2026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46190</v>
      </c>
      <c r="E1754" s="1" t="n">
        <v>46296</v>
      </c>
      <c r="F1754" t="inlineStr">
        <is>
          <t>GÄVLEBORGS LÄN</t>
        </is>
      </c>
      <c r="G1754" t="inlineStr">
        <is>
          <t>BOLLNÄS</t>
        </is>
      </c>
      <c r="I1754" t="n">
        <v>1.8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20668-2026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46141</v>
      </c>
      <c r="E1755" s="1" t="n">
        <v>46296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63984-2025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46021</v>
      </c>
      <c r="E1756" s="1" t="n">
        <v>46296</v>
      </c>
      <c r="F1756" t="inlineStr">
        <is>
          <t>GÄVLEBORGS LÄN</t>
        </is>
      </c>
      <c r="G1756" t="inlineStr">
        <is>
          <t>BOLLNÄS</t>
        </is>
      </c>
      <c r="I1756" t="n">
        <v>10.6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12904-2026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46092</v>
      </c>
      <c r="E1757" s="1" t="n">
        <v>46296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3.9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3327-2026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46041</v>
      </c>
      <c r="E1758" s="1" t="n">
        <v>46296</v>
      </c>
      <c r="F1758" t="inlineStr">
        <is>
          <t>GÄVLEBORGS LÄN</t>
        </is>
      </c>
      <c r="G1758" t="inlineStr">
        <is>
          <t>BOLLNÄS</t>
        </is>
      </c>
      <c r="I1758" t="n">
        <v>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23095-2026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46161</v>
      </c>
      <c r="E1759" s="1" t="n">
        <v>46296</v>
      </c>
      <c r="F1759" t="inlineStr">
        <is>
          <t>GÄVLEBORGS LÄN</t>
        </is>
      </c>
      <c r="G1759" t="inlineStr">
        <is>
          <t>BOLLNÄS</t>
        </is>
      </c>
      <c r="I1759" t="n">
        <v>3.3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27748-2026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46191</v>
      </c>
      <c r="E1760" s="1" t="n">
        <v>46296</v>
      </c>
      <c r="F1760" t="inlineStr">
        <is>
          <t>GÄVLEBORGS LÄN</t>
        </is>
      </c>
      <c r="G1760" t="inlineStr">
        <is>
          <t>BOLLNÄS</t>
        </is>
      </c>
      <c r="I1760" t="n">
        <v>10.8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27753-2026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46191</v>
      </c>
      <c r="E1761" s="1" t="n">
        <v>46296</v>
      </c>
      <c r="F1761" t="inlineStr">
        <is>
          <t>GÄVLEBORGS LÄN</t>
        </is>
      </c>
      <c r="G1761" t="inlineStr">
        <is>
          <t>BOLLNÄS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8235-2026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46064</v>
      </c>
      <c r="E1762" s="1" t="n">
        <v>46296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1.1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9814-2026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46072</v>
      </c>
      <c r="E1763" s="1" t="n">
        <v>46296</v>
      </c>
      <c r="F1763" t="inlineStr">
        <is>
          <t>GÄVLEBORGS LÄN</t>
        </is>
      </c>
      <c r="G1763" t="inlineStr">
        <is>
          <t>BOLLNÄS</t>
        </is>
      </c>
      <c r="I1763" t="n">
        <v>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28196-2026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46196</v>
      </c>
      <c r="E1764" s="1" t="n">
        <v>46296</v>
      </c>
      <c r="F1764" t="inlineStr">
        <is>
          <t>GÄVLEBORGS LÄN</t>
        </is>
      </c>
      <c r="G1764" t="inlineStr">
        <is>
          <t>BOLLNÄS</t>
        </is>
      </c>
      <c r="I1764" t="n">
        <v>1.9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28124-2026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46195</v>
      </c>
      <c r="E1765" s="1" t="n">
        <v>46296</v>
      </c>
      <c r="F1765" t="inlineStr">
        <is>
          <t>GÄVLEBORGS LÄN</t>
        </is>
      </c>
      <c r="G1765" t="inlineStr">
        <is>
          <t>BOLLNÄS</t>
        </is>
      </c>
      <c r="I1765" t="n">
        <v>3.3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28270-2026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46196</v>
      </c>
      <c r="E1766" s="1" t="n">
        <v>46296</v>
      </c>
      <c r="F1766" t="inlineStr">
        <is>
          <t>GÄVLEBORGS LÄN</t>
        </is>
      </c>
      <c r="G1766" t="inlineStr">
        <is>
          <t>BOLLNÄS</t>
        </is>
      </c>
      <c r="I1766" t="n">
        <v>2.4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28494-2026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46197</v>
      </c>
      <c r="E1767" s="1" t="n">
        <v>46296</v>
      </c>
      <c r="F1767" t="inlineStr">
        <is>
          <t>GÄVLEBORGS LÄN</t>
        </is>
      </c>
      <c r="G1767" t="inlineStr">
        <is>
          <t>BOLLNÄS</t>
        </is>
      </c>
      <c r="I1767" t="n">
        <v>1.5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29037-2026</t>
        </is>
      </c>
      <c r="B1768" t="inlineStr">
        <is>
          <t>avverkningsanmälan</t>
        </is>
      </c>
      <c r="C1768" t="inlineStr">
        <is>
          <t>Avverkning för att bevara och utveckla /försöksver</t>
        </is>
      </c>
      <c r="D1768" s="1" t="n">
        <v>46199</v>
      </c>
      <c r="E1768" s="1" t="n">
        <v>46296</v>
      </c>
      <c r="F1768" t="inlineStr">
        <is>
          <t>GÄVLEBORGS LÄN</t>
        </is>
      </c>
      <c r="G1768" t="inlineStr">
        <is>
          <t>BOLLNÄS</t>
        </is>
      </c>
      <c r="I1768" t="n">
        <v>0.4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28398-2026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46197</v>
      </c>
      <c r="E1769" s="1" t="n">
        <v>46296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28439-2026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46197</v>
      </c>
      <c r="E1770" s="1" t="n">
        <v>46296</v>
      </c>
      <c r="F1770" t="inlineStr">
        <is>
          <t>GÄVLEBORGS LÄN</t>
        </is>
      </c>
      <c r="G1770" t="inlineStr">
        <is>
          <t>BOLLNÄS</t>
        </is>
      </c>
      <c r="I1770" t="n">
        <v>2.2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28429-2026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46197</v>
      </c>
      <c r="E1771" s="1" t="n">
        <v>46296</v>
      </c>
      <c r="F1771" t="inlineStr">
        <is>
          <t>GÄVLEBORGS LÄN</t>
        </is>
      </c>
      <c r="G1771" t="inlineStr">
        <is>
          <t>BOLLNÄS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28828-2026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46198</v>
      </c>
      <c r="E1772" s="1" t="n">
        <v>46296</v>
      </c>
      <c r="F1772" t="inlineStr">
        <is>
          <t>GÄVLEBORGS LÄN</t>
        </is>
      </c>
      <c r="G1772" t="inlineStr">
        <is>
          <t>BOLLNÄS</t>
        </is>
      </c>
      <c r="I1772" t="n">
        <v>1.7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28497-2026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46197</v>
      </c>
      <c r="E1773" s="1" t="n">
        <v>46296</v>
      </c>
      <c r="F1773" t="inlineStr">
        <is>
          <t>GÄVLEBORGS LÄN</t>
        </is>
      </c>
      <c r="G1773" t="inlineStr">
        <is>
          <t>BOLLNÄS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19418-2026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46133</v>
      </c>
      <c r="E1774" s="1" t="n">
        <v>46296</v>
      </c>
      <c r="F1774" t="inlineStr">
        <is>
          <t>GÄVLEBORGS LÄN</t>
        </is>
      </c>
      <c r="G1774" t="inlineStr">
        <is>
          <t>BOLLNÄS</t>
        </is>
      </c>
      <c r="I1774" t="n">
        <v>2.5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54961-2025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45967</v>
      </c>
      <c r="E1775" s="1" t="n">
        <v>46296</v>
      </c>
      <c r="F1775" t="inlineStr">
        <is>
          <t>GÄVLEBORGS LÄN</t>
        </is>
      </c>
      <c r="G1775" t="inlineStr">
        <is>
          <t>BOLLNÄS</t>
        </is>
      </c>
      <c r="I1775" t="n">
        <v>9.1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29187-2026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46202</v>
      </c>
      <c r="E1776" s="1" t="n">
        <v>46296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2.3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29150-2026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46202</v>
      </c>
      <c r="E1777" s="1" t="n">
        <v>46296</v>
      </c>
      <c r="F1777" t="inlineStr">
        <is>
          <t>GÄVLEBORGS LÄN</t>
        </is>
      </c>
      <c r="G1777" t="inlineStr">
        <is>
          <t>BOLLNÄS</t>
        </is>
      </c>
      <c r="I1777" t="n">
        <v>3.9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28943-2026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46199</v>
      </c>
      <c r="E1778" s="1" t="n">
        <v>46296</v>
      </c>
      <c r="F1778" t="inlineStr">
        <is>
          <t>GÄVLEBORGS LÄN</t>
        </is>
      </c>
      <c r="G1778" t="inlineStr">
        <is>
          <t>BOLLNÄS</t>
        </is>
      </c>
      <c r="I1778" t="n">
        <v>2.2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19408-2026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46133</v>
      </c>
      <c r="E1779" s="1" t="n">
        <v>46296</v>
      </c>
      <c r="F1779" t="inlineStr">
        <is>
          <t>GÄVLEBORGS LÄN</t>
        </is>
      </c>
      <c r="G1779" t="inlineStr">
        <is>
          <t>BOLLNÄS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29154-2026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46202</v>
      </c>
      <c r="E1780" s="1" t="n">
        <v>46296</v>
      </c>
      <c r="F1780" t="inlineStr">
        <is>
          <t>GÄVLEBORGS LÄN</t>
        </is>
      </c>
      <c r="G1780" t="inlineStr">
        <is>
          <t>BOLLNÄS</t>
        </is>
      </c>
      <c r="I1780" t="n">
        <v>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29632-2026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46296</v>
      </c>
      <c r="F1781" t="inlineStr">
        <is>
          <t>GÄVLEBORGS LÄN</t>
        </is>
      </c>
      <c r="G1781" t="inlineStr">
        <is>
          <t>BOLLNÄS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29633-2026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46204</v>
      </c>
      <c r="E1782" s="1" t="n">
        <v>46296</v>
      </c>
      <c r="F1782" t="inlineStr">
        <is>
          <t>GÄVLEBORGS LÄN</t>
        </is>
      </c>
      <c r="G1782" t="inlineStr">
        <is>
          <t>BOLLNÄS</t>
        </is>
      </c>
      <c r="I1782" t="n">
        <v>2.1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29617-2026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46204</v>
      </c>
      <c r="E1783" s="1" t="n">
        <v>46296</v>
      </c>
      <c r="F1783" t="inlineStr">
        <is>
          <t>GÄVLEBORGS LÄN</t>
        </is>
      </c>
      <c r="G1783" t="inlineStr">
        <is>
          <t>BOLLNÄS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29697-2026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46204</v>
      </c>
      <c r="E1784" s="1" t="n">
        <v>46296</v>
      </c>
      <c r="F1784" t="inlineStr">
        <is>
          <t>GÄVLEBORGS LÄN</t>
        </is>
      </c>
      <c r="G1784" t="inlineStr">
        <is>
          <t>BOLLNÄS</t>
        </is>
      </c>
      <c r="I1784" t="n">
        <v>0.8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19767-2026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46135</v>
      </c>
      <c r="E1785" s="1" t="n">
        <v>46296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4.4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29457-2026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46203</v>
      </c>
      <c r="E1786" s="1" t="n">
        <v>46296</v>
      </c>
      <c r="F1786" t="inlineStr">
        <is>
          <t>GÄVLEBORGS LÄN</t>
        </is>
      </c>
      <c r="G1786" t="inlineStr">
        <is>
          <t>BOLLNÄS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29447-2026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46203</v>
      </c>
      <c r="E1787" s="1" t="n">
        <v>46296</v>
      </c>
      <c r="F1787" t="inlineStr">
        <is>
          <t>GÄVLEBORGS LÄN</t>
        </is>
      </c>
      <c r="G1787" t="inlineStr">
        <is>
          <t>BOLLNÄS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29445-2026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46203</v>
      </c>
      <c r="E1788" s="1" t="n">
        <v>46296</v>
      </c>
      <c r="F1788" t="inlineStr">
        <is>
          <t>GÄVLEBORGS LÄN</t>
        </is>
      </c>
      <c r="G1788" t="inlineStr">
        <is>
          <t>BOLLNÄS</t>
        </is>
      </c>
      <c r="I1788" t="n">
        <v>1.2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29635-2026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46204</v>
      </c>
      <c r="E1789" s="1" t="n">
        <v>46296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29567-2026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46204</v>
      </c>
      <c r="E1790" s="1" t="n">
        <v>46296</v>
      </c>
      <c r="F1790" t="inlineStr">
        <is>
          <t>GÄVLEBORGS LÄN</t>
        </is>
      </c>
      <c r="G1790" t="inlineStr">
        <is>
          <t>BOLLNÄS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29696-2026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46204</v>
      </c>
      <c r="E1791" s="1" t="n">
        <v>46296</v>
      </c>
      <c r="F1791" t="inlineStr">
        <is>
          <t>GÄVLEBORGS LÄN</t>
        </is>
      </c>
      <c r="G1791" t="inlineStr">
        <is>
          <t>BOLLNÄS</t>
        </is>
      </c>
      <c r="I1791" t="n">
        <v>5.3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29653-2026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46204</v>
      </c>
      <c r="E1792" s="1" t="n">
        <v>46296</v>
      </c>
      <c r="F1792" t="inlineStr">
        <is>
          <t>GÄVLEBORGS LÄN</t>
        </is>
      </c>
      <c r="G1792" t="inlineStr">
        <is>
          <t>BOLLNÄS</t>
        </is>
      </c>
      <c r="I1792" t="n">
        <v>2.7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29607-2026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46204</v>
      </c>
      <c r="E1793" s="1" t="n">
        <v>46296</v>
      </c>
      <c r="F1793" t="inlineStr">
        <is>
          <t>GÄVLEBORGS LÄN</t>
        </is>
      </c>
      <c r="G1793" t="inlineStr">
        <is>
          <t>BOLLNÄS</t>
        </is>
      </c>
      <c r="I1793" t="n">
        <v>7.6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29652-2026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46204</v>
      </c>
      <c r="E1794" s="1" t="n">
        <v>46296</v>
      </c>
      <c r="F1794" t="inlineStr">
        <is>
          <t>GÄVLEBORGS LÄN</t>
        </is>
      </c>
      <c r="G1794" t="inlineStr">
        <is>
          <t>BOLLNÄS</t>
        </is>
      </c>
      <c r="I1794" t="n">
        <v>10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29691-2026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46204</v>
      </c>
      <c r="E1795" s="1" t="n">
        <v>46296</v>
      </c>
      <c r="F1795" t="inlineStr">
        <is>
          <t>GÄVLEBORGS LÄN</t>
        </is>
      </c>
      <c r="G1795" t="inlineStr">
        <is>
          <t>BOLLNÄS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29629-2026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46204</v>
      </c>
      <c r="E1796" s="1" t="n">
        <v>46296</v>
      </c>
      <c r="F1796" t="inlineStr">
        <is>
          <t>GÄVLEBORGS LÄN</t>
        </is>
      </c>
      <c r="G1796" t="inlineStr">
        <is>
          <t>BOLLNÄS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29700-2026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46204</v>
      </c>
      <c r="E1797" s="1" t="n">
        <v>46296</v>
      </c>
      <c r="F1797" t="inlineStr">
        <is>
          <t>GÄVLEBORGS LÄN</t>
        </is>
      </c>
      <c r="G1797" t="inlineStr">
        <is>
          <t>BOLLNÄS</t>
        </is>
      </c>
      <c r="I1797" t="n">
        <v>5.9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30043-2026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46206</v>
      </c>
      <c r="E1798" s="1" t="n">
        <v>46296</v>
      </c>
      <c r="F1798" t="inlineStr">
        <is>
          <t>GÄVLEBORGS LÄN</t>
        </is>
      </c>
      <c r="G1798" t="inlineStr">
        <is>
          <t>BOLLNÄS</t>
        </is>
      </c>
      <c r="I1798" t="n">
        <v>6.3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30050-2026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46206</v>
      </c>
      <c r="E1799" s="1" t="n">
        <v>46296</v>
      </c>
      <c r="F1799" t="inlineStr">
        <is>
          <t>GÄVLEBORGS LÄN</t>
        </is>
      </c>
      <c r="G1799" t="inlineStr">
        <is>
          <t>BOLLNÄS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30052-2026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46206</v>
      </c>
      <c r="E1800" s="1" t="n">
        <v>46296</v>
      </c>
      <c r="F1800" t="inlineStr">
        <is>
          <t>GÄVLEBORGS LÄN</t>
        </is>
      </c>
      <c r="G1800" t="inlineStr">
        <is>
          <t>BOLLNÄS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30041-2026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46206</v>
      </c>
      <c r="E1801" s="1" t="n">
        <v>46296</v>
      </c>
      <c r="F1801" t="inlineStr">
        <is>
          <t>GÄVLEBORGS LÄN</t>
        </is>
      </c>
      <c r="G1801" t="inlineStr">
        <is>
          <t>BOLLNÄS</t>
        </is>
      </c>
      <c r="I1801" t="n">
        <v>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30131-2026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46206</v>
      </c>
      <c r="E1802" s="1" t="n">
        <v>46296</v>
      </c>
      <c r="F1802" t="inlineStr">
        <is>
          <t>GÄVLEBORGS LÄN</t>
        </is>
      </c>
      <c r="G1802" t="inlineStr">
        <is>
          <t>BOLLNÄS</t>
        </is>
      </c>
      <c r="I1802" t="n">
        <v>3.5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30136-2026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46206</v>
      </c>
      <c r="E1803" s="1" t="n">
        <v>46296</v>
      </c>
      <c r="F1803" t="inlineStr">
        <is>
          <t>GÄVLEBORGS LÄN</t>
        </is>
      </c>
      <c r="G1803" t="inlineStr">
        <is>
          <t>BOLLNÄS</t>
        </is>
      </c>
      <c r="I1803" t="n">
        <v>0.8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30282-2026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46206</v>
      </c>
      <c r="E1804" s="1" t="n">
        <v>46296</v>
      </c>
      <c r="F1804" t="inlineStr">
        <is>
          <t>GÄVLEBORGS LÄN</t>
        </is>
      </c>
      <c r="G1804" t="inlineStr">
        <is>
          <t>BOLLNÄS</t>
        </is>
      </c>
      <c r="I1804" t="n">
        <v>4.8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30300-2026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46206</v>
      </c>
      <c r="E1805" s="1" t="n">
        <v>46296</v>
      </c>
      <c r="F1805" t="inlineStr">
        <is>
          <t>GÄVLEBORGS LÄN</t>
        </is>
      </c>
      <c r="G1805" t="inlineStr">
        <is>
          <t>BOLLNÄS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30305-2026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46206</v>
      </c>
      <c r="E1806" s="1" t="n">
        <v>46296</v>
      </c>
      <c r="F1806" t="inlineStr">
        <is>
          <t>GÄVLEBORGS LÄN</t>
        </is>
      </c>
      <c r="G1806" t="inlineStr">
        <is>
          <t>BOLLNÄS</t>
        </is>
      </c>
      <c r="I1806" t="n">
        <v>1.3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30274-2026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46206</v>
      </c>
      <c r="E1807" s="1" t="n">
        <v>46296</v>
      </c>
      <c r="F1807" t="inlineStr">
        <is>
          <t>GÄVLEBORGS LÄN</t>
        </is>
      </c>
      <c r="G1807" t="inlineStr">
        <is>
          <t>BOLLNÄS</t>
        </is>
      </c>
      <c r="I1807" t="n">
        <v>1.3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45598-2024</t>
        </is>
      </c>
      <c r="B1808" t="inlineStr">
        <is>
          <t>avverkningsanmälan</t>
        </is>
      </c>
      <c r="C1808" t="inlineStr">
        <is>
          <t>Avverkning för annat ändamål</t>
        </is>
      </c>
      <c r="D1808" s="1" t="n">
        <v>45579</v>
      </c>
      <c r="E1808" s="1" t="n">
        <v>46296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Kommuner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30273-2026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46206</v>
      </c>
      <c r="E1809" s="1" t="n">
        <v>46296</v>
      </c>
      <c r="F1809" t="inlineStr">
        <is>
          <t>GÄVLEBORGS LÄN</t>
        </is>
      </c>
      <c r="G1809" t="inlineStr">
        <is>
          <t>BOLLNÄS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30278-2026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46206</v>
      </c>
      <c r="E1810" s="1" t="n">
        <v>46296</v>
      </c>
      <c r="F1810" t="inlineStr">
        <is>
          <t>GÄVLEBORGS LÄN</t>
        </is>
      </c>
      <c r="G1810" t="inlineStr">
        <is>
          <t>BOLLNÄS</t>
        </is>
      </c>
      <c r="I1810" t="n">
        <v>3.9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30275-2026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46206</v>
      </c>
      <c r="E1811" s="1" t="n">
        <v>46296</v>
      </c>
      <c r="F1811" t="inlineStr">
        <is>
          <t>GÄVLEBORGS LÄN</t>
        </is>
      </c>
      <c r="G1811" t="inlineStr">
        <is>
          <t>BOLLNÄS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29989-2026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46205</v>
      </c>
      <c r="E1812" s="1" t="n">
        <v>46296</v>
      </c>
      <c r="F1812" t="inlineStr">
        <is>
          <t>GÄVLEBORGS LÄN</t>
        </is>
      </c>
      <c r="G1812" t="inlineStr">
        <is>
          <t>BOLLNÄS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11361-2026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46083</v>
      </c>
      <c r="E1813" s="1" t="n">
        <v>46296</v>
      </c>
      <c r="F1813" t="inlineStr">
        <is>
          <t>GÄVLEBORGS LÄN</t>
        </is>
      </c>
      <c r="G1813" t="inlineStr">
        <is>
          <t>BOLLNÄS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29857-2026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46296</v>
      </c>
      <c r="F1814" t="inlineStr">
        <is>
          <t>GÄVLEBORGS LÄN</t>
        </is>
      </c>
      <c r="G1814" t="inlineStr">
        <is>
          <t>BOLLNÄS</t>
        </is>
      </c>
      <c r="I1814" t="n">
        <v>1.7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30139-2026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46206</v>
      </c>
      <c r="E1815" s="1" t="n">
        <v>46296</v>
      </c>
      <c r="F1815" t="inlineStr">
        <is>
          <t>GÄVLEBORGS LÄN</t>
        </is>
      </c>
      <c r="G1815" t="inlineStr">
        <is>
          <t>BOLLNÄS</t>
        </is>
      </c>
      <c r="I1815" t="n">
        <v>3.8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30298-2026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46206</v>
      </c>
      <c r="E1816" s="1" t="n">
        <v>46296</v>
      </c>
      <c r="F1816" t="inlineStr">
        <is>
          <t>GÄVLEBORGS LÄN</t>
        </is>
      </c>
      <c r="G1816" t="inlineStr">
        <is>
          <t>BOLLNÄS</t>
        </is>
      </c>
      <c r="I1816" t="n">
        <v>2.1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30383-2026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46209</v>
      </c>
      <c r="E1817" s="1" t="n">
        <v>46296</v>
      </c>
      <c r="F1817" t="inlineStr">
        <is>
          <t>GÄVLEBORGS LÄN</t>
        </is>
      </c>
      <c r="G1817" t="inlineStr">
        <is>
          <t>BOLLNÄS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30827-2026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46212</v>
      </c>
      <c r="E1818" s="1" t="n">
        <v>46296</v>
      </c>
      <c r="F1818" t="inlineStr">
        <is>
          <t>GÄVLEBORGS LÄN</t>
        </is>
      </c>
      <c r="G1818" t="inlineStr">
        <is>
          <t>BOLLNÄS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30653-2026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46211</v>
      </c>
      <c r="E1819" s="1" t="n">
        <v>46296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30828-2026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46212</v>
      </c>
      <c r="E1820" s="1" t="n">
        <v>46296</v>
      </c>
      <c r="F1820" t="inlineStr">
        <is>
          <t>GÄVLEBORGS LÄN</t>
        </is>
      </c>
      <c r="G1820" t="inlineStr">
        <is>
          <t>BOLLNÄS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34330-2026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46254</v>
      </c>
      <c r="E1821" s="1" t="n">
        <v>46296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34580-2026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46255</v>
      </c>
      <c r="E1822" s="1" t="n">
        <v>46296</v>
      </c>
      <c r="F1822" t="inlineStr">
        <is>
          <t>GÄVLEBORGS LÄN</t>
        </is>
      </c>
      <c r="G1822" t="inlineStr">
        <is>
          <t>BOLLNÄS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30776-2026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46212</v>
      </c>
      <c r="E1823" s="1" t="n">
        <v>46296</v>
      </c>
      <c r="F1823" t="inlineStr">
        <is>
          <t>GÄVLEBORGS LÄN</t>
        </is>
      </c>
      <c r="G1823" t="inlineStr">
        <is>
          <t>BOLLNÄS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30786-2026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46212</v>
      </c>
      <c r="E1824" s="1" t="n">
        <v>46296</v>
      </c>
      <c r="F1824" t="inlineStr">
        <is>
          <t>GÄVLEBORGS LÄN</t>
        </is>
      </c>
      <c r="G1824" t="inlineStr">
        <is>
          <t>BOLLNÄS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30797-2026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46212</v>
      </c>
      <c r="E1825" s="1" t="n">
        <v>46296</v>
      </c>
      <c r="F1825" t="inlineStr">
        <is>
          <t>GÄVLEBORGS LÄN</t>
        </is>
      </c>
      <c r="G1825" t="inlineStr">
        <is>
          <t>BOLLNÄS</t>
        </is>
      </c>
      <c r="I1825" t="n">
        <v>2.8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30798-2026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46212</v>
      </c>
      <c r="E1826" s="1" t="n">
        <v>46296</v>
      </c>
      <c r="F1826" t="inlineStr">
        <is>
          <t>GÄVLEBORGS LÄN</t>
        </is>
      </c>
      <c r="G1826" t="inlineStr">
        <is>
          <t>BOLLNÄS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34461-2026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46254</v>
      </c>
      <c r="E1827" s="1" t="n">
        <v>46296</v>
      </c>
      <c r="F1827" t="inlineStr">
        <is>
          <t>GÄVLEBORGS LÄN</t>
        </is>
      </c>
      <c r="G1827" t="inlineStr">
        <is>
          <t>BOLLNÄS</t>
        </is>
      </c>
      <c r="I1827" t="n">
        <v>3.3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30763-2026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46212</v>
      </c>
      <c r="E1828" s="1" t="n">
        <v>46296</v>
      </c>
      <c r="F1828" t="inlineStr">
        <is>
          <t>GÄVLEBORGS LÄN</t>
        </is>
      </c>
      <c r="G1828" t="inlineStr">
        <is>
          <t>BOLLNÄS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30785-2026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46212</v>
      </c>
      <c r="E1829" s="1" t="n">
        <v>46296</v>
      </c>
      <c r="F1829" t="inlineStr">
        <is>
          <t>GÄVLEBORGS LÄN</t>
        </is>
      </c>
      <c r="G1829" t="inlineStr">
        <is>
          <t>BOLLNÄS</t>
        </is>
      </c>
      <c r="I1829" t="n">
        <v>2.3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30788-2026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46212</v>
      </c>
      <c r="E1830" s="1" t="n">
        <v>46296</v>
      </c>
      <c r="F1830" t="inlineStr">
        <is>
          <t>GÄVLEBORGS LÄN</t>
        </is>
      </c>
      <c r="G1830" t="inlineStr">
        <is>
          <t>BOLLNÄS</t>
        </is>
      </c>
      <c r="I1830" t="n">
        <v>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30647-2026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46211</v>
      </c>
      <c r="E1831" s="1" t="n">
        <v>46296</v>
      </c>
      <c r="F1831" t="inlineStr">
        <is>
          <t>GÄVLEBORGS LÄN</t>
        </is>
      </c>
      <c r="G1831" t="inlineStr">
        <is>
          <t>BOLLNÄS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30764-2026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46212</v>
      </c>
      <c r="E1832" s="1" t="n">
        <v>46296</v>
      </c>
      <c r="F1832" t="inlineStr">
        <is>
          <t>GÄVLEBORGS LÄN</t>
        </is>
      </c>
      <c r="G1832" t="inlineStr">
        <is>
          <t>BOLLNÄS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30766-2026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46212</v>
      </c>
      <c r="E1833" s="1" t="n">
        <v>46296</v>
      </c>
      <c r="F1833" t="inlineStr">
        <is>
          <t>GÄVLEBORGS LÄN</t>
        </is>
      </c>
      <c r="G1833" t="inlineStr">
        <is>
          <t>BOLLNÄS</t>
        </is>
      </c>
      <c r="I1833" t="n">
        <v>2.7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30777-2026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46212</v>
      </c>
      <c r="E1834" s="1" t="n">
        <v>46296</v>
      </c>
      <c r="F1834" t="inlineStr">
        <is>
          <t>GÄVLEBORGS LÄN</t>
        </is>
      </c>
      <c r="G1834" t="inlineStr">
        <is>
          <t>BOLLNÄS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30787-2026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46212</v>
      </c>
      <c r="E1835" s="1" t="n">
        <v>46296</v>
      </c>
      <c r="F1835" t="inlineStr">
        <is>
          <t>GÄVLEBORGS LÄN</t>
        </is>
      </c>
      <c r="G1835" t="inlineStr">
        <is>
          <t>BOLLNÄS</t>
        </is>
      </c>
      <c r="I1835" t="n">
        <v>3.7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34949-2026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46259</v>
      </c>
      <c r="E1836" s="1" t="n">
        <v>46296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4.8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31136-2026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46216</v>
      </c>
      <c r="E1837" s="1" t="n">
        <v>46296</v>
      </c>
      <c r="F1837" t="inlineStr">
        <is>
          <t>GÄVLEBORGS LÄN</t>
        </is>
      </c>
      <c r="G1837" t="inlineStr">
        <is>
          <t>BOLLNÄS</t>
        </is>
      </c>
      <c r="I1837" t="n">
        <v>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34908-2026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46259</v>
      </c>
      <c r="E1838" s="1" t="n">
        <v>46296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30916-2026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46213</v>
      </c>
      <c r="E1839" s="1" t="n">
        <v>46296</v>
      </c>
      <c r="F1839" t="inlineStr">
        <is>
          <t>GÄVLEBORGS LÄN</t>
        </is>
      </c>
      <c r="G1839" t="inlineStr">
        <is>
          <t>BOLLNÄS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31030-2026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46213</v>
      </c>
      <c r="E1840" s="1" t="n">
        <v>46296</v>
      </c>
      <c r="F1840" t="inlineStr">
        <is>
          <t>GÄVLEBORGS LÄN</t>
        </is>
      </c>
      <c r="G1840" t="inlineStr">
        <is>
          <t>BOLLNÄS</t>
        </is>
      </c>
      <c r="I1840" t="n">
        <v>3.1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34845-2026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46258</v>
      </c>
      <c r="E1841" s="1" t="n">
        <v>46296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Sveaskog</t>
        </is>
      </c>
      <c r="I1841" t="n">
        <v>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31130-2026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46216</v>
      </c>
      <c r="E1842" s="1" t="n">
        <v>46296</v>
      </c>
      <c r="F1842" t="inlineStr">
        <is>
          <t>GÄVLEBORGS LÄN</t>
        </is>
      </c>
      <c r="G1842" t="inlineStr">
        <is>
          <t>BOLLNÄS</t>
        </is>
      </c>
      <c r="I1842" t="n">
        <v>4.4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31139-2026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46216</v>
      </c>
      <c r="E1843" s="1" t="n">
        <v>46296</v>
      </c>
      <c r="F1843" t="inlineStr">
        <is>
          <t>GÄVLEBORGS LÄN</t>
        </is>
      </c>
      <c r="G1843" t="inlineStr">
        <is>
          <t>BOLLNÄS</t>
        </is>
      </c>
      <c r="I1843" t="n">
        <v>7.3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35007-2026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46259</v>
      </c>
      <c r="E1844" s="1" t="n">
        <v>46296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31128-2026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46216</v>
      </c>
      <c r="E1845" s="1" t="n">
        <v>46296</v>
      </c>
      <c r="F1845" t="inlineStr">
        <is>
          <t>GÄVLEBORGS LÄN</t>
        </is>
      </c>
      <c r="G1845" t="inlineStr">
        <is>
          <t>BOLLNÄS</t>
        </is>
      </c>
      <c r="I1845" t="n">
        <v>1.6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31143-2026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46216</v>
      </c>
      <c r="E1846" s="1" t="n">
        <v>46296</v>
      </c>
      <c r="F1846" t="inlineStr">
        <is>
          <t>GÄVLEBORGS LÄN</t>
        </is>
      </c>
      <c r="G1846" t="inlineStr">
        <is>
          <t>BOLLNÄS</t>
        </is>
      </c>
      <c r="I1846" t="n">
        <v>2.2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246-2026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46027</v>
      </c>
      <c r="E1847" s="1" t="n">
        <v>46296</v>
      </c>
      <c r="F1847" t="inlineStr">
        <is>
          <t>GÄVLEBORGS LÄN</t>
        </is>
      </c>
      <c r="G1847" t="inlineStr">
        <is>
          <t>BOLLNÄS</t>
        </is>
      </c>
      <c r="I1847" t="n">
        <v>3.5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34784-2026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46258</v>
      </c>
      <c r="E1848" s="1" t="n">
        <v>46296</v>
      </c>
      <c r="F1848" t="inlineStr">
        <is>
          <t>GÄVLEBORGS LÄN</t>
        </is>
      </c>
      <c r="G1848" t="inlineStr">
        <is>
          <t>BOLLNÄS</t>
        </is>
      </c>
      <c r="I1848" t="n">
        <v>12.7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34988-2026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46259</v>
      </c>
      <c r="E1849" s="1" t="n">
        <v>46296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7.7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28418-2026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46197</v>
      </c>
      <c r="E1850" s="1" t="n">
        <v>46296</v>
      </c>
      <c r="F1850" t="inlineStr">
        <is>
          <t>GÄVLEBORGS LÄN</t>
        </is>
      </c>
      <c r="G1850" t="inlineStr">
        <is>
          <t>BOLLNÄS</t>
        </is>
      </c>
      <c r="I1850" t="n">
        <v>1.1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30900-2026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46213</v>
      </c>
      <c r="E1851" s="1" t="n">
        <v>46296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31125-2026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46216</v>
      </c>
      <c r="E1852" s="1" t="n">
        <v>46296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31127-2026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46216</v>
      </c>
      <c r="E1853" s="1" t="n">
        <v>46296</v>
      </c>
      <c r="F1853" t="inlineStr">
        <is>
          <t>GÄVLEBORGS LÄN</t>
        </is>
      </c>
      <c r="G1853" t="inlineStr">
        <is>
          <t>BOLLNÄS</t>
        </is>
      </c>
      <c r="I1853" t="n">
        <v>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31132-2026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46216</v>
      </c>
      <c r="E1854" s="1" t="n">
        <v>46296</v>
      </c>
      <c r="F1854" t="inlineStr">
        <is>
          <t>GÄVLEBORGS LÄN</t>
        </is>
      </c>
      <c r="G1854" t="inlineStr">
        <is>
          <t>BOLLNÄS</t>
        </is>
      </c>
      <c r="I1854" t="n">
        <v>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34723-2026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46258</v>
      </c>
      <c r="E1855" s="1" t="n">
        <v>46296</v>
      </c>
      <c r="F1855" t="inlineStr">
        <is>
          <t>GÄVLEBORGS LÄN</t>
        </is>
      </c>
      <c r="G1855" t="inlineStr">
        <is>
          <t>BOLLNÄS</t>
        </is>
      </c>
      <c r="I1855" t="n">
        <v>3.7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34735-2026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46258</v>
      </c>
      <c r="E1856" s="1" t="n">
        <v>46296</v>
      </c>
      <c r="F1856" t="inlineStr">
        <is>
          <t>GÄVLEBORGS LÄN</t>
        </is>
      </c>
      <c r="G1856" t="inlineStr">
        <is>
          <t>BOLLNÄS</t>
        </is>
      </c>
      <c r="I1856" t="n">
        <v>14.6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6887-2026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46057</v>
      </c>
      <c r="E1857" s="1" t="n">
        <v>46296</v>
      </c>
      <c r="F1857" t="inlineStr">
        <is>
          <t>GÄVLEBORGS LÄN</t>
        </is>
      </c>
      <c r="G1857" t="inlineStr">
        <is>
          <t>BOLLNÄS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34933-2026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46259</v>
      </c>
      <c r="E1858" s="1" t="n">
        <v>46296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6.1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34935-2026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46259</v>
      </c>
      <c r="E1859" s="1" t="n">
        <v>46296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21647-2026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46149</v>
      </c>
      <c r="E1860" s="1" t="n">
        <v>46296</v>
      </c>
      <c r="F1860" t="inlineStr">
        <is>
          <t>GÄVLEBORGS LÄN</t>
        </is>
      </c>
      <c r="G1860" t="inlineStr">
        <is>
          <t>BOLLNÄS</t>
        </is>
      </c>
      <c r="I1860" t="n">
        <v>4.5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35086-2026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46260</v>
      </c>
      <c r="E1861" s="1" t="n">
        <v>46296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2.3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35128-2026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46260</v>
      </c>
      <c r="E1862" s="1" t="n">
        <v>46296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10.3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35084-2026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46260</v>
      </c>
      <c r="E1863" s="1" t="n">
        <v>46296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35098-2026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46260</v>
      </c>
      <c r="E1864" s="1" t="n">
        <v>46296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5.6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35398-2026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46261</v>
      </c>
      <c r="E1865" s="1" t="n">
        <v>46296</v>
      </c>
      <c r="F1865" t="inlineStr">
        <is>
          <t>GÄVLEBORGS LÄN</t>
        </is>
      </c>
      <c r="G1865" t="inlineStr">
        <is>
          <t>BOLLNÄS</t>
        </is>
      </c>
      <c r="I1865" t="n">
        <v>5.8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35396-2026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46261</v>
      </c>
      <c r="E1866" s="1" t="n">
        <v>46296</v>
      </c>
      <c r="F1866" t="inlineStr">
        <is>
          <t>GÄVLEBORGS LÄN</t>
        </is>
      </c>
      <c r="G1866" t="inlineStr">
        <is>
          <t>BOLLNÄS</t>
        </is>
      </c>
      <c r="I1866" t="n">
        <v>2.6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35397-2026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46261</v>
      </c>
      <c r="E1867" s="1" t="n">
        <v>46296</v>
      </c>
      <c r="F1867" t="inlineStr">
        <is>
          <t>GÄVLEBORGS LÄN</t>
        </is>
      </c>
      <c r="G1867" t="inlineStr">
        <is>
          <t>BOLLNÄS</t>
        </is>
      </c>
      <c r="I1867" t="n">
        <v>1.7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35149-2026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46260</v>
      </c>
      <c r="E1868" s="1" t="n">
        <v>46296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3.4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35150-2026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46260</v>
      </c>
      <c r="E1869" s="1" t="n">
        <v>46296</v>
      </c>
      <c r="F1869" t="inlineStr">
        <is>
          <t>GÄVLEBORGS LÄN</t>
        </is>
      </c>
      <c r="G1869" t="inlineStr">
        <is>
          <t>BOLLNÄS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35129-2026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46260</v>
      </c>
      <c r="E1870" s="1" t="n">
        <v>46296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6.6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35132-2026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46260</v>
      </c>
      <c r="E1871" s="1" t="n">
        <v>46296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3.1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35083-2026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46260</v>
      </c>
      <c r="E1872" s="1" t="n">
        <v>46296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3.1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35346-2026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46261</v>
      </c>
      <c r="E1873" s="1" t="n">
        <v>46296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35097-2026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46260</v>
      </c>
      <c r="E1874" s="1" t="n">
        <v>46296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2.4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35511-2026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46262</v>
      </c>
      <c r="E1875" s="1" t="n">
        <v>46296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Sveaskog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35433-2026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46262</v>
      </c>
      <c r="E1876" s="1" t="n">
        <v>46296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5926-2026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46052</v>
      </c>
      <c r="E1877" s="1" t="n">
        <v>46296</v>
      </c>
      <c r="F1877" t="inlineStr">
        <is>
          <t>GÄVLEBORGS LÄN</t>
        </is>
      </c>
      <c r="G1877" t="inlineStr">
        <is>
          <t>BOLLNÄS</t>
        </is>
      </c>
      <c r="I1877" t="n">
        <v>16.9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15447-2026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46106</v>
      </c>
      <c r="E1878" s="1" t="n">
        <v>46296</v>
      </c>
      <c r="F1878" t="inlineStr">
        <is>
          <t>GÄVLEBORGS LÄN</t>
        </is>
      </c>
      <c r="G1878" t="inlineStr">
        <is>
          <t>BOLLNÄS</t>
        </is>
      </c>
      <c r="I1878" t="n">
        <v>2.6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13988-2026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46098</v>
      </c>
      <c r="E1879" s="1" t="n">
        <v>46296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2.8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44625-2023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45189</v>
      </c>
      <c r="E1880" s="1" t="n">
        <v>46296</v>
      </c>
      <c r="F1880" t="inlineStr">
        <is>
          <t>GÄVLEBORGS LÄN</t>
        </is>
      </c>
      <c r="G1880" t="inlineStr">
        <is>
          <t>BOLLNÄS</t>
        </is>
      </c>
      <c r="I1880" t="n">
        <v>5.1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8955-2026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46069</v>
      </c>
      <c r="E1881" s="1" t="n">
        <v>46296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3.1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8957-2026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46069</v>
      </c>
      <c r="E1882" s="1" t="n">
        <v>46296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1.6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31497-2026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46223</v>
      </c>
      <c r="E1883" s="1" t="n">
        <v>46296</v>
      </c>
      <c r="F1883" t="inlineStr">
        <is>
          <t>GÄVLEBORGS LÄN</t>
        </is>
      </c>
      <c r="G1883" t="inlineStr">
        <is>
          <t>BOLLNÄS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31563-2026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46224</v>
      </c>
      <c r="E1884" s="1" t="n">
        <v>46296</v>
      </c>
      <c r="F1884" t="inlineStr">
        <is>
          <t>GÄVLEBORGS LÄN</t>
        </is>
      </c>
      <c r="G1884" t="inlineStr">
        <is>
          <t>BOLLNÄS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31498-2026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46223</v>
      </c>
      <c r="E1885" s="1" t="n">
        <v>46296</v>
      </c>
      <c r="F1885" t="inlineStr">
        <is>
          <t>GÄVLEBORGS LÄN</t>
        </is>
      </c>
      <c r="G1885" t="inlineStr">
        <is>
          <t>BOLLNÄS</t>
        </is>
      </c>
      <c r="I1885" t="n">
        <v>6.3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31499-2026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46223</v>
      </c>
      <c r="E1886" s="1" t="n">
        <v>46296</v>
      </c>
      <c r="F1886" t="inlineStr">
        <is>
          <t>GÄVLEBORGS LÄN</t>
        </is>
      </c>
      <c r="G1886" t="inlineStr">
        <is>
          <t>BOLLNÄS</t>
        </is>
      </c>
      <c r="I1886" t="n">
        <v>2.4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36061-2026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46267</v>
      </c>
      <c r="E1887" s="1" t="n">
        <v>46296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Bergvik skog väst AB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35916-2026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46266</v>
      </c>
      <c r="E1888" s="1" t="n">
        <v>46296</v>
      </c>
      <c r="F1888" t="inlineStr">
        <is>
          <t>GÄVLEBORGS LÄN</t>
        </is>
      </c>
      <c r="G1888" t="inlineStr">
        <is>
          <t>BOLLNÄS</t>
        </is>
      </c>
      <c r="I1888" t="n">
        <v>2.9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36109-2026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46267</v>
      </c>
      <c r="E1889" s="1" t="n">
        <v>46296</v>
      </c>
      <c r="F1889" t="inlineStr">
        <is>
          <t>GÄVLEBORGS LÄN</t>
        </is>
      </c>
      <c r="G1889" t="inlineStr">
        <is>
          <t>BOLLNÄS</t>
        </is>
      </c>
      <c r="I1889" t="n">
        <v>1.5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36575-2026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46269</v>
      </c>
      <c r="E1890" s="1" t="n">
        <v>46296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Kommuner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31789-2026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46227</v>
      </c>
      <c r="E1891" s="1" t="n">
        <v>46296</v>
      </c>
      <c r="F1891" t="inlineStr">
        <is>
          <t>GÄVLEBORGS LÄN</t>
        </is>
      </c>
      <c r="G1891" t="inlineStr">
        <is>
          <t>BOLLNÄS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36574-2026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46269</v>
      </c>
      <c r="E1892" s="1" t="n">
        <v>46296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Kommuner</t>
        </is>
      </c>
      <c r="I1892" t="n">
        <v>0.6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36528-2026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46269</v>
      </c>
      <c r="E1893" s="1" t="n">
        <v>46296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Sveaskog</t>
        </is>
      </c>
      <c r="I1893" t="n">
        <v>8.699999999999999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36529-2026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46269</v>
      </c>
      <c r="E1894" s="1" t="n">
        <v>46296</v>
      </c>
      <c r="F1894" t="inlineStr">
        <is>
          <t>GÄVLEBORGS LÄN</t>
        </is>
      </c>
      <c r="G1894" t="inlineStr">
        <is>
          <t>BOLLNÄS</t>
        </is>
      </c>
      <c r="H1894" t="inlineStr">
        <is>
          <t>Sveaskog</t>
        </is>
      </c>
      <c r="I1894" t="n">
        <v>3.9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36487-2026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46269</v>
      </c>
      <c r="E1895" s="1" t="n">
        <v>46296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24110-2026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46168</v>
      </c>
      <c r="E1896" s="1" t="n">
        <v>46296</v>
      </c>
      <c r="F1896" t="inlineStr">
        <is>
          <t>GÄVLEBORGS LÄN</t>
        </is>
      </c>
      <c r="G1896" t="inlineStr">
        <is>
          <t>BOLLNÄS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36579-2026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46269</v>
      </c>
      <c r="E1897" s="1" t="n">
        <v>46296</v>
      </c>
      <c r="F1897" t="inlineStr">
        <is>
          <t>GÄVLEBORGS LÄN</t>
        </is>
      </c>
      <c r="G1897" t="inlineStr">
        <is>
          <t>BOLLNÄS</t>
        </is>
      </c>
      <c r="I1897" t="n">
        <v>1.8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31643-2026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46225</v>
      </c>
      <c r="E1898" s="1" t="n">
        <v>46296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6898-2026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46057</v>
      </c>
      <c r="E1899" s="1" t="n">
        <v>46296</v>
      </c>
      <c r="F1899" t="inlineStr">
        <is>
          <t>GÄVLEBORGS LÄN</t>
        </is>
      </c>
      <c r="G1899" t="inlineStr">
        <is>
          <t>BOLLNÄS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31722-2026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46226</v>
      </c>
      <c r="E1900" s="1" t="n">
        <v>46296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2.4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36572-2026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46269</v>
      </c>
      <c r="E1901" s="1" t="n">
        <v>46296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Kommuner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36881-2026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46273</v>
      </c>
      <c r="E1902" s="1" t="n">
        <v>46296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Bergvik skog väst AB</t>
        </is>
      </c>
      <c r="I1902" t="n">
        <v>3.3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36757-2026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46272</v>
      </c>
      <c r="E1903" s="1" t="n">
        <v>46296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Kommuner</t>
        </is>
      </c>
      <c r="I1903" t="n">
        <v>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37046-2026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46273</v>
      </c>
      <c r="E1904" s="1" t="n">
        <v>46296</v>
      </c>
      <c r="F1904" t="inlineStr">
        <is>
          <t>GÄVLEBORGS LÄN</t>
        </is>
      </c>
      <c r="G1904" t="inlineStr">
        <is>
          <t>BOLLNÄS</t>
        </is>
      </c>
      <c r="I1904" t="n">
        <v>2.2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36702-2026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46272</v>
      </c>
      <c r="E1905" s="1" t="n">
        <v>46296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väst AB</t>
        </is>
      </c>
      <c r="I1905" t="n">
        <v>6.5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31809-2026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46230</v>
      </c>
      <c r="E1906" s="1" t="n">
        <v>46296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0.3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36661-2026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46272</v>
      </c>
      <c r="E1907" s="1" t="n">
        <v>46296</v>
      </c>
      <c r="F1907" t="inlineStr">
        <is>
          <t>GÄVLEBORGS LÄN</t>
        </is>
      </c>
      <c r="G1907" t="inlineStr">
        <is>
          <t>BOLLNÄS</t>
        </is>
      </c>
      <c r="I1907" t="n">
        <v>3.8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37044-2026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46273</v>
      </c>
      <c r="E1908" s="1" t="n">
        <v>46296</v>
      </c>
      <c r="F1908" t="inlineStr">
        <is>
          <t>GÄVLEBORGS LÄN</t>
        </is>
      </c>
      <c r="G1908" t="inlineStr">
        <is>
          <t>BOLLNÄS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36769-2026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46272</v>
      </c>
      <c r="E1909" s="1" t="n">
        <v>46296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12.1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36696-2026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46272</v>
      </c>
      <c r="E1910" s="1" t="n">
        <v>46296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Bergvik skog väst AB</t>
        </is>
      </c>
      <c r="I1910" t="n">
        <v>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36772-2026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46272</v>
      </c>
      <c r="E1911" s="1" t="n">
        <v>46296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31748-2026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46227</v>
      </c>
      <c r="E1912" s="1" t="n">
        <v>46296</v>
      </c>
      <c r="F1912" t="inlineStr">
        <is>
          <t>GÄVLEBORGS LÄN</t>
        </is>
      </c>
      <c r="G1912" t="inlineStr">
        <is>
          <t>BOLLNÄS</t>
        </is>
      </c>
      <c r="I1912" t="n">
        <v>3.1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37272-2026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46274</v>
      </c>
      <c r="E1913" s="1" t="n">
        <v>46296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37276-2026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46274</v>
      </c>
      <c r="E1914" s="1" t="n">
        <v>46296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2.8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37093-2026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46273</v>
      </c>
      <c r="E1915" s="1" t="n">
        <v>46296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5.2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37368-2026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46275</v>
      </c>
      <c r="E1916" s="1" t="n">
        <v>46296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Bergvik skog väst AB</t>
        </is>
      </c>
      <c r="I1916" t="n">
        <v>3.6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37318-2026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46275</v>
      </c>
      <c r="E1917" s="1" t="n">
        <v>46296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31922-2026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46231</v>
      </c>
      <c r="E1918" s="1" t="n">
        <v>46296</v>
      </c>
      <c r="F1918" t="inlineStr">
        <is>
          <t>GÄVLEBORGS LÄN</t>
        </is>
      </c>
      <c r="G1918" t="inlineStr">
        <is>
          <t>BOLLNÄS</t>
        </is>
      </c>
      <c r="I1918" t="n">
        <v>14.7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37512-2026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46276</v>
      </c>
      <c r="E1919" s="1" t="n">
        <v>46296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väst AB</t>
        </is>
      </c>
      <c r="I1919" t="n">
        <v>13.1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37664-2026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46276</v>
      </c>
      <c r="E1920" s="1" t="n">
        <v>46296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17.2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19486-2026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46134</v>
      </c>
      <c r="E1921" s="1" t="n">
        <v>46296</v>
      </c>
      <c r="F1921" t="inlineStr">
        <is>
          <t>GÄVLEBORGS LÄN</t>
        </is>
      </c>
      <c r="G1921" t="inlineStr">
        <is>
          <t>BOLLNÄS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37660-2026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46276</v>
      </c>
      <c r="E1922" s="1" t="n">
        <v>46296</v>
      </c>
      <c r="F1922" t="inlineStr">
        <is>
          <t>GÄVLEBORGS LÄN</t>
        </is>
      </c>
      <c r="G1922" t="inlineStr">
        <is>
          <t>BOLLNÄS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37559-2026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46276</v>
      </c>
      <c r="E1923" s="1" t="n">
        <v>46296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5.5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37520-2026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46276</v>
      </c>
      <c r="E1924" s="1" t="n">
        <v>46296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32019-2026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46233</v>
      </c>
      <c r="E1925" s="1" t="n">
        <v>46296</v>
      </c>
      <c r="F1925" t="inlineStr">
        <is>
          <t>GÄVLEBORGS LÄN</t>
        </is>
      </c>
      <c r="G1925" t="inlineStr">
        <is>
          <t>BOLLNÄS</t>
        </is>
      </c>
      <c r="I1925" t="n">
        <v>8.300000000000001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37732-2026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46279</v>
      </c>
      <c r="E1926" s="1" t="n">
        <v>46296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37659-2026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46276</v>
      </c>
      <c r="E1927" s="1" t="n">
        <v>46296</v>
      </c>
      <c r="F1927" t="inlineStr">
        <is>
          <t>GÄVLEBORGS LÄN</t>
        </is>
      </c>
      <c r="G1927" t="inlineStr">
        <is>
          <t>BOLLNÄS</t>
        </is>
      </c>
      <c r="I1927" t="n">
        <v>1.5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37658-2026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46276</v>
      </c>
      <c r="E1928" s="1" t="n">
        <v>46296</v>
      </c>
      <c r="F1928" t="inlineStr">
        <is>
          <t>GÄVLEBORGS LÄN</t>
        </is>
      </c>
      <c r="G1928" t="inlineStr">
        <is>
          <t>BOLLNÄS</t>
        </is>
      </c>
      <c r="I1928" t="n">
        <v>4.3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37691-2026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46279</v>
      </c>
      <c r="E1929" s="1" t="n">
        <v>46296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38033-2026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46280</v>
      </c>
      <c r="E1930" s="1" t="n">
        <v>46296</v>
      </c>
      <c r="F1930" t="inlineStr">
        <is>
          <t>GÄVLEBORGS LÄN</t>
        </is>
      </c>
      <c r="G1930" t="inlineStr">
        <is>
          <t>BOLLNÄS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38125-2026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46281</v>
      </c>
      <c r="E1931" s="1" t="n">
        <v>46296</v>
      </c>
      <c r="F1931" t="inlineStr">
        <is>
          <t>GÄVLEBORGS LÄN</t>
        </is>
      </c>
      <c r="G1931" t="inlineStr">
        <is>
          <t>BOLLNÄS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18025-2026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46125</v>
      </c>
      <c r="E1932" s="1" t="n">
        <v>46296</v>
      </c>
      <c r="F1932" t="inlineStr">
        <is>
          <t>GÄVLEBORGS LÄN</t>
        </is>
      </c>
      <c r="G1932" t="inlineStr">
        <is>
          <t>BOLLNÄS</t>
        </is>
      </c>
      <c r="I1932" t="n">
        <v>2.2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37939-2026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46280</v>
      </c>
      <c r="E1933" s="1" t="n">
        <v>46296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323-2026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46027</v>
      </c>
      <c r="E1934" s="1" t="n">
        <v>46296</v>
      </c>
      <c r="F1934" t="inlineStr">
        <is>
          <t>GÄVLEBORGS LÄN</t>
        </is>
      </c>
      <c r="G1934" t="inlineStr">
        <is>
          <t>BOLLNÄS</t>
        </is>
      </c>
      <c r="I1934" t="n">
        <v>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16937-2026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46113</v>
      </c>
      <c r="E1935" s="1" t="n">
        <v>46296</v>
      </c>
      <c r="F1935" t="inlineStr">
        <is>
          <t>GÄVLEBORGS LÄN</t>
        </is>
      </c>
      <c r="G1935" t="inlineStr">
        <is>
          <t>BOLLNÄS</t>
        </is>
      </c>
      <c r="I1935" t="n">
        <v>14.2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37980-2026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46280</v>
      </c>
      <c r="E1936" s="1" t="n">
        <v>46296</v>
      </c>
      <c r="F1936" t="inlineStr">
        <is>
          <t>GÄVLEBORGS LÄN</t>
        </is>
      </c>
      <c r="G1936" t="inlineStr">
        <is>
          <t>BOLLNÄS</t>
        </is>
      </c>
      <c r="I1936" t="n">
        <v>2.2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15814-2026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46107</v>
      </c>
      <c r="E1937" s="1" t="n">
        <v>46296</v>
      </c>
      <c r="F1937" t="inlineStr">
        <is>
          <t>GÄVLEBORGS LÄN</t>
        </is>
      </c>
      <c r="G1937" t="inlineStr">
        <is>
          <t>BOLLNÄS</t>
        </is>
      </c>
      <c r="I1937" t="n">
        <v>2.1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20412-2026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46140</v>
      </c>
      <c r="E1938" s="1" t="n">
        <v>46296</v>
      </c>
      <c r="F1938" t="inlineStr">
        <is>
          <t>GÄVLEBORGS LÄN</t>
        </is>
      </c>
      <c r="G1938" t="inlineStr">
        <is>
          <t>BOLLNÄS</t>
        </is>
      </c>
      <c r="I1938" t="n">
        <v>4.6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16935-2026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46113</v>
      </c>
      <c r="E1939" s="1" t="n">
        <v>46296</v>
      </c>
      <c r="F1939" t="inlineStr">
        <is>
          <t>GÄVLEBORGS LÄN</t>
        </is>
      </c>
      <c r="G1939" t="inlineStr">
        <is>
          <t>BOLLNÄS</t>
        </is>
      </c>
      <c r="I1939" t="n">
        <v>10.1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20060-2026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46136</v>
      </c>
      <c r="E1940" s="1" t="n">
        <v>46296</v>
      </c>
      <c r="F1940" t="inlineStr">
        <is>
          <t>GÄVLEBORGS LÄN</t>
        </is>
      </c>
      <c r="G1940" t="inlineStr">
        <is>
          <t>BOLLNÄS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16936-2026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46113</v>
      </c>
      <c r="E1941" s="1" t="n">
        <v>46296</v>
      </c>
      <c r="F1941" t="inlineStr">
        <is>
          <t>GÄVLEBORGS LÄN</t>
        </is>
      </c>
      <c r="G1941" t="inlineStr">
        <is>
          <t>BOLLNÄS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32386-2026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46238</v>
      </c>
      <c r="E1942" s="1" t="n">
        <v>46296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38402-2026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46282</v>
      </c>
      <c r="E1943" s="1" t="n">
        <v>46296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3.4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38555-2026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46283</v>
      </c>
      <c r="E1944" s="1" t="n">
        <v>46296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Sveaskog</t>
        </is>
      </c>
      <c r="I1944" t="n">
        <v>5.5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38559-2026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46283</v>
      </c>
      <c r="E1945" s="1" t="n">
        <v>46296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Sveaskog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32455-2026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46239</v>
      </c>
      <c r="E1946" s="1" t="n">
        <v>46296</v>
      </c>
      <c r="F1946" t="inlineStr">
        <is>
          <t>GÄVLEBORGS LÄN</t>
        </is>
      </c>
      <c r="G1946" t="inlineStr">
        <is>
          <t>BOLLNÄS</t>
        </is>
      </c>
      <c r="I1946" t="n">
        <v>2.2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32478-2026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46239</v>
      </c>
      <c r="E1947" s="1" t="n">
        <v>46296</v>
      </c>
      <c r="F1947" t="inlineStr">
        <is>
          <t>GÄVLEBORGS LÄN</t>
        </is>
      </c>
      <c r="G1947" t="inlineStr">
        <is>
          <t>BOLLNÄS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32484-2026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46239</v>
      </c>
      <c r="E1948" s="1" t="n">
        <v>46296</v>
      </c>
      <c r="F1948" t="inlineStr">
        <is>
          <t>GÄVLEBORGS LÄN</t>
        </is>
      </c>
      <c r="G1948" t="inlineStr">
        <is>
          <t>BOLLNÄS</t>
        </is>
      </c>
      <c r="I1948" t="n">
        <v>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32463-2026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46239</v>
      </c>
      <c r="E1949" s="1" t="n">
        <v>46296</v>
      </c>
      <c r="F1949" t="inlineStr">
        <is>
          <t>GÄVLEBORGS LÄN</t>
        </is>
      </c>
      <c r="G1949" t="inlineStr">
        <is>
          <t>BOLLNÄS</t>
        </is>
      </c>
      <c r="I1949" t="n">
        <v>2.2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32605-2026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46240</v>
      </c>
      <c r="E1950" s="1" t="n">
        <v>46296</v>
      </c>
      <c r="F1950" t="inlineStr">
        <is>
          <t>GÄVLEBORGS LÄN</t>
        </is>
      </c>
      <c r="G1950" t="inlineStr">
        <is>
          <t>BOLLNÄS</t>
        </is>
      </c>
      <c r="I1950" t="n">
        <v>2.6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38403-2026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46282</v>
      </c>
      <c r="E1951" s="1" t="n">
        <v>46296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2.2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38367-2026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46282</v>
      </c>
      <c r="E1952" s="1" t="n">
        <v>46296</v>
      </c>
      <c r="F1952" t="inlineStr">
        <is>
          <t>GÄVLEBORGS LÄN</t>
        </is>
      </c>
      <c r="G1952" t="inlineStr">
        <is>
          <t>BOLLNÄS</t>
        </is>
      </c>
      <c r="I1952" t="n">
        <v>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38607-2026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46283</v>
      </c>
      <c r="E1953" s="1" t="n">
        <v>46296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Sveaskog</t>
        </is>
      </c>
      <c r="I1953" t="n">
        <v>1.4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38434-2026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46282</v>
      </c>
      <c r="E1954" s="1" t="n">
        <v>46296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Sveaskog</t>
        </is>
      </c>
      <c r="I1954" t="n">
        <v>8.699999999999999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38610-2026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46283</v>
      </c>
      <c r="E1955" s="1" t="n">
        <v>46296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Sveaskog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36979-2026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46273</v>
      </c>
      <c r="E1956" s="1" t="n">
        <v>46296</v>
      </c>
      <c r="F1956" t="inlineStr">
        <is>
          <t>GÄVLEBORGS LÄN</t>
        </is>
      </c>
      <c r="G1956" t="inlineStr">
        <is>
          <t>BOLLNÄS</t>
        </is>
      </c>
      <c r="I1956" t="n">
        <v>5.1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38796-2026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46286</v>
      </c>
      <c r="E1957" s="1" t="n">
        <v>46296</v>
      </c>
      <c r="F1957" t="inlineStr">
        <is>
          <t>GÄVLEBORGS LÄN</t>
        </is>
      </c>
      <c r="G1957" t="inlineStr">
        <is>
          <t>BOLLNÄS</t>
        </is>
      </c>
      <c r="I1957" t="n">
        <v>6.1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32704-2026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46241</v>
      </c>
      <c r="E1958" s="1" t="n">
        <v>46296</v>
      </c>
      <c r="F1958" t="inlineStr">
        <is>
          <t>GÄVLEBORGS LÄN</t>
        </is>
      </c>
      <c r="G1958" t="inlineStr">
        <is>
          <t>BOLLNÄS</t>
        </is>
      </c>
      <c r="I1958" t="n">
        <v>1.5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36913-2026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46273</v>
      </c>
      <c r="E1959" s="1" t="n">
        <v>46296</v>
      </c>
      <c r="F1959" t="inlineStr">
        <is>
          <t>GÄVLEBORGS LÄN</t>
        </is>
      </c>
      <c r="G1959" t="inlineStr">
        <is>
          <t>BOLLNÄS</t>
        </is>
      </c>
      <c r="I1959" t="n">
        <v>2.1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32898-2026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46244</v>
      </c>
      <c r="E1960" s="1" t="n">
        <v>46296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2.2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32908-2026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46244</v>
      </c>
      <c r="E1961" s="1" t="n">
        <v>46296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10.5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38887-2026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46286</v>
      </c>
      <c r="E1962" s="1" t="n">
        <v>46296</v>
      </c>
      <c r="F1962" t="inlineStr">
        <is>
          <t>GÄVLEBORGS LÄN</t>
        </is>
      </c>
      <c r="G1962" t="inlineStr">
        <is>
          <t>BOLLNÄS</t>
        </is>
      </c>
      <c r="I1962" t="n">
        <v>2.3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36970-2026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46273</v>
      </c>
      <c r="E1963" s="1" t="n">
        <v>46296</v>
      </c>
      <c r="F1963" t="inlineStr">
        <is>
          <t>GÄVLEBORGS LÄN</t>
        </is>
      </c>
      <c r="G1963" t="inlineStr">
        <is>
          <t>BOLLNÄS</t>
        </is>
      </c>
      <c r="I1963" t="n">
        <v>5.3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38894-2026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46286</v>
      </c>
      <c r="E1964" s="1" t="n">
        <v>46296</v>
      </c>
      <c r="F1964" t="inlineStr">
        <is>
          <t>GÄVLEBORGS LÄN</t>
        </is>
      </c>
      <c r="G1964" t="inlineStr">
        <is>
          <t>BOLLNÄS</t>
        </is>
      </c>
      <c r="I1964" t="n">
        <v>2.3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26528-2026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46183</v>
      </c>
      <c r="E1965" s="1" t="n">
        <v>46296</v>
      </c>
      <c r="F1965" t="inlineStr">
        <is>
          <t>GÄVLEBORGS LÄN</t>
        </is>
      </c>
      <c r="G1965" t="inlineStr">
        <is>
          <t>BOLLNÄS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27322-2026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46188</v>
      </c>
      <c r="E1966" s="1" t="n">
        <v>46296</v>
      </c>
      <c r="F1966" t="inlineStr">
        <is>
          <t>GÄVLEBORGS LÄN</t>
        </is>
      </c>
      <c r="G1966" t="inlineStr">
        <is>
          <t>BOLLNÄS</t>
        </is>
      </c>
      <c r="I1966" t="n">
        <v>6.4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32968-2026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46244</v>
      </c>
      <c r="E1967" s="1" t="n">
        <v>46296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3.8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38895-2026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46286</v>
      </c>
      <c r="E1968" s="1" t="n">
        <v>46296</v>
      </c>
      <c r="F1968" t="inlineStr">
        <is>
          <t>GÄVLEBORGS LÄN</t>
        </is>
      </c>
      <c r="G1968" t="inlineStr">
        <is>
          <t>BOLLNÄS</t>
        </is>
      </c>
      <c r="I1968" t="n">
        <v>0.7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38717-2026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46284</v>
      </c>
      <c r="E1969" s="1" t="n">
        <v>46296</v>
      </c>
      <c r="F1969" t="inlineStr">
        <is>
          <t>GÄVLEBORGS LÄN</t>
        </is>
      </c>
      <c r="G1969" t="inlineStr">
        <is>
          <t>BOLLNÄS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39308-2026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46288</v>
      </c>
      <c r="E1970" s="1" t="n">
        <v>46296</v>
      </c>
      <c r="F1970" t="inlineStr">
        <is>
          <t>GÄVLEBORGS LÄN</t>
        </is>
      </c>
      <c r="G1970" t="inlineStr">
        <is>
          <t>BOLLNÄS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1515-2026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46034</v>
      </c>
      <c r="E1971" s="1" t="n">
        <v>46296</v>
      </c>
      <c r="F1971" t="inlineStr">
        <is>
          <t>GÄVLEBORGS LÄN</t>
        </is>
      </c>
      <c r="G1971" t="inlineStr">
        <is>
          <t>BOLLNÄS</t>
        </is>
      </c>
      <c r="I1971" t="n">
        <v>16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34405-2026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46254</v>
      </c>
      <c r="E1972" s="1" t="n">
        <v>46296</v>
      </c>
      <c r="F1972" t="inlineStr">
        <is>
          <t>GÄVLEBORGS LÄN</t>
        </is>
      </c>
      <c r="G1972" t="inlineStr">
        <is>
          <t>BOLLNÄS</t>
        </is>
      </c>
      <c r="I1972" t="n">
        <v>41.4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64043-2025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46021</v>
      </c>
      <c r="E1973" s="1" t="n">
        <v>46296</v>
      </c>
      <c r="F1973" t="inlineStr">
        <is>
          <t>GÄVLEBORGS LÄN</t>
        </is>
      </c>
      <c r="G1973" t="inlineStr">
        <is>
          <t>BOLLNÄS</t>
        </is>
      </c>
      <c r="I1973" t="n">
        <v>17.6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39568-2026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46289</v>
      </c>
      <c r="E1974" s="1" t="n">
        <v>46296</v>
      </c>
      <c r="F1974" t="inlineStr">
        <is>
          <t>GÄVLEBORGS LÄN</t>
        </is>
      </c>
      <c r="G1974" t="inlineStr">
        <is>
          <t>BOLLNÄS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12010-2026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46085</v>
      </c>
      <c r="E1975" s="1" t="n">
        <v>46296</v>
      </c>
      <c r="F1975" t="inlineStr">
        <is>
          <t>GÄVLEBORGS LÄN</t>
        </is>
      </c>
      <c r="G1975" t="inlineStr">
        <is>
          <t>BOLLNÄS</t>
        </is>
      </c>
      <c r="I1975" t="n">
        <v>3.3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39592-2026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46289</v>
      </c>
      <c r="E1976" s="1" t="n">
        <v>46296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Sveaskog</t>
        </is>
      </c>
      <c r="I1976" t="n">
        <v>3.7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33869-2026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46251</v>
      </c>
      <c r="E1977" s="1" t="n">
        <v>46296</v>
      </c>
      <c r="F1977" t="inlineStr">
        <is>
          <t>GÄVLEBORGS LÄN</t>
        </is>
      </c>
      <c r="G1977" t="inlineStr">
        <is>
          <t>BOLLNÄS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23288-2026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46162</v>
      </c>
      <c r="E1978" s="1" t="n">
        <v>46296</v>
      </c>
      <c r="F1978" t="inlineStr">
        <is>
          <t>GÄVLEBORGS LÄN</t>
        </is>
      </c>
      <c r="G1978" t="inlineStr">
        <is>
          <t>BOLLNÄS</t>
        </is>
      </c>
      <c r="I1978" t="n">
        <v>5.6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40212-2026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46293</v>
      </c>
      <c r="E1979" s="1" t="n">
        <v>46296</v>
      </c>
      <c r="F1979" t="inlineStr">
        <is>
          <t>GÄVLEBORGS LÄN</t>
        </is>
      </c>
      <c r="G1979" t="inlineStr">
        <is>
          <t>BOLLNÄS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33588-2026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46248</v>
      </c>
      <c r="E1980" s="1" t="n">
        <v>46296</v>
      </c>
      <c r="F1980" t="inlineStr">
        <is>
          <t>GÄVLEBORGS LÄN</t>
        </is>
      </c>
      <c r="G1980" t="inlineStr">
        <is>
          <t>BOLLNÄS</t>
        </is>
      </c>
      <c r="I1980" t="n">
        <v>1.5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33589-2026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46248</v>
      </c>
      <c r="E1981" s="1" t="n">
        <v>46296</v>
      </c>
      <c r="F1981" t="inlineStr">
        <is>
          <t>GÄVLEBORGS LÄN</t>
        </is>
      </c>
      <c r="G1981" t="inlineStr">
        <is>
          <t>BOLLNÄS</t>
        </is>
      </c>
      <c r="I1981" t="n">
        <v>2.5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39851-2026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46290</v>
      </c>
      <c r="E1982" s="1" t="n">
        <v>46296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4.5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40190-2026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46293</v>
      </c>
      <c r="E1983" s="1" t="n">
        <v>46296</v>
      </c>
      <c r="F1983" t="inlineStr">
        <is>
          <t>GÄVLEBORGS LÄN</t>
        </is>
      </c>
      <c r="G1983" t="inlineStr">
        <is>
          <t>BOLLNÄS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33496-2026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46248</v>
      </c>
      <c r="E1984" s="1" t="n">
        <v>46296</v>
      </c>
      <c r="F1984" t="inlineStr">
        <is>
          <t>GÄVLEBORGS LÄN</t>
        </is>
      </c>
      <c r="G1984" t="inlineStr">
        <is>
          <t>BOLLNÄS</t>
        </is>
      </c>
      <c r="I1984" t="n">
        <v>1.3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40111-2026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46293</v>
      </c>
      <c r="E1985" s="1" t="n">
        <v>46296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6.2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40114-2026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46293</v>
      </c>
      <c r="E1986" s="1" t="n">
        <v>46296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5.8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33390-2026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46247</v>
      </c>
      <c r="E1987" s="1" t="n">
        <v>46296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13878-2026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46098</v>
      </c>
      <c r="E1988" s="1" t="n">
        <v>46296</v>
      </c>
      <c r="F1988" t="inlineStr">
        <is>
          <t>GÄVLEBORGS LÄN</t>
        </is>
      </c>
      <c r="G1988" t="inlineStr">
        <is>
          <t>BOLLNÄS</t>
        </is>
      </c>
      <c r="I1988" t="n">
        <v>8.699999999999999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40123-2026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46293</v>
      </c>
      <c r="E1989" s="1" t="n">
        <v>46296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15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8580-2026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46065</v>
      </c>
      <c r="E1990" s="1" t="n">
        <v>46296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4.1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34069-2026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46252</v>
      </c>
      <c r="E1991" s="1" t="n">
        <v>46296</v>
      </c>
      <c r="F1991" t="inlineStr">
        <is>
          <t>GÄVLEBORGS LÄN</t>
        </is>
      </c>
      <c r="G1991" t="inlineStr">
        <is>
          <t>BOLLNÄS</t>
        </is>
      </c>
      <c r="I1991" t="n">
        <v>0.8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24889-2026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46174</v>
      </c>
      <c r="E1992" s="1" t="n">
        <v>46296</v>
      </c>
      <c r="F1992" t="inlineStr">
        <is>
          <t>GÄVLEBORGS LÄN</t>
        </is>
      </c>
      <c r="G1992" t="inlineStr">
        <is>
          <t>BOLLNÄS</t>
        </is>
      </c>
      <c r="I1992" t="n">
        <v>3.4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23268-2026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46162</v>
      </c>
      <c r="E1993" s="1" t="n">
        <v>46296</v>
      </c>
      <c r="F1993" t="inlineStr">
        <is>
          <t>GÄVLEBORGS LÄN</t>
        </is>
      </c>
      <c r="G1993" t="inlineStr">
        <is>
          <t>BOLLNÄS</t>
        </is>
      </c>
      <c r="I1993" t="n">
        <v>3.6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23272-2026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46162</v>
      </c>
      <c r="E1994" s="1" t="n">
        <v>46296</v>
      </c>
      <c r="F1994" t="inlineStr">
        <is>
          <t>GÄVLEBORGS LÄN</t>
        </is>
      </c>
      <c r="G1994" t="inlineStr">
        <is>
          <t>BOLLNÄS</t>
        </is>
      </c>
      <c r="I1994" t="n">
        <v>6.7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23278-2026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46162</v>
      </c>
      <c r="E1995" s="1" t="n">
        <v>46296</v>
      </c>
      <c r="F1995" t="inlineStr">
        <is>
          <t>GÄVLEBORGS LÄN</t>
        </is>
      </c>
      <c r="G1995" t="inlineStr">
        <is>
          <t>BOLLNÄS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25209-2026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46175</v>
      </c>
      <c r="E1996" s="1" t="n">
        <v>46296</v>
      </c>
      <c r="F1996" t="inlineStr">
        <is>
          <t>GÄVLEBORGS LÄN</t>
        </is>
      </c>
      <c r="G1996" t="inlineStr">
        <is>
          <t>BOLLNÄS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23276-2026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46162</v>
      </c>
      <c r="E1997" s="1" t="n">
        <v>46296</v>
      </c>
      <c r="F1997" t="inlineStr">
        <is>
          <t>GÄVLEBORGS LÄN</t>
        </is>
      </c>
      <c r="G1997" t="inlineStr">
        <is>
          <t>BOLLNÄS</t>
        </is>
      </c>
      <c r="I1997" t="n">
        <v>7.1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23277-2026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46162</v>
      </c>
      <c r="E1998" s="1" t="n">
        <v>46296</v>
      </c>
      <c r="F1998" t="inlineStr">
        <is>
          <t>GÄVLEBORGS LÄN</t>
        </is>
      </c>
      <c r="G1998" t="inlineStr">
        <is>
          <t>BOLLNÄS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34129-2026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46253</v>
      </c>
      <c r="E1999" s="1" t="n">
        <v>46296</v>
      </c>
      <c r="F1999" t="inlineStr">
        <is>
          <t>GÄVLEBORGS LÄN</t>
        </is>
      </c>
      <c r="G1999" t="inlineStr">
        <is>
          <t>BOLLNÄS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24953-2026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46174</v>
      </c>
      <c r="E2000" s="1" t="n">
        <v>46296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Kommuner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38881-2026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46286</v>
      </c>
      <c r="E2001" s="1" t="n">
        <v>46296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Kyrkan</t>
        </is>
      </c>
      <c r="I2001" t="n">
        <v>7.2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33740-2026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46251</v>
      </c>
      <c r="E2002" s="1" t="n">
        <v>46296</v>
      </c>
      <c r="F2002" t="inlineStr">
        <is>
          <t>GÄVLEBORGS LÄN</t>
        </is>
      </c>
      <c r="G2002" t="inlineStr">
        <is>
          <t>BOLLNÄS</t>
        </is>
      </c>
      <c r="I2002" t="n">
        <v>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2292-2026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46036</v>
      </c>
      <c r="E2003" s="1" t="n">
        <v>46296</v>
      </c>
      <c r="F2003" t="inlineStr">
        <is>
          <t>GÄVLEBORGS LÄN</t>
        </is>
      </c>
      <c r="G2003" t="inlineStr">
        <is>
          <t>BOLLNÄS</t>
        </is>
      </c>
      <c r="I2003" t="n">
        <v>13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2403-2026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46036</v>
      </c>
      <c r="E2004" s="1" t="n">
        <v>46296</v>
      </c>
      <c r="F2004" t="inlineStr">
        <is>
          <t>GÄVLEBORGS LÄN</t>
        </is>
      </c>
      <c r="G2004" t="inlineStr">
        <is>
          <t>BOLLNÄS</t>
        </is>
      </c>
      <c r="I2004" t="n">
        <v>8.6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5178-2026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46049</v>
      </c>
      <c r="E2005" s="1" t="n">
        <v>46296</v>
      </c>
      <c r="F2005" t="inlineStr">
        <is>
          <t>GÄVLEBORGS LÄN</t>
        </is>
      </c>
      <c r="G2005" t="inlineStr">
        <is>
          <t>BOLLNÄS</t>
        </is>
      </c>
      <c r="I2005" t="n">
        <v>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6405-2026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46055</v>
      </c>
      <c r="E2006" s="1" t="n">
        <v>46296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9.699999999999999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9187-2026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46070</v>
      </c>
      <c r="E2007" s="1" t="n">
        <v>46296</v>
      </c>
      <c r="F2007" t="inlineStr">
        <is>
          <t>GÄVLEBORGS LÄN</t>
        </is>
      </c>
      <c r="G2007" t="inlineStr">
        <is>
          <t>BOLLNÄS</t>
        </is>
      </c>
      <c r="I2007" t="n">
        <v>0.9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14262-2026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46099</v>
      </c>
      <c r="E2008" s="1" t="n">
        <v>46296</v>
      </c>
      <c r="F2008" t="inlineStr">
        <is>
          <t>GÄVLEBORGS LÄN</t>
        </is>
      </c>
      <c r="G2008" t="inlineStr">
        <is>
          <t>BOLLNÄS</t>
        </is>
      </c>
      <c r="I2008" t="n">
        <v>2.7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2361-2026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46036</v>
      </c>
      <c r="E2009" s="1" t="n">
        <v>46296</v>
      </c>
      <c r="F2009" t="inlineStr">
        <is>
          <t>GÄVLEBORGS LÄN</t>
        </is>
      </c>
      <c r="G2009" t="inlineStr">
        <is>
          <t>BOLLNÄS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2985-2026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46038</v>
      </c>
      <c r="E2010" s="1" t="n">
        <v>46296</v>
      </c>
      <c r="F2010" t="inlineStr">
        <is>
          <t>GÄVLEBORGS LÄN</t>
        </is>
      </c>
      <c r="G2010" t="inlineStr">
        <is>
          <t>BOLLNÄS</t>
        </is>
      </c>
      <c r="I2010" t="n">
        <v>1.4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34140-2026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46253</v>
      </c>
      <c r="E2011" s="1" t="n">
        <v>46296</v>
      </c>
      <c r="F2011" t="inlineStr">
        <is>
          <t>GÄVLEBORGS LÄN</t>
        </is>
      </c>
      <c r="G2011" t="inlineStr">
        <is>
          <t>BOLLNÄS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1647-2026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46034</v>
      </c>
      <c r="E2012" s="1" t="n">
        <v>46296</v>
      </c>
      <c r="F2012" t="inlineStr">
        <is>
          <t>GÄVLEBORGS LÄN</t>
        </is>
      </c>
      <c r="G2012" t="inlineStr">
        <is>
          <t>BOLLNÄS</t>
        </is>
      </c>
      <c r="I2012" t="n">
        <v>6.1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16051-2026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46108</v>
      </c>
      <c r="E2013" s="1" t="n">
        <v>46296</v>
      </c>
      <c r="F2013" t="inlineStr">
        <is>
          <t>GÄVLEBORGS LÄN</t>
        </is>
      </c>
      <c r="G2013" t="inlineStr">
        <is>
          <t>BOLLNÄS</t>
        </is>
      </c>
      <c r="I2013" t="n">
        <v>14.9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21643-2026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46149</v>
      </c>
      <c r="E2014" s="1" t="n">
        <v>46296</v>
      </c>
      <c r="F2014" t="inlineStr">
        <is>
          <t>GÄVLEBORGS LÄN</t>
        </is>
      </c>
      <c r="G2014" t="inlineStr">
        <is>
          <t>BOLLNÄS</t>
        </is>
      </c>
      <c r="I2014" t="n">
        <v>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23885-2026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46167</v>
      </c>
      <c r="E2015" s="1" t="n">
        <v>46296</v>
      </c>
      <c r="F2015" t="inlineStr">
        <is>
          <t>GÄVLEBORGS LÄN</t>
        </is>
      </c>
      <c r="G2015" t="inlineStr">
        <is>
          <t>BOLLNÄS</t>
        </is>
      </c>
      <c r="I2015" t="n">
        <v>16.3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22193-2026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46153</v>
      </c>
      <c r="E2016" s="1" t="n">
        <v>46296</v>
      </c>
      <c r="F2016" t="inlineStr">
        <is>
          <t>GÄVLEBORGS LÄN</t>
        </is>
      </c>
      <c r="G2016" t="inlineStr">
        <is>
          <t>BOLLNÄS</t>
        </is>
      </c>
      <c r="I2016" t="n">
        <v>3.3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40383-2026</t>
        </is>
      </c>
      <c r="B2017" t="inlineStr">
        <is>
          <t>avverkningsanmälan</t>
        </is>
      </c>
      <c r="C2017" t="inlineStr">
        <is>
          <t>Avverkning för att bevara och utveckla /försöksver</t>
        </is>
      </c>
      <c r="D2017" s="1" t="n">
        <v>46294</v>
      </c>
      <c r="E2017" s="1" t="n">
        <v>46296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Sveaskog</t>
        </is>
      </c>
      <c r="I2017" t="n">
        <v>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23273-2026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46162</v>
      </c>
      <c r="E2018" s="1" t="n">
        <v>46296</v>
      </c>
      <c r="F2018" t="inlineStr">
        <is>
          <t>GÄVLEBORGS LÄN</t>
        </is>
      </c>
      <c r="G2018" t="inlineStr">
        <is>
          <t>BOLLNÄS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23291-2026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46162</v>
      </c>
      <c r="E2019" s="1" t="n">
        <v>46296</v>
      </c>
      <c r="F2019" t="inlineStr">
        <is>
          <t>GÄVLEBORGS LÄN</t>
        </is>
      </c>
      <c r="G2019" t="inlineStr">
        <is>
          <t>BOLLNÄS</t>
        </is>
      </c>
      <c r="I2019" t="n">
        <v>0.7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25455-2026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46177</v>
      </c>
      <c r="E2020" s="1" t="n">
        <v>46296</v>
      </c>
      <c r="F2020" t="inlineStr">
        <is>
          <t>GÄVLEBORGS LÄN</t>
        </is>
      </c>
      <c r="G2020" t="inlineStr">
        <is>
          <t>BOLLNÄS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4300-2026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46045</v>
      </c>
      <c r="E2021" s="1" t="n">
        <v>46296</v>
      </c>
      <c r="F2021" t="inlineStr">
        <is>
          <t>GÄVLEBORGS LÄN</t>
        </is>
      </c>
      <c r="G2021" t="inlineStr">
        <is>
          <t>BOLLNÄS</t>
        </is>
      </c>
      <c r="I2021" t="n">
        <v>8.699999999999999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34107-2026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46253</v>
      </c>
      <c r="E2022" s="1" t="n">
        <v>46296</v>
      </c>
      <c r="F2022" t="inlineStr">
        <is>
          <t>GÄVLEBORGS LÄN</t>
        </is>
      </c>
      <c r="G2022" t="inlineStr">
        <is>
          <t>BOLLNÄS</t>
        </is>
      </c>
      <c r="I2022" t="n">
        <v>1.5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33742-2026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46251</v>
      </c>
      <c r="E2023" s="1" t="n">
        <v>46296</v>
      </c>
      <c r="F2023" t="inlineStr">
        <is>
          <t>GÄVLEBORGS LÄN</t>
        </is>
      </c>
      <c r="G2023" t="inlineStr">
        <is>
          <t>BOLLNÄS</t>
        </is>
      </c>
      <c r="I2023" t="n">
        <v>3.6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33773-2026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46251</v>
      </c>
      <c r="E2024" s="1" t="n">
        <v>46296</v>
      </c>
      <c r="F2024" t="inlineStr">
        <is>
          <t>GÄVLEBORGS LÄN</t>
        </is>
      </c>
      <c r="G2024" t="inlineStr">
        <is>
          <t>BOLLNÄS</t>
        </is>
      </c>
      <c r="I2024" t="n">
        <v>2.3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33956-2026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46252</v>
      </c>
      <c r="E2025" s="1" t="n">
        <v>46296</v>
      </c>
      <c r="F2025" t="inlineStr">
        <is>
          <t>GÄVLEBORGS LÄN</t>
        </is>
      </c>
      <c r="G2025" t="inlineStr">
        <is>
          <t>BOLLNÄS</t>
        </is>
      </c>
      <c r="I2025" t="n">
        <v>3.1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7884-2026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46063</v>
      </c>
      <c r="E2026" s="1" t="n">
        <v>46296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7.6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6330-2026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46055</v>
      </c>
      <c r="E2027" s="1" t="n">
        <v>46296</v>
      </c>
      <c r="F2027" t="inlineStr">
        <is>
          <t>GÄVLEBORGS LÄN</t>
        </is>
      </c>
      <c r="G2027" t="inlineStr">
        <is>
          <t>BOLLNÄS</t>
        </is>
      </c>
      <c r="I2027" t="n">
        <v>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19926-2026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46136</v>
      </c>
      <c r="E2028" s="1" t="n">
        <v>46296</v>
      </c>
      <c r="F2028" t="inlineStr">
        <is>
          <t>GÄVLEBORGS LÄN</t>
        </is>
      </c>
      <c r="G2028" t="inlineStr">
        <is>
          <t>BOLLNÄS</t>
        </is>
      </c>
      <c r="I2028" t="n">
        <v>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19643-2026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46134</v>
      </c>
      <c r="E2029" s="1" t="n">
        <v>46296</v>
      </c>
      <c r="F2029" t="inlineStr">
        <is>
          <t>GÄVLEBORGS LÄN</t>
        </is>
      </c>
      <c r="G2029" t="inlineStr">
        <is>
          <t>BOLLNÄS</t>
        </is>
      </c>
      <c r="I2029" t="n">
        <v>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23897-2026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46167</v>
      </c>
      <c r="E2030" s="1" t="n">
        <v>46296</v>
      </c>
      <c r="F2030" t="inlineStr">
        <is>
          <t>GÄVLEBORGS LÄN</t>
        </is>
      </c>
      <c r="G2030" t="inlineStr">
        <is>
          <t>BOLLNÄS</t>
        </is>
      </c>
      <c r="I2030" t="n">
        <v>3.2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22601-2026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46155</v>
      </c>
      <c r="E2031" s="1" t="n">
        <v>46296</v>
      </c>
      <c r="F2031" t="inlineStr">
        <is>
          <t>GÄVLEBORGS LÄN</t>
        </is>
      </c>
      <c r="G2031" t="inlineStr">
        <is>
          <t>BOLLNÄS</t>
        </is>
      </c>
      <c r="I2031" t="n">
        <v>3.2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23256-2026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46162</v>
      </c>
      <c r="E2032" s="1" t="n">
        <v>46296</v>
      </c>
      <c r="F2032" t="inlineStr">
        <is>
          <t>GÄVLEBORGS LÄN</t>
        </is>
      </c>
      <c r="G2032" t="inlineStr">
        <is>
          <t>BOLLNÄS</t>
        </is>
      </c>
      <c r="I2032" t="n">
        <v>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39077-2026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46287</v>
      </c>
      <c r="E2033" s="1" t="n">
        <v>46296</v>
      </c>
      <c r="F2033" t="inlineStr">
        <is>
          <t>GÄVLEBORGS LÄN</t>
        </is>
      </c>
      <c r="G2033" t="inlineStr">
        <is>
          <t>BOLLNÄS</t>
        </is>
      </c>
      <c r="I2033" t="n">
        <v>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10213-2026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46076</v>
      </c>
      <c r="E2034" s="1" t="n">
        <v>46296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3.6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4000-2023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45237</v>
      </c>
      <c r="E2035" s="1" t="n">
        <v>46296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Holmen skog AB</t>
        </is>
      </c>
      <c r="I2035" t="n">
        <v>16.2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10329-2021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44546</v>
      </c>
      <c r="E2036" s="1" t="n">
        <v>46296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Sveaskog</t>
        </is>
      </c>
      <c r="I2036" t="n">
        <v>188.9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972-2023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45005</v>
      </c>
      <c r="E2037" s="1" t="n">
        <v>46296</v>
      </c>
      <c r="F2037" t="inlineStr">
        <is>
          <t>GÄVLEBORGS LÄN</t>
        </is>
      </c>
      <c r="G2037" t="inlineStr">
        <is>
          <t>BOLLNÄS</t>
        </is>
      </c>
      <c r="I2037" t="n">
        <v>0.1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392-2025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45695</v>
      </c>
      <c r="E2038" s="1" t="n">
        <v>46296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öst AB</t>
        </is>
      </c>
      <c r="I2038" t="n">
        <v>32.2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5000-2024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45631</v>
      </c>
      <c r="E2039" s="1" t="n">
        <v>46296</v>
      </c>
      <c r="F2039" t="inlineStr">
        <is>
          <t>GÄVLEBORGS LÄN</t>
        </is>
      </c>
      <c r="G2039" t="inlineStr">
        <is>
          <t>BOLLNÄS</t>
        </is>
      </c>
      <c r="I2039" t="n">
        <v>3.7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400-2025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45699</v>
      </c>
      <c r="E2040" s="1" t="n">
        <v>46296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öst AB</t>
        </is>
      </c>
      <c r="I2040" t="n">
        <v>32.2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1092-2024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45391</v>
      </c>
      <c r="E2041" s="1" t="n">
        <v>46296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523.4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188-2022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44566</v>
      </c>
      <c r="E2042" s="1" t="n">
        <v>46296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väst AB</t>
        </is>
      </c>
      <c r="I2042" t="n">
        <v>17.9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180-2022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44566</v>
      </c>
      <c r="E2043" s="1" t="n">
        <v>46296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60.4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560-2022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44589</v>
      </c>
      <c r="E2044" s="1" t="n">
        <v>46296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öst AB</t>
        </is>
      </c>
      <c r="I2044" t="n">
        <v>56.9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586-2024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45351</v>
      </c>
      <c r="E2045" s="1" t="n">
        <v>46296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Sveaskog</t>
        </is>
      </c>
      <c r="I2045" t="n">
        <v>205.2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1359-2025</t>
        </is>
      </c>
      <c r="B2046" t="inlineStr">
        <is>
          <t>samrådsanmälan</t>
        </is>
      </c>
      <c r="C2046" t="inlineStr">
        <is>
          <t>Annan skogsbruksåtgärd</t>
        </is>
      </c>
      <c r="D2046" s="1" t="n">
        <v>45775</v>
      </c>
      <c r="E2046" s="1" t="n">
        <v>46296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3.4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1309-2025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45770</v>
      </c>
      <c r="E2047" s="1" t="n">
        <v>46296</v>
      </c>
      <c r="F2047" t="inlineStr">
        <is>
          <t>GÄVLEBORGS LÄN</t>
        </is>
      </c>
      <c r="G2047" t="inlineStr">
        <is>
          <t>BOLLNÄS</t>
        </is>
      </c>
      <c r="I2047" t="n">
        <v>31.8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1894-2025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45825</v>
      </c>
      <c r="E2048" s="1" t="n">
        <v>46296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Sveaskog</t>
        </is>
      </c>
      <c r="I2048" t="n">
        <v>10.7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1074-2024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45387</v>
      </c>
      <c r="E2049" s="1" t="n">
        <v>46296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väst AB</t>
        </is>
      </c>
      <c r="I2049" t="n">
        <v>245.9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479-2026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46072</v>
      </c>
      <c r="E2050" s="1" t="n">
        <v>46296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Sveaskog</t>
        </is>
      </c>
      <c r="I2050" t="n">
        <v>2.8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1042-2026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46125</v>
      </c>
      <c r="E2051" s="1" t="n">
        <v>46296</v>
      </c>
      <c r="F2051" t="inlineStr">
        <is>
          <t>GÄVLEBORGS LÄN</t>
        </is>
      </c>
      <c r="G2051" t="inlineStr">
        <is>
          <t>BOLLNÄS</t>
        </is>
      </c>
      <c r="I2051" t="n">
        <v>7.8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1559-2026</t>
        </is>
      </c>
      <c r="B2052" t="inlineStr">
        <is>
          <t>samrådsanmälan</t>
        </is>
      </c>
      <c r="C2052" t="inlineStr">
        <is>
          <t>Stubbskörd</t>
        </is>
      </c>
      <c r="D2052" s="1" t="n">
        <v>46168</v>
      </c>
      <c r="E2052" s="1" t="n">
        <v>46296</v>
      </c>
      <c r="F2052" t="inlineStr">
        <is>
          <t>GÄVLEBORGS LÄN</t>
        </is>
      </c>
      <c r="G2052" t="inlineStr">
        <is>
          <t>BOLLNÄS</t>
        </is>
      </c>
      <c r="I2052" t="n">
        <v>6.9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1599-2026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46174</v>
      </c>
      <c r="E2053" s="1" t="n">
        <v>46296</v>
      </c>
      <c r="F2053" t="inlineStr">
        <is>
          <t>GÄVLEBORGS LÄN</t>
        </is>
      </c>
      <c r="G2053" t="inlineStr">
        <is>
          <t>BOLLNÄS</t>
        </is>
      </c>
      <c r="I2053" t="n">
        <v>3.7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424-2026</t>
        </is>
      </c>
      <c r="B2054" t="inlineStr">
        <is>
          <t>samrådsanmälan</t>
        </is>
      </c>
      <c r="C2054" t="inlineStr">
        <is>
          <t>Annan skogsbruksåtgärd</t>
        </is>
      </c>
      <c r="D2054" s="1" t="n">
        <v>46070</v>
      </c>
      <c r="E2054" s="1" t="n">
        <v>46296</v>
      </c>
      <c r="F2054" t="inlineStr">
        <is>
          <t>GÄVLEBORGS LÄN</t>
        </is>
      </c>
      <c r="G2054" t="inlineStr">
        <is>
          <t>BOLLNÄS</t>
        </is>
      </c>
      <c r="I2054" t="n">
        <v>33.3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672-2026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46090</v>
      </c>
      <c r="E2055" s="1" t="n">
        <v>46296</v>
      </c>
      <c r="F2055" t="inlineStr">
        <is>
          <t>GÄVLEBORGS LÄN</t>
        </is>
      </c>
      <c r="G2055" t="inlineStr">
        <is>
          <t>BOLLNÄS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>
      <c r="A2056" t="inlineStr">
        <is>
          <t>S 2558-2026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46294</v>
      </c>
      <c r="E2056" s="1" t="n">
        <v>46296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1.5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2026-10-01T01:59:28Z</dcterms:created>
  <dcterms:modified xmlns:dcterms="http://purl.org/dc/terms/" xmlns:xsi="http://www.w3.org/2001/XMLSchema-instance" xsi:type="dcterms:W3CDTF">2026-10-01T01:59:30Z</dcterms:modified>
</cp:coreProperties>
</file>