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46180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</v>
      </c>
      <c r="C3" s="1" t="n">
        <v>46180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44152-2025</t>
        </is>
      </c>
      <c r="B4" s="1" t="n">
        <v>45915</v>
      </c>
      <c r="C4" s="1" t="n">
        <v>46180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2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Rödvingetrast
Spillkråka
Ullticka
Dropptaggsvamp</t>
        </is>
      </c>
      <c r="S4">
        <f>HYPERLINK("https://klasma.github.io/Logging_2183/artfynd/A 44152-2025 artfynd.xlsx", "A 44152-2025")</f>
        <v/>
      </c>
      <c r="T4">
        <f>HYPERLINK("https://klasma.github.io/Logging_2183/kartor/A 44152-2025 karta.png", "A 44152-2025")</f>
        <v/>
      </c>
      <c r="V4">
        <f>HYPERLINK("https://klasma.github.io/Logging_2183/klagomål/A 44152-2025 FSC-klagomål.docx", "A 44152-2025")</f>
        <v/>
      </c>
      <c r="W4">
        <f>HYPERLINK("https://klasma.github.io/Logging_2183/klagomålsmail/A 44152-2025 FSC-klagomål mail.docx", "A 44152-2025")</f>
        <v/>
      </c>
      <c r="X4">
        <f>HYPERLINK("https://klasma.github.io/Logging_2183/tillsyn/A 44152-2025 tillsynsbegäran.docx", "A 44152-2025")</f>
        <v/>
      </c>
      <c r="Y4">
        <f>HYPERLINK("https://klasma.github.io/Logging_2183/tillsynsmail/A 44152-2025 tillsynsbegäran mail.docx", "A 44152-2025")</f>
        <v/>
      </c>
      <c r="Z4">
        <f>HYPERLINK("https://klasma.github.io/Logging_2183/fåglar/A 44152-2025 prioriterade fågelarter.docx", "A 44152-2025")</f>
        <v/>
      </c>
    </row>
    <row r="5" ht="15" customHeight="1">
      <c r="A5" t="inlineStr">
        <is>
          <t>A 31312-2025</t>
        </is>
      </c>
      <c r="B5" s="1" t="n">
        <v>45833</v>
      </c>
      <c r="C5" s="1" t="n">
        <v>46180</v>
      </c>
      <c r="D5" t="inlineStr">
        <is>
          <t>GÄVLEBORGS LÄN</t>
        </is>
      </c>
      <c r="E5" t="inlineStr">
        <is>
          <t>BOLLNÄS</t>
        </is>
      </c>
      <c r="G5" t="n">
        <v>7.7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Brunlångöra
Fransfladdermus
Nordfladdermus
Mustaschfladdermus
Vattenfladdermus</t>
        </is>
      </c>
      <c r="S5">
        <f>HYPERLINK("https://klasma.github.io/Logging_2183/artfynd/A 31312-2025 artfynd.xlsx", "A 31312-2025")</f>
        <v/>
      </c>
      <c r="T5">
        <f>HYPERLINK("https://klasma.github.io/Logging_2183/kartor/A 31312-2025 karta.png", "A 31312-2025")</f>
        <v/>
      </c>
      <c r="V5">
        <f>HYPERLINK("https://klasma.github.io/Logging_2183/klagomål/A 31312-2025 FSC-klagomål.docx", "A 31312-2025")</f>
        <v/>
      </c>
      <c r="W5">
        <f>HYPERLINK("https://klasma.github.io/Logging_2183/klagomålsmail/A 31312-2025 FSC-klagomål mail.docx", "A 31312-2025")</f>
        <v/>
      </c>
      <c r="X5">
        <f>HYPERLINK("https://klasma.github.io/Logging_2183/tillsyn/A 31312-2025 tillsynsbegäran.docx", "A 31312-2025")</f>
        <v/>
      </c>
      <c r="Y5">
        <f>HYPERLINK("https://klasma.github.io/Logging_2183/tillsynsmail/A 31312-2025 tillsynsbegäran mail.docx", "A 31312-2025")</f>
        <v/>
      </c>
    </row>
    <row r="6" ht="15" customHeight="1">
      <c r="A6" t="inlineStr">
        <is>
          <t>A 25524-2026</t>
        </is>
      </c>
      <c r="B6" s="1" t="n">
        <v>46177.52336805555</v>
      </c>
      <c r="C6" s="1" t="n">
        <v>46180</v>
      </c>
      <c r="D6" t="inlineStr">
        <is>
          <t>GÄVLEBORGS LÄN</t>
        </is>
      </c>
      <c r="E6" t="inlineStr">
        <is>
          <t>BOLLNÄS</t>
        </is>
      </c>
      <c r="G6" t="n">
        <v>5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Tretåig hackspett
Spindelblomster
Lavskrika
Fläcknycklar</t>
        </is>
      </c>
      <c r="S6">
        <f>HYPERLINK("https://klasma.github.io/Logging_2183/artfynd/A 25524-2026 artfynd.xlsx", "A 25524-2026")</f>
        <v/>
      </c>
      <c r="T6">
        <f>HYPERLINK("https://klasma.github.io/Logging_2183/kartor/A 25524-2026 karta.png", "A 25524-2026")</f>
        <v/>
      </c>
      <c r="U6">
        <f>HYPERLINK("https://klasma.github.io/Logging_2183/knärot/A 25524-2026 karta knärot.png", "A 25524-2026")</f>
        <v/>
      </c>
      <c r="V6">
        <f>HYPERLINK("https://klasma.github.io/Logging_2183/klagomål/A 25524-2026 FSC-klagomål.docx", "A 25524-2026")</f>
        <v/>
      </c>
      <c r="W6">
        <f>HYPERLINK("https://klasma.github.io/Logging_2183/klagomålsmail/A 25524-2026 FSC-klagomål mail.docx", "A 25524-2026")</f>
        <v/>
      </c>
      <c r="X6">
        <f>HYPERLINK("https://klasma.github.io/Logging_2183/tillsyn/A 25524-2026 tillsynsbegäran.docx", "A 25524-2026")</f>
        <v/>
      </c>
      <c r="Y6">
        <f>HYPERLINK("https://klasma.github.io/Logging_2183/tillsynsmail/A 25524-2026 tillsynsbegäran mail.docx", "A 25524-2026")</f>
        <v/>
      </c>
      <c r="Z6">
        <f>HYPERLINK("https://klasma.github.io/Logging_2183/fåglar/A 25524-2026 prioriterade fågelarter.docx", "A 25524-2026")</f>
        <v/>
      </c>
    </row>
    <row r="7" ht="15" customHeight="1">
      <c r="A7" t="inlineStr">
        <is>
          <t>A 18632-2026</t>
        </is>
      </c>
      <c r="B7" s="1" t="n">
        <v>46128.25271990741</v>
      </c>
      <c r="C7" s="1" t="n">
        <v>46180</v>
      </c>
      <c r="D7" t="inlineStr">
        <is>
          <t>GÄVLEBORGS LÄN</t>
        </is>
      </c>
      <c r="E7" t="inlineStr">
        <is>
          <t>BOLLNÄS</t>
        </is>
      </c>
      <c r="G7" t="n">
        <v>24.6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Mustaschfladdermus
Vattenfladdermus</t>
        </is>
      </c>
      <c r="S7">
        <f>HYPERLINK("https://klasma.github.io/Logging_2183/artfynd/A 18632-2026 artfynd.xlsx", "A 18632-2026")</f>
        <v/>
      </c>
      <c r="T7">
        <f>HYPERLINK("https://klasma.github.io/Logging_2183/kartor/A 18632-2026 karta.png", "A 18632-2026")</f>
        <v/>
      </c>
      <c r="V7">
        <f>HYPERLINK("https://klasma.github.io/Logging_2183/klagomål/A 18632-2026 FSC-klagomål.docx", "A 18632-2026")</f>
        <v/>
      </c>
      <c r="W7">
        <f>HYPERLINK("https://klasma.github.io/Logging_2183/klagomålsmail/A 18632-2026 FSC-klagomål mail.docx", "A 18632-2026")</f>
        <v/>
      </c>
      <c r="X7">
        <f>HYPERLINK("https://klasma.github.io/Logging_2183/tillsyn/A 18632-2026 tillsynsbegäran.docx", "A 18632-2026")</f>
        <v/>
      </c>
      <c r="Y7">
        <f>HYPERLINK("https://klasma.github.io/Logging_2183/tillsynsmail/A 18632-2026 tillsynsbegäran mail.docx", "A 18632-2026")</f>
        <v/>
      </c>
    </row>
    <row r="8" ht="15" customHeight="1">
      <c r="A8" t="inlineStr">
        <is>
          <t>A 43259-2021</t>
        </is>
      </c>
      <c r="B8" s="1" t="n">
        <v>44432</v>
      </c>
      <c r="C8" s="1" t="n">
        <v>46180</v>
      </c>
      <c r="D8" t="inlineStr">
        <is>
          <t>GÄVLEBORGS LÄN</t>
        </is>
      </c>
      <c r="E8" t="inlineStr">
        <is>
          <t>BOLLNÄS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Brunlångöra
Grönpyrola</t>
        </is>
      </c>
      <c r="S8">
        <f>HYPERLINK("https://klasma.github.io/Logging_2183/artfynd/A 43259-2021 artfynd.xlsx", "A 43259-2021")</f>
        <v/>
      </c>
      <c r="T8">
        <f>HYPERLINK("https://klasma.github.io/Logging_2183/kartor/A 43259-2021 karta.png", "A 43259-2021")</f>
        <v/>
      </c>
      <c r="U8">
        <f>HYPERLINK("https://klasma.github.io/Logging_2183/knärot/A 43259-2021 karta knärot.png", "A 43259-2021")</f>
        <v/>
      </c>
      <c r="V8">
        <f>HYPERLINK("https://klasma.github.io/Logging_2183/klagomål/A 43259-2021 FSC-klagomål.docx", "A 43259-2021")</f>
        <v/>
      </c>
      <c r="W8">
        <f>HYPERLINK("https://klasma.github.io/Logging_2183/klagomålsmail/A 43259-2021 FSC-klagomål mail.docx", "A 43259-2021")</f>
        <v/>
      </c>
      <c r="X8">
        <f>HYPERLINK("https://klasma.github.io/Logging_2183/tillsyn/A 43259-2021 tillsynsbegäran.docx", "A 43259-2021")</f>
        <v/>
      </c>
      <c r="Y8">
        <f>HYPERLINK("https://klasma.github.io/Logging_2183/tillsynsmail/A 43259-2021 tillsynsbegäran mail.docx", "A 43259-2021")</f>
        <v/>
      </c>
    </row>
    <row r="9" ht="15" customHeight="1">
      <c r="A9" t="inlineStr">
        <is>
          <t>A 58515-2021</t>
        </is>
      </c>
      <c r="B9" s="1" t="n">
        <v>44488.65100694444</v>
      </c>
      <c r="C9" s="1" t="n">
        <v>46180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20244-2026</t>
        </is>
      </c>
      <c r="B10" s="1" t="n">
        <v>46139.47620370371</v>
      </c>
      <c r="C10" s="1" t="n">
        <v>46180</v>
      </c>
      <c r="D10" t="inlineStr">
        <is>
          <t>GÄVLEBORGS LÄN</t>
        </is>
      </c>
      <c r="E10" t="inlineStr">
        <is>
          <t>BOLLNÄS</t>
        </is>
      </c>
      <c r="G10" t="n">
        <v>43.3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Grönkulla
Nattviol
Blåsippa</t>
        </is>
      </c>
      <c r="S10">
        <f>HYPERLINK("https://klasma.github.io/Logging_2183/artfynd/A 20244-2026 artfynd.xlsx", "A 20244-2026")</f>
        <v/>
      </c>
      <c r="T10">
        <f>HYPERLINK("https://klasma.github.io/Logging_2183/kartor/A 20244-2026 karta.png", "A 20244-2026")</f>
        <v/>
      </c>
      <c r="V10">
        <f>HYPERLINK("https://klasma.github.io/Logging_2183/klagomål/A 20244-2026 FSC-klagomål.docx", "A 20244-2026")</f>
        <v/>
      </c>
      <c r="W10">
        <f>HYPERLINK("https://klasma.github.io/Logging_2183/klagomålsmail/A 20244-2026 FSC-klagomål mail.docx", "A 20244-2026")</f>
        <v/>
      </c>
      <c r="X10">
        <f>HYPERLINK("https://klasma.github.io/Logging_2183/tillsyn/A 20244-2026 tillsynsbegäran.docx", "A 20244-2026")</f>
        <v/>
      </c>
      <c r="Y10">
        <f>HYPERLINK("https://klasma.github.io/Logging_2183/tillsynsmail/A 20244-2026 tillsynsbegäran mail.docx", "A 20244-2026")</f>
        <v/>
      </c>
    </row>
    <row r="11" ht="15" customHeight="1">
      <c r="A11" t="inlineStr">
        <is>
          <t>A 737-2026</t>
        </is>
      </c>
      <c r="B11" s="1" t="n">
        <v>46029.65667824074</v>
      </c>
      <c r="C11" s="1" t="n">
        <v>46180</v>
      </c>
      <c r="D11" t="inlineStr">
        <is>
          <t>GÄVLEBORGS LÄN</t>
        </is>
      </c>
      <c r="E11" t="inlineStr">
        <is>
          <t>BOLLNÄS</t>
        </is>
      </c>
      <c r="G11" t="n">
        <v>13.3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Gräsull
Fläcknycklar</t>
        </is>
      </c>
      <c r="S11">
        <f>HYPERLINK("https://klasma.github.io/Logging_2183/artfynd/A 737-2026 artfynd.xlsx", "A 737-2026")</f>
        <v/>
      </c>
      <c r="T11">
        <f>HYPERLINK("https://klasma.github.io/Logging_2183/kartor/A 737-2026 karta.png", "A 737-2026")</f>
        <v/>
      </c>
      <c r="V11">
        <f>HYPERLINK("https://klasma.github.io/Logging_2183/klagomål/A 737-2026 FSC-klagomål.docx", "A 737-2026")</f>
        <v/>
      </c>
      <c r="W11">
        <f>HYPERLINK("https://klasma.github.io/Logging_2183/klagomålsmail/A 737-2026 FSC-klagomål mail.docx", "A 737-2026")</f>
        <v/>
      </c>
      <c r="X11">
        <f>HYPERLINK("https://klasma.github.io/Logging_2183/tillsyn/A 737-2026 tillsynsbegäran.docx", "A 737-2026")</f>
        <v/>
      </c>
      <c r="Y11">
        <f>HYPERLINK("https://klasma.github.io/Logging_2183/tillsynsmail/A 737-2026 tillsynsbegäran mail.docx", "A 737-2026")</f>
        <v/>
      </c>
    </row>
    <row r="12" ht="15" customHeight="1">
      <c r="A12" t="inlineStr">
        <is>
          <t>A 38971-2024</t>
        </is>
      </c>
      <c r="B12" s="1" t="n">
        <v>45548</v>
      </c>
      <c r="C12" s="1" t="n">
        <v>46180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5.7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Lavskrika
Pärluggla</t>
        </is>
      </c>
      <c r="S12">
        <f>HYPERLINK("https://klasma.github.io/Logging_2183/artfynd/A 38971-2024 artfynd.xlsx", "A 38971-2024")</f>
        <v/>
      </c>
      <c r="T12">
        <f>HYPERLINK("https://klasma.github.io/Logging_2183/kartor/A 38971-2024 karta.png", "A 38971-2024")</f>
        <v/>
      </c>
      <c r="V12">
        <f>HYPERLINK("https://klasma.github.io/Logging_2183/klagomål/A 38971-2024 FSC-klagomål.docx", "A 38971-2024")</f>
        <v/>
      </c>
      <c r="W12">
        <f>HYPERLINK("https://klasma.github.io/Logging_2183/klagomålsmail/A 38971-2024 FSC-klagomål mail.docx", "A 38971-2024")</f>
        <v/>
      </c>
      <c r="X12">
        <f>HYPERLINK("https://klasma.github.io/Logging_2183/tillsyn/A 38971-2024 tillsynsbegäran.docx", "A 38971-2024")</f>
        <v/>
      </c>
      <c r="Y12">
        <f>HYPERLINK("https://klasma.github.io/Logging_2183/tillsynsmail/A 38971-2024 tillsynsbegäran mail.docx", "A 38971-2024")</f>
        <v/>
      </c>
      <c r="Z12">
        <f>HYPERLINK("https://klasma.github.io/Logging_2183/fåglar/A 38971-2024 prioriterade fågelarter.docx", "A 38971-2024")</f>
        <v/>
      </c>
    </row>
    <row r="13" ht="15" customHeight="1">
      <c r="A13" t="inlineStr">
        <is>
          <t>A 23504-2023</t>
        </is>
      </c>
      <c r="B13" s="1" t="n">
        <v>45076</v>
      </c>
      <c r="C13" s="1" t="n">
        <v>46180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11.6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Lavskrika
Fläcknycklar</t>
        </is>
      </c>
      <c r="S13">
        <f>HYPERLINK("https://klasma.github.io/Logging_2183/artfynd/A 23504-2023 artfynd.xlsx", "A 23504-2023")</f>
        <v/>
      </c>
      <c r="T13">
        <f>HYPERLINK("https://klasma.github.io/Logging_2183/kartor/A 23504-2023 karta.png", "A 23504-2023")</f>
        <v/>
      </c>
      <c r="V13">
        <f>HYPERLINK("https://klasma.github.io/Logging_2183/klagomål/A 23504-2023 FSC-klagomål.docx", "A 23504-2023")</f>
        <v/>
      </c>
      <c r="W13">
        <f>HYPERLINK("https://klasma.github.io/Logging_2183/klagomålsmail/A 23504-2023 FSC-klagomål mail.docx", "A 23504-2023")</f>
        <v/>
      </c>
      <c r="X13">
        <f>HYPERLINK("https://klasma.github.io/Logging_2183/tillsyn/A 23504-2023 tillsynsbegäran.docx", "A 23504-2023")</f>
        <v/>
      </c>
      <c r="Y13">
        <f>HYPERLINK("https://klasma.github.io/Logging_2183/tillsynsmail/A 23504-2023 tillsynsbegäran mail.docx", "A 23504-2023")</f>
        <v/>
      </c>
      <c r="Z13">
        <f>HYPERLINK("https://klasma.github.io/Logging_2183/fåglar/A 23504-2023 prioriterade fågelarter.docx", "A 23504-2023")</f>
        <v/>
      </c>
    </row>
    <row r="14" ht="15" customHeight="1">
      <c r="A14" t="inlineStr">
        <is>
          <t>A 8230-2026</t>
        </is>
      </c>
      <c r="B14" s="1" t="n">
        <v>46064</v>
      </c>
      <c r="C14" s="1" t="n">
        <v>46180</v>
      </c>
      <c r="D14" t="inlineStr">
        <is>
          <t>GÄVLEBORGS LÄN</t>
        </is>
      </c>
      <c r="E14" t="inlineStr">
        <is>
          <t>BOLLNÄS</t>
        </is>
      </c>
      <c r="F14" t="inlineStr">
        <is>
          <t>Bergvik skog väst AB</t>
        </is>
      </c>
      <c r="G14" t="n">
        <v>2.2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HYPERLINK("https://klasma.github.io/Logging_2183/artfynd/A 8230-2026 artfynd.xlsx", "A 8230-2026")</f>
        <v/>
      </c>
      <c r="T14">
        <f>HYPERLINK("https://klasma.github.io/Logging_2183/kartor/A 8230-2026 karta.png", "A 8230-2026")</f>
        <v/>
      </c>
      <c r="V14">
        <f>HYPERLINK("https://klasma.github.io/Logging_2183/klagomål/A 8230-2026 FSC-klagomål.docx", "A 8230-2026")</f>
        <v/>
      </c>
      <c r="W14">
        <f>HYPERLINK("https://klasma.github.io/Logging_2183/klagomålsmail/A 8230-2026 FSC-klagomål mail.docx", "A 8230-2026")</f>
        <v/>
      </c>
      <c r="X14">
        <f>HYPERLINK("https://klasma.github.io/Logging_2183/tillsyn/A 8230-2026 tillsynsbegäran.docx", "A 8230-2026")</f>
        <v/>
      </c>
      <c r="Y14">
        <f>HYPERLINK("https://klasma.github.io/Logging_2183/tillsynsmail/A 8230-2026 tillsynsbegäran mail.docx", "A 8230-2026")</f>
        <v/>
      </c>
    </row>
    <row r="15" ht="15" customHeight="1">
      <c r="A15" t="inlineStr">
        <is>
          <t>A 11946-2026</t>
        </is>
      </c>
      <c r="B15" s="1" t="n">
        <v>46085.59917824074</v>
      </c>
      <c r="C15" s="1" t="n">
        <v>46180</v>
      </c>
      <c r="D15" t="inlineStr">
        <is>
          <t>GÄVLEBORGS LÄN</t>
        </is>
      </c>
      <c r="E15" t="inlineStr">
        <is>
          <t>BOLLNÄS</t>
        </is>
      </c>
      <c r="G15" t="n">
        <v>8.5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Månlåsbräken
Sandviol</t>
        </is>
      </c>
      <c r="S15">
        <f>HYPERLINK("https://klasma.github.io/Logging_2183/artfynd/A 11946-2026 artfynd.xlsx", "A 11946-2026")</f>
        <v/>
      </c>
      <c r="T15">
        <f>HYPERLINK("https://klasma.github.io/Logging_2183/kartor/A 11946-2026 karta.png", "A 11946-2026")</f>
        <v/>
      </c>
      <c r="V15">
        <f>HYPERLINK("https://klasma.github.io/Logging_2183/klagomål/A 11946-2026 FSC-klagomål.docx", "A 11946-2026")</f>
        <v/>
      </c>
      <c r="W15">
        <f>HYPERLINK("https://klasma.github.io/Logging_2183/klagomålsmail/A 11946-2026 FSC-klagomål mail.docx", "A 11946-2026")</f>
        <v/>
      </c>
      <c r="X15">
        <f>HYPERLINK("https://klasma.github.io/Logging_2183/tillsyn/A 11946-2026 tillsynsbegäran.docx", "A 11946-2026")</f>
        <v/>
      </c>
      <c r="Y15">
        <f>HYPERLINK("https://klasma.github.io/Logging_2183/tillsynsmail/A 11946-2026 tillsynsbegäran mail.docx", "A 11946-2026")</f>
        <v/>
      </c>
    </row>
    <row r="16" ht="15" customHeight="1">
      <c r="A16" t="inlineStr">
        <is>
          <t>A 59431-2025</t>
        </is>
      </c>
      <c r="B16" s="1" t="n">
        <v>45989.55064814815</v>
      </c>
      <c r="C16" s="1" t="n">
        <v>46180</v>
      </c>
      <c r="D16" t="inlineStr">
        <is>
          <t>GÄVLEBORGS LÄN</t>
        </is>
      </c>
      <c r="E16" t="inlineStr">
        <is>
          <t>BOLLNÄS</t>
        </is>
      </c>
      <c r="G16" t="n">
        <v>5.4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Kolflarnlav
Bollvitmossa</t>
        </is>
      </c>
      <c r="S16">
        <f>HYPERLINK("https://klasma.github.io/Logging_2183/artfynd/A 59431-2025 artfynd.xlsx", "A 59431-2025")</f>
        <v/>
      </c>
      <c r="T16">
        <f>HYPERLINK("https://klasma.github.io/Logging_2183/kartor/A 59431-2025 karta.png", "A 59431-2025")</f>
        <v/>
      </c>
      <c r="V16">
        <f>HYPERLINK("https://klasma.github.io/Logging_2183/klagomål/A 59431-2025 FSC-klagomål.docx", "A 59431-2025")</f>
        <v/>
      </c>
      <c r="W16">
        <f>HYPERLINK("https://klasma.github.io/Logging_2183/klagomålsmail/A 59431-2025 FSC-klagomål mail.docx", "A 59431-2025")</f>
        <v/>
      </c>
      <c r="X16">
        <f>HYPERLINK("https://klasma.github.io/Logging_2183/tillsyn/A 59431-2025 tillsynsbegäran.docx", "A 59431-2025")</f>
        <v/>
      </c>
      <c r="Y16">
        <f>HYPERLINK("https://klasma.github.io/Logging_2183/tillsynsmail/A 59431-2025 tillsynsbegäran mail.docx", "A 59431-2025")</f>
        <v/>
      </c>
    </row>
    <row r="17" ht="15" customHeight="1">
      <c r="A17" t="inlineStr">
        <is>
          <t>A 20710-2023</t>
        </is>
      </c>
      <c r="B17" s="1" t="n">
        <v>45058</v>
      </c>
      <c r="C17" s="1" t="n">
        <v>46180</v>
      </c>
      <c r="D17" t="inlineStr">
        <is>
          <t>GÄVLEBORGS LÄN</t>
        </is>
      </c>
      <c r="E17" t="inlineStr">
        <is>
          <t>BOLLNÄS</t>
        </is>
      </c>
      <c r="G17" t="n">
        <v>8.800000000000001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Lavskrika</t>
        </is>
      </c>
      <c r="S17">
        <f>HYPERLINK("https://klasma.github.io/Logging_2183/artfynd/A 20710-2023 artfynd.xlsx", "A 20710-2023")</f>
        <v/>
      </c>
      <c r="T17">
        <f>HYPERLINK("https://klasma.github.io/Logging_2183/kartor/A 20710-2023 karta.png", "A 20710-2023")</f>
        <v/>
      </c>
      <c r="U17">
        <f>HYPERLINK("https://klasma.github.io/Logging_2183/knärot/A 20710-2023 karta knärot.png", "A 20710-2023")</f>
        <v/>
      </c>
      <c r="V17">
        <f>HYPERLINK("https://klasma.github.io/Logging_2183/klagomål/A 20710-2023 FSC-klagomål.docx", "A 20710-2023")</f>
        <v/>
      </c>
      <c r="W17">
        <f>HYPERLINK("https://klasma.github.io/Logging_2183/klagomålsmail/A 20710-2023 FSC-klagomål mail.docx", "A 20710-2023")</f>
        <v/>
      </c>
      <c r="X17">
        <f>HYPERLINK("https://klasma.github.io/Logging_2183/tillsyn/A 20710-2023 tillsynsbegäran.docx", "A 20710-2023")</f>
        <v/>
      </c>
      <c r="Y17">
        <f>HYPERLINK("https://klasma.github.io/Logging_2183/tillsynsmail/A 20710-2023 tillsynsbegäran mail.docx", "A 20710-2023")</f>
        <v/>
      </c>
      <c r="Z17">
        <f>HYPERLINK("https://klasma.github.io/Logging_2183/fåglar/A 20710-2023 prioriterade fågelarter.docx", "A 20710-2023")</f>
        <v/>
      </c>
    </row>
    <row r="18" ht="15" customHeight="1">
      <c r="A18" t="inlineStr">
        <is>
          <t>A 18369-2026</t>
        </is>
      </c>
      <c r="B18" s="1" t="n">
        <v>46126</v>
      </c>
      <c r="C18" s="1" t="n">
        <v>46180</v>
      </c>
      <c r="D18" t="inlineStr">
        <is>
          <t>GÄVLEBORGS LÄN</t>
        </is>
      </c>
      <c r="E18" t="inlineStr">
        <is>
          <t>BOLLNÄS</t>
        </is>
      </c>
      <c r="G18" t="n">
        <v>8.300000000000001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Lakritsmusseron
Skrovlig taggsvamp</t>
        </is>
      </c>
      <c r="S18">
        <f>HYPERLINK("https://klasma.github.io/Logging_2183/artfynd/A 18369-2026 artfynd.xlsx", "A 18369-2026")</f>
        <v/>
      </c>
      <c r="T18">
        <f>HYPERLINK("https://klasma.github.io/Logging_2183/kartor/A 18369-2026 karta.png", "A 18369-2026")</f>
        <v/>
      </c>
      <c r="V18">
        <f>HYPERLINK("https://klasma.github.io/Logging_2183/klagomål/A 18369-2026 FSC-klagomål.docx", "A 18369-2026")</f>
        <v/>
      </c>
      <c r="W18">
        <f>HYPERLINK("https://klasma.github.io/Logging_2183/klagomålsmail/A 18369-2026 FSC-klagomål mail.docx", "A 18369-2026")</f>
        <v/>
      </c>
      <c r="X18">
        <f>HYPERLINK("https://klasma.github.io/Logging_2183/tillsyn/A 18369-2026 tillsynsbegäran.docx", "A 18369-2026")</f>
        <v/>
      </c>
      <c r="Y18">
        <f>HYPERLINK("https://klasma.github.io/Logging_2183/tillsynsmail/A 18369-2026 tillsynsbegäran mail.docx", "A 18369-2026")</f>
        <v/>
      </c>
    </row>
    <row r="19" ht="15" customHeight="1">
      <c r="A19" t="inlineStr">
        <is>
          <t>A 27011-2024</t>
        </is>
      </c>
      <c r="B19" s="1" t="n">
        <v>45471.40319444444</v>
      </c>
      <c r="C19" s="1" t="n">
        <v>46180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4.1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Korallrot</t>
        </is>
      </c>
      <c r="S19">
        <f>HYPERLINK("https://klasma.github.io/Logging_2183/artfynd/A 27011-2024 artfynd.xlsx", "A 27011-2024")</f>
        <v/>
      </c>
      <c r="T19">
        <f>HYPERLINK("https://klasma.github.io/Logging_2183/kartor/A 27011-2024 karta.png", "A 27011-2024")</f>
        <v/>
      </c>
      <c r="U19">
        <f>HYPERLINK("https://klasma.github.io/Logging_2183/knärot/A 27011-2024 karta knärot.png", "A 27011-2024")</f>
        <v/>
      </c>
      <c r="V19">
        <f>HYPERLINK("https://klasma.github.io/Logging_2183/klagomål/A 27011-2024 FSC-klagomål.docx", "A 27011-2024")</f>
        <v/>
      </c>
      <c r="W19">
        <f>HYPERLINK("https://klasma.github.io/Logging_2183/klagomålsmail/A 27011-2024 FSC-klagomål mail.docx", "A 27011-2024")</f>
        <v/>
      </c>
      <c r="X19">
        <f>HYPERLINK("https://klasma.github.io/Logging_2183/tillsyn/A 27011-2024 tillsynsbegäran.docx", "A 27011-2024")</f>
        <v/>
      </c>
      <c r="Y19">
        <f>HYPERLINK("https://klasma.github.io/Logging_2183/tillsynsmail/A 27011-2024 tillsynsbegäran mail.docx", "A 27011-2024")</f>
        <v/>
      </c>
    </row>
    <row r="20" ht="15" customHeight="1">
      <c r="A20" t="inlineStr">
        <is>
          <t>A 38529-2022</t>
        </is>
      </c>
      <c r="B20" s="1" t="n">
        <v>44813</v>
      </c>
      <c r="C20" s="1" t="n">
        <v>46180</v>
      </c>
      <c r="D20" t="inlineStr">
        <is>
          <t>GÄVLEBORGS LÄN</t>
        </is>
      </c>
      <c r="E20" t="inlineStr">
        <is>
          <t>BOLLNÄS</t>
        </is>
      </c>
      <c r="G20" t="n">
        <v>0.9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Skrovlig taggsvamp</t>
        </is>
      </c>
      <c r="S20">
        <f>HYPERLINK("https://klasma.github.io/Logging_2183/artfynd/A 38529-2022 artfynd.xlsx", "A 38529-2022")</f>
        <v/>
      </c>
      <c r="T20">
        <f>HYPERLINK("https://klasma.github.io/Logging_2183/kartor/A 38529-2022 karta.png", "A 38529-2022")</f>
        <v/>
      </c>
      <c r="V20">
        <f>HYPERLINK("https://klasma.github.io/Logging_2183/klagomål/A 38529-2022 FSC-klagomål.docx", "A 38529-2022")</f>
        <v/>
      </c>
      <c r="W20">
        <f>HYPERLINK("https://klasma.github.io/Logging_2183/klagomålsmail/A 38529-2022 FSC-klagomål mail.docx", "A 38529-2022")</f>
        <v/>
      </c>
      <c r="X20">
        <f>HYPERLINK("https://klasma.github.io/Logging_2183/tillsyn/A 38529-2022 tillsynsbegäran.docx", "A 38529-2022")</f>
        <v/>
      </c>
      <c r="Y20">
        <f>HYPERLINK("https://klasma.github.io/Logging_2183/tillsynsmail/A 38529-2022 tillsynsbegäran mail.docx", "A 38529-2022")</f>
        <v/>
      </c>
    </row>
    <row r="21" ht="15" customHeight="1">
      <c r="A21" t="inlineStr">
        <is>
          <t>A 54083-2022</t>
        </is>
      </c>
      <c r="B21" s="1" t="n">
        <v>44881</v>
      </c>
      <c r="C21" s="1" t="n">
        <v>46180</v>
      </c>
      <c r="D21" t="inlineStr">
        <is>
          <t>GÄVLEBORGS LÄN</t>
        </is>
      </c>
      <c r="E21" t="inlineStr">
        <is>
          <t>BOLLNÄS</t>
        </is>
      </c>
      <c r="F21" t="inlineStr">
        <is>
          <t>Sveaskog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HYPERLINK("https://klasma.github.io/Logging_2183/artfynd/A 54083-2022 artfynd.xlsx", "A 54083-2022")</f>
        <v/>
      </c>
      <c r="T21">
        <f>HYPERLINK("https://klasma.github.io/Logging_2183/kartor/A 54083-2022 karta.png", "A 54083-2022")</f>
        <v/>
      </c>
      <c r="V21">
        <f>HYPERLINK("https://klasma.github.io/Logging_2183/klagomål/A 54083-2022 FSC-klagomål.docx", "A 54083-2022")</f>
        <v/>
      </c>
      <c r="W21">
        <f>HYPERLINK("https://klasma.github.io/Logging_2183/klagomålsmail/A 54083-2022 FSC-klagomål mail.docx", "A 54083-2022")</f>
        <v/>
      </c>
      <c r="X21">
        <f>HYPERLINK("https://klasma.github.io/Logging_2183/tillsyn/A 54083-2022 tillsynsbegäran.docx", "A 54083-2022")</f>
        <v/>
      </c>
      <c r="Y21">
        <f>HYPERLINK("https://klasma.github.io/Logging_2183/tillsynsmail/A 54083-2022 tillsynsbegäran mail.docx", "A 54083-2022")</f>
        <v/>
      </c>
    </row>
    <row r="22" ht="15" customHeight="1">
      <c r="A22" t="inlineStr">
        <is>
          <t>A 41663-2025</t>
        </is>
      </c>
      <c r="B22" s="1" t="n">
        <v>45902.35131944445</v>
      </c>
      <c r="C22" s="1" t="n">
        <v>46180</v>
      </c>
      <c r="D22" t="inlineStr">
        <is>
          <t>GÄVLEBORGS LÄN</t>
        </is>
      </c>
      <c r="E22" t="inlineStr">
        <is>
          <t>BOLLNÄS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HYPERLINK("https://klasma.github.io/Logging_2183/artfynd/A 41663-2025 artfynd.xlsx", "A 41663-2025")</f>
        <v/>
      </c>
      <c r="T22">
        <f>HYPERLINK("https://klasma.github.io/Logging_2183/kartor/A 41663-2025 karta.png", "A 41663-2025")</f>
        <v/>
      </c>
      <c r="V22">
        <f>HYPERLINK("https://klasma.github.io/Logging_2183/klagomål/A 41663-2025 FSC-klagomål.docx", "A 41663-2025")</f>
        <v/>
      </c>
      <c r="W22">
        <f>HYPERLINK("https://klasma.github.io/Logging_2183/klagomålsmail/A 41663-2025 FSC-klagomål mail.docx", "A 41663-2025")</f>
        <v/>
      </c>
      <c r="X22">
        <f>HYPERLINK("https://klasma.github.io/Logging_2183/tillsyn/A 41663-2025 tillsynsbegäran.docx", "A 41663-2025")</f>
        <v/>
      </c>
      <c r="Y22">
        <f>HYPERLINK("https://klasma.github.io/Logging_2183/tillsynsmail/A 41663-2025 tillsynsbegäran mail.docx", "A 41663-2025")</f>
        <v/>
      </c>
    </row>
    <row r="23" ht="15" customHeight="1">
      <c r="A23" t="inlineStr">
        <is>
          <t>A 3090-2026</t>
        </is>
      </c>
      <c r="B23" s="1" t="n">
        <v>46040.84027777778</v>
      </c>
      <c r="C23" s="1" t="n">
        <v>46180</v>
      </c>
      <c r="D23" t="inlineStr">
        <is>
          <t>GÄVLEBORGS LÄN</t>
        </is>
      </c>
      <c r="E23" t="inlineStr">
        <is>
          <t>BOLLNÄS</t>
        </is>
      </c>
      <c r="G23" t="n">
        <v>11.8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HYPERLINK("https://klasma.github.io/Logging_2183/artfynd/A 3090-2026 artfynd.xlsx", "A 3090-2026")</f>
        <v/>
      </c>
      <c r="T23">
        <f>HYPERLINK("https://klasma.github.io/Logging_2183/kartor/A 3090-2026 karta.png", "A 3090-2026")</f>
        <v/>
      </c>
      <c r="V23">
        <f>HYPERLINK("https://klasma.github.io/Logging_2183/klagomål/A 3090-2026 FSC-klagomål.docx", "A 3090-2026")</f>
        <v/>
      </c>
      <c r="W23">
        <f>HYPERLINK("https://klasma.github.io/Logging_2183/klagomålsmail/A 3090-2026 FSC-klagomål mail.docx", "A 3090-2026")</f>
        <v/>
      </c>
      <c r="X23">
        <f>HYPERLINK("https://klasma.github.io/Logging_2183/tillsyn/A 3090-2026 tillsynsbegäran.docx", "A 3090-2026")</f>
        <v/>
      </c>
      <c r="Y23">
        <f>HYPERLINK("https://klasma.github.io/Logging_2183/tillsynsmail/A 3090-2026 tillsynsbegäran mail.docx", "A 3090-2026")</f>
        <v/>
      </c>
      <c r="Z23">
        <f>HYPERLINK("https://klasma.github.io/Logging_2183/fåglar/A 3090-2026 prioriterade fågelarter.docx", "A 3090-2026")</f>
        <v/>
      </c>
    </row>
    <row r="24" ht="15" customHeight="1">
      <c r="A24" t="inlineStr">
        <is>
          <t>A 5130-2026</t>
        </is>
      </c>
      <c r="B24" s="1" t="n">
        <v>46049</v>
      </c>
      <c r="C24" s="1" t="n">
        <v>46180</v>
      </c>
      <c r="D24" t="inlineStr">
        <is>
          <t>GÄVLEBORGS LÄN</t>
        </is>
      </c>
      <c r="E24" t="inlineStr">
        <is>
          <t>BOLLNÄS</t>
        </is>
      </c>
      <c r="G24" t="n">
        <v>8.4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Nordfladdermus</t>
        </is>
      </c>
      <c r="S24">
        <f>HYPERLINK("https://klasma.github.io/Logging_2183/artfynd/A 5130-2026 artfynd.xlsx", "A 5130-2026")</f>
        <v/>
      </c>
      <c r="T24">
        <f>HYPERLINK("https://klasma.github.io/Logging_2183/kartor/A 5130-2026 karta.png", "A 5130-2026")</f>
        <v/>
      </c>
      <c r="V24">
        <f>HYPERLINK("https://klasma.github.io/Logging_2183/klagomål/A 5130-2026 FSC-klagomål.docx", "A 5130-2026")</f>
        <v/>
      </c>
      <c r="W24">
        <f>HYPERLINK("https://klasma.github.io/Logging_2183/klagomålsmail/A 5130-2026 FSC-klagomål mail.docx", "A 5130-2026")</f>
        <v/>
      </c>
      <c r="X24">
        <f>HYPERLINK("https://klasma.github.io/Logging_2183/tillsyn/A 5130-2026 tillsynsbegäran.docx", "A 5130-2026")</f>
        <v/>
      </c>
      <c r="Y24">
        <f>HYPERLINK("https://klasma.github.io/Logging_2183/tillsynsmail/A 5130-2026 tillsynsbegäran mail.docx", "A 5130-2026")</f>
        <v/>
      </c>
    </row>
    <row r="25" ht="15" customHeight="1">
      <c r="A25" t="inlineStr">
        <is>
          <t>A 5513-2026</t>
        </is>
      </c>
      <c r="B25" s="1" t="n">
        <v>46050</v>
      </c>
      <c r="C25" s="1" t="n">
        <v>46180</v>
      </c>
      <c r="D25" t="inlineStr">
        <is>
          <t>GÄVLEBORGS LÄN</t>
        </is>
      </c>
      <c r="E25" t="inlineStr">
        <is>
          <t>BOLLNÄS</t>
        </is>
      </c>
      <c r="F25" t="inlineStr">
        <is>
          <t>Bergvik skog väst AB</t>
        </is>
      </c>
      <c r="G25" t="n">
        <v>6.1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Korallblylav</t>
        </is>
      </c>
      <c r="S25">
        <f>HYPERLINK("https://klasma.github.io/Logging_2183/artfynd/A 5513-2026 artfynd.xlsx", "A 5513-2026")</f>
        <v/>
      </c>
      <c r="T25">
        <f>HYPERLINK("https://klasma.github.io/Logging_2183/kartor/A 5513-2026 karta.png", "A 5513-2026")</f>
        <v/>
      </c>
      <c r="V25">
        <f>HYPERLINK("https://klasma.github.io/Logging_2183/klagomål/A 5513-2026 FSC-klagomål.docx", "A 5513-2026")</f>
        <v/>
      </c>
      <c r="W25">
        <f>HYPERLINK("https://klasma.github.io/Logging_2183/klagomålsmail/A 5513-2026 FSC-klagomål mail.docx", "A 5513-2026")</f>
        <v/>
      </c>
      <c r="X25">
        <f>HYPERLINK("https://klasma.github.io/Logging_2183/tillsyn/A 5513-2026 tillsynsbegäran.docx", "A 5513-2026")</f>
        <v/>
      </c>
      <c r="Y25">
        <f>HYPERLINK("https://klasma.github.io/Logging_2183/tillsynsmail/A 5513-2026 tillsynsbegäran mail.docx", "A 5513-2026")</f>
        <v/>
      </c>
    </row>
    <row r="26" ht="15" customHeight="1">
      <c r="A26" t="inlineStr">
        <is>
          <t>A 46997-2025</t>
        </is>
      </c>
      <c r="B26" s="1" t="n">
        <v>45929.54833333333</v>
      </c>
      <c r="C26" s="1" t="n">
        <v>46180</v>
      </c>
      <c r="D26" t="inlineStr">
        <is>
          <t>GÄVLEBORGS LÄN</t>
        </is>
      </c>
      <c r="E26" t="inlineStr">
        <is>
          <t>BOLLNÄS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Ryl</t>
        </is>
      </c>
      <c r="S26">
        <f>HYPERLINK("https://klasma.github.io/Logging_2183/artfynd/A 46997-2025 artfynd.xlsx", "A 46997-2025")</f>
        <v/>
      </c>
      <c r="T26">
        <f>HYPERLINK("https://klasma.github.io/Logging_2183/kartor/A 46997-2025 karta.png", "A 46997-2025")</f>
        <v/>
      </c>
      <c r="V26">
        <f>HYPERLINK("https://klasma.github.io/Logging_2183/klagomål/A 46997-2025 FSC-klagomål.docx", "A 46997-2025")</f>
        <v/>
      </c>
      <c r="W26">
        <f>HYPERLINK("https://klasma.github.io/Logging_2183/klagomålsmail/A 46997-2025 FSC-klagomål mail.docx", "A 46997-2025")</f>
        <v/>
      </c>
      <c r="X26">
        <f>HYPERLINK("https://klasma.github.io/Logging_2183/tillsyn/A 46997-2025 tillsynsbegäran.docx", "A 46997-2025")</f>
        <v/>
      </c>
      <c r="Y26">
        <f>HYPERLINK("https://klasma.github.io/Logging_2183/tillsynsmail/A 46997-2025 tillsynsbegäran mail.docx", "A 46997-2025")</f>
        <v/>
      </c>
    </row>
    <row r="27" ht="15" customHeight="1">
      <c r="A27" t="inlineStr">
        <is>
          <t>A 34475-2024</t>
        </is>
      </c>
      <c r="B27" s="1" t="n">
        <v>45525.59913194444</v>
      </c>
      <c r="C27" s="1" t="n">
        <v>46180</v>
      </c>
      <c r="D27" t="inlineStr">
        <is>
          <t>GÄVLEBORGS LÄN</t>
        </is>
      </c>
      <c r="E27" t="inlineStr">
        <is>
          <t>BOLLNÄS</t>
        </is>
      </c>
      <c r="F27" t="inlineStr">
        <is>
          <t>Bergvik skog väst AB</t>
        </is>
      </c>
      <c r="G27" t="n">
        <v>7.8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HYPERLINK("https://klasma.github.io/Logging_2183/artfynd/A 34475-2024 artfynd.xlsx", "A 34475-2024")</f>
        <v/>
      </c>
      <c r="T27">
        <f>HYPERLINK("https://klasma.github.io/Logging_2183/kartor/A 34475-2024 karta.png", "A 34475-2024")</f>
        <v/>
      </c>
      <c r="V27">
        <f>HYPERLINK("https://klasma.github.io/Logging_2183/klagomål/A 34475-2024 FSC-klagomål.docx", "A 34475-2024")</f>
        <v/>
      </c>
      <c r="W27">
        <f>HYPERLINK("https://klasma.github.io/Logging_2183/klagomålsmail/A 34475-2024 FSC-klagomål mail.docx", "A 34475-2024")</f>
        <v/>
      </c>
      <c r="X27">
        <f>HYPERLINK("https://klasma.github.io/Logging_2183/tillsyn/A 34475-2024 tillsynsbegäran.docx", "A 34475-2024")</f>
        <v/>
      </c>
      <c r="Y27">
        <f>HYPERLINK("https://klasma.github.io/Logging_2183/tillsynsmail/A 34475-2024 tillsynsbegäran mail.docx", "A 34475-2024")</f>
        <v/>
      </c>
    </row>
    <row r="28" ht="15" customHeight="1">
      <c r="A28" t="inlineStr">
        <is>
          <t>A 6286-2026</t>
        </is>
      </c>
      <c r="B28" s="1" t="n">
        <v>46055</v>
      </c>
      <c r="C28" s="1" t="n">
        <v>46180</v>
      </c>
      <c r="D28" t="inlineStr">
        <is>
          <t>GÄVLEBORGS LÄN</t>
        </is>
      </c>
      <c r="E28" t="inlineStr">
        <is>
          <t>BOLLNÄS</t>
        </is>
      </c>
      <c r="F28" t="inlineStr">
        <is>
          <t>Bergvik skog väst AB</t>
        </is>
      </c>
      <c r="G28" t="n">
        <v>10.7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HYPERLINK("https://klasma.github.io/Logging_2183/artfynd/A 6286-2026 artfynd.xlsx", "A 6286-2026")</f>
        <v/>
      </c>
      <c r="T28">
        <f>HYPERLINK("https://klasma.github.io/Logging_2183/kartor/A 6286-2026 karta.png", "A 6286-2026")</f>
        <v/>
      </c>
      <c r="V28">
        <f>HYPERLINK("https://klasma.github.io/Logging_2183/klagomål/A 6286-2026 FSC-klagomål.docx", "A 6286-2026")</f>
        <v/>
      </c>
      <c r="W28">
        <f>HYPERLINK("https://klasma.github.io/Logging_2183/klagomålsmail/A 6286-2026 FSC-klagomål mail.docx", "A 6286-2026")</f>
        <v/>
      </c>
      <c r="X28">
        <f>HYPERLINK("https://klasma.github.io/Logging_2183/tillsyn/A 6286-2026 tillsynsbegäran.docx", "A 6286-2026")</f>
        <v/>
      </c>
      <c r="Y28">
        <f>HYPERLINK("https://klasma.github.io/Logging_2183/tillsynsmail/A 6286-2026 tillsynsbegäran mail.docx", "A 6286-2026")</f>
        <v/>
      </c>
    </row>
    <row r="29" ht="15" customHeight="1">
      <c r="A29" t="inlineStr">
        <is>
          <t>A 22731-2022</t>
        </is>
      </c>
      <c r="B29" s="1" t="n">
        <v>44714.65887731482</v>
      </c>
      <c r="C29" s="1" t="n">
        <v>46180</v>
      </c>
      <c r="D29" t="inlineStr">
        <is>
          <t>GÄVLEBORGS LÄN</t>
        </is>
      </c>
      <c r="E29" t="inlineStr">
        <is>
          <t>BOLLNÄS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HYPERLINK("https://klasma.github.io/Logging_2183/artfynd/A 22731-2022 artfynd.xlsx", "A 22731-2022")</f>
        <v/>
      </c>
      <c r="T29">
        <f>HYPERLINK("https://klasma.github.io/Logging_2183/kartor/A 22731-2022 karta.png", "A 22731-2022")</f>
        <v/>
      </c>
      <c r="V29">
        <f>HYPERLINK("https://klasma.github.io/Logging_2183/klagomål/A 22731-2022 FSC-klagomål.docx", "A 22731-2022")</f>
        <v/>
      </c>
      <c r="W29">
        <f>HYPERLINK("https://klasma.github.io/Logging_2183/klagomålsmail/A 22731-2022 FSC-klagomål mail.docx", "A 22731-2022")</f>
        <v/>
      </c>
      <c r="X29">
        <f>HYPERLINK("https://klasma.github.io/Logging_2183/tillsyn/A 22731-2022 tillsynsbegäran.docx", "A 22731-2022")</f>
        <v/>
      </c>
      <c r="Y29">
        <f>HYPERLINK("https://klasma.github.io/Logging_2183/tillsynsmail/A 22731-2022 tillsynsbegäran mail.docx", "A 22731-2022")</f>
        <v/>
      </c>
    </row>
    <row r="30" ht="15" customHeight="1">
      <c r="A30" t="inlineStr">
        <is>
          <t>A 8768-2026</t>
        </is>
      </c>
      <c r="B30" s="1" t="n">
        <v>46066</v>
      </c>
      <c r="C30" s="1" t="n">
        <v>46180</v>
      </c>
      <c r="D30" t="inlineStr">
        <is>
          <t>GÄVLEBORGS LÄN</t>
        </is>
      </c>
      <c r="E30" t="inlineStr">
        <is>
          <t>BOLLNÄS</t>
        </is>
      </c>
      <c r="G30" t="n">
        <v>5.5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Igelkott</t>
        </is>
      </c>
      <c r="S30">
        <f>HYPERLINK("https://klasma.github.io/Logging_2183/artfynd/A 8768-2026 artfynd.xlsx", "A 8768-2026")</f>
        <v/>
      </c>
      <c r="T30">
        <f>HYPERLINK("https://klasma.github.io/Logging_2183/kartor/A 8768-2026 karta.png", "A 8768-2026")</f>
        <v/>
      </c>
      <c r="V30">
        <f>HYPERLINK("https://klasma.github.io/Logging_2183/klagomål/A 8768-2026 FSC-klagomål.docx", "A 8768-2026")</f>
        <v/>
      </c>
      <c r="W30">
        <f>HYPERLINK("https://klasma.github.io/Logging_2183/klagomålsmail/A 8768-2026 FSC-klagomål mail.docx", "A 8768-2026")</f>
        <v/>
      </c>
      <c r="X30">
        <f>HYPERLINK("https://klasma.github.io/Logging_2183/tillsyn/A 8768-2026 tillsynsbegäran.docx", "A 8768-2026")</f>
        <v/>
      </c>
      <c r="Y30">
        <f>HYPERLINK("https://klasma.github.io/Logging_2183/tillsynsmail/A 8768-2026 tillsynsbegäran mail.docx", "A 8768-2026")</f>
        <v/>
      </c>
    </row>
    <row r="31" ht="15" customHeight="1">
      <c r="A31" t="inlineStr">
        <is>
          <t>A 52035-2025</t>
        </is>
      </c>
      <c r="B31" s="1" t="n">
        <v>45952.61417824074</v>
      </c>
      <c r="C31" s="1" t="n">
        <v>46180</v>
      </c>
      <c r="D31" t="inlineStr">
        <is>
          <t>GÄVLEBORGS LÄN</t>
        </is>
      </c>
      <c r="E31" t="inlineStr">
        <is>
          <t>BOLLNÄS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HYPERLINK("https://klasma.github.io/Logging_2183/artfynd/A 52035-2025 artfynd.xlsx", "A 52035-2025")</f>
        <v/>
      </c>
      <c r="T31">
        <f>HYPERLINK("https://klasma.github.io/Logging_2183/kartor/A 52035-2025 karta.png", "A 52035-2025")</f>
        <v/>
      </c>
      <c r="V31">
        <f>HYPERLINK("https://klasma.github.io/Logging_2183/klagomål/A 52035-2025 FSC-klagomål.docx", "A 52035-2025")</f>
        <v/>
      </c>
      <c r="W31">
        <f>HYPERLINK("https://klasma.github.io/Logging_2183/klagomålsmail/A 52035-2025 FSC-klagomål mail.docx", "A 52035-2025")</f>
        <v/>
      </c>
      <c r="X31">
        <f>HYPERLINK("https://klasma.github.io/Logging_2183/tillsyn/A 52035-2025 tillsynsbegäran.docx", "A 52035-2025")</f>
        <v/>
      </c>
      <c r="Y31">
        <f>HYPERLINK("https://klasma.github.io/Logging_2183/tillsynsmail/A 52035-2025 tillsynsbegäran mail.docx", "A 52035-2025")</f>
        <v/>
      </c>
    </row>
    <row r="32" ht="15" customHeight="1">
      <c r="A32" t="inlineStr">
        <is>
          <t>A 10894-2026</t>
        </is>
      </c>
      <c r="B32" s="1" t="n">
        <v>46078.82186342592</v>
      </c>
      <c r="C32" s="1" t="n">
        <v>46180</v>
      </c>
      <c r="D32" t="inlineStr">
        <is>
          <t>GÄVLEBORGS LÄN</t>
        </is>
      </c>
      <c r="E32" t="inlineStr">
        <is>
          <t>BOLLNÄS</t>
        </is>
      </c>
      <c r="G32" t="n">
        <v>4.4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HYPERLINK("https://klasma.github.io/Logging_2183/artfynd/A 10894-2026 artfynd.xlsx", "A 10894-2026")</f>
        <v/>
      </c>
      <c r="T32">
        <f>HYPERLINK("https://klasma.github.io/Logging_2183/kartor/A 10894-2026 karta.png", "A 10894-2026")</f>
        <v/>
      </c>
      <c r="V32">
        <f>HYPERLINK("https://klasma.github.io/Logging_2183/klagomål/A 10894-2026 FSC-klagomål.docx", "A 10894-2026")</f>
        <v/>
      </c>
      <c r="W32">
        <f>HYPERLINK("https://klasma.github.io/Logging_2183/klagomålsmail/A 10894-2026 FSC-klagomål mail.docx", "A 10894-2026")</f>
        <v/>
      </c>
      <c r="X32">
        <f>HYPERLINK("https://klasma.github.io/Logging_2183/tillsyn/A 10894-2026 tillsynsbegäran.docx", "A 10894-2026")</f>
        <v/>
      </c>
      <c r="Y32">
        <f>HYPERLINK("https://klasma.github.io/Logging_2183/tillsynsmail/A 10894-2026 tillsynsbegäran mail.docx", "A 10894-2026")</f>
        <v/>
      </c>
    </row>
    <row r="33" ht="15" customHeight="1">
      <c r="A33" t="inlineStr">
        <is>
          <t>A 10754-2026</t>
        </is>
      </c>
      <c r="B33" s="1" t="n">
        <v>46078.54128472223</v>
      </c>
      <c r="C33" s="1" t="n">
        <v>46180</v>
      </c>
      <c r="D33" t="inlineStr">
        <is>
          <t>GÄVLEBORGS LÄN</t>
        </is>
      </c>
      <c r="E33" t="inlineStr">
        <is>
          <t>BOLLNÄS</t>
        </is>
      </c>
      <c r="G33" t="n">
        <v>9.699999999999999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HYPERLINK("https://klasma.github.io/Logging_2183/artfynd/A 10754-2026 artfynd.xlsx", "A 10754-2026")</f>
        <v/>
      </c>
      <c r="T33">
        <f>HYPERLINK("https://klasma.github.io/Logging_2183/kartor/A 10754-2026 karta.png", "A 10754-2026")</f>
        <v/>
      </c>
      <c r="V33">
        <f>HYPERLINK("https://klasma.github.io/Logging_2183/klagomål/A 10754-2026 FSC-klagomål.docx", "A 10754-2026")</f>
        <v/>
      </c>
      <c r="W33">
        <f>HYPERLINK("https://klasma.github.io/Logging_2183/klagomålsmail/A 10754-2026 FSC-klagomål mail.docx", "A 10754-2026")</f>
        <v/>
      </c>
      <c r="X33">
        <f>HYPERLINK("https://klasma.github.io/Logging_2183/tillsyn/A 10754-2026 tillsynsbegäran.docx", "A 10754-2026")</f>
        <v/>
      </c>
      <c r="Y33">
        <f>HYPERLINK("https://klasma.github.io/Logging_2183/tillsynsmail/A 10754-2026 tillsynsbegäran mail.docx", "A 10754-2026")</f>
        <v/>
      </c>
      <c r="Z33">
        <f>HYPERLINK("https://klasma.github.io/Logging_2183/fåglar/A 10754-2026 prioriterade fågelarter.docx", "A 10754-2026")</f>
        <v/>
      </c>
    </row>
    <row r="34" ht="15" customHeight="1">
      <c r="A34" t="inlineStr">
        <is>
          <t>A 53203-2025</t>
        </is>
      </c>
      <c r="B34" s="1" t="n">
        <v>45958.57847222222</v>
      </c>
      <c r="C34" s="1" t="n">
        <v>46180</v>
      </c>
      <c r="D34" t="inlineStr">
        <is>
          <t>GÄVLEBORGS LÄN</t>
        </is>
      </c>
      <c r="E34" t="inlineStr">
        <is>
          <t>BOLLNÄS</t>
        </is>
      </c>
      <c r="G34" t="n">
        <v>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flugsnappare</t>
        </is>
      </c>
      <c r="S34">
        <f>HYPERLINK("https://klasma.github.io/Logging_2183/artfynd/A 53203-2025 artfynd.xlsx", "A 53203-2025")</f>
        <v/>
      </c>
      <c r="T34">
        <f>HYPERLINK("https://klasma.github.io/Logging_2183/kartor/A 53203-2025 karta.png", "A 53203-2025")</f>
        <v/>
      </c>
      <c r="V34">
        <f>HYPERLINK("https://klasma.github.io/Logging_2183/klagomål/A 53203-2025 FSC-klagomål.docx", "A 53203-2025")</f>
        <v/>
      </c>
      <c r="W34">
        <f>HYPERLINK("https://klasma.github.io/Logging_2183/klagomålsmail/A 53203-2025 FSC-klagomål mail.docx", "A 53203-2025")</f>
        <v/>
      </c>
      <c r="X34">
        <f>HYPERLINK("https://klasma.github.io/Logging_2183/tillsyn/A 53203-2025 tillsynsbegäran.docx", "A 53203-2025")</f>
        <v/>
      </c>
      <c r="Y34">
        <f>HYPERLINK("https://klasma.github.io/Logging_2183/tillsynsmail/A 53203-2025 tillsynsbegäran mail.docx", "A 53203-2025")</f>
        <v/>
      </c>
      <c r="Z34">
        <f>HYPERLINK("https://klasma.github.io/Logging_2183/fåglar/A 53203-2025 prioriterade fågelarter.docx", "A 53203-2025")</f>
        <v/>
      </c>
    </row>
    <row r="35" ht="15" customHeight="1">
      <c r="A35" t="inlineStr">
        <is>
          <t>A 11247-2026</t>
        </is>
      </c>
      <c r="B35" s="1" t="n">
        <v>46080</v>
      </c>
      <c r="C35" s="1" t="n">
        <v>46180</v>
      </c>
      <c r="D35" t="inlineStr">
        <is>
          <t>GÄVLEBORGS LÄN</t>
        </is>
      </c>
      <c r="E35" t="inlineStr">
        <is>
          <t>BOLLNÄS</t>
        </is>
      </c>
      <c r="F35" t="inlineStr">
        <is>
          <t>Bergvik skog väst AB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Vedskivlav</t>
        </is>
      </c>
      <c r="S35">
        <f>HYPERLINK("https://klasma.github.io/Logging_2183/artfynd/A 11247-2026 artfynd.xlsx", "A 11247-2026")</f>
        <v/>
      </c>
      <c r="T35">
        <f>HYPERLINK("https://klasma.github.io/Logging_2183/kartor/A 11247-2026 karta.png", "A 11247-2026")</f>
        <v/>
      </c>
      <c r="V35">
        <f>HYPERLINK("https://klasma.github.io/Logging_2183/klagomål/A 11247-2026 FSC-klagomål.docx", "A 11247-2026")</f>
        <v/>
      </c>
      <c r="W35">
        <f>HYPERLINK("https://klasma.github.io/Logging_2183/klagomålsmail/A 11247-2026 FSC-klagomål mail.docx", "A 11247-2026")</f>
        <v/>
      </c>
      <c r="X35">
        <f>HYPERLINK("https://klasma.github.io/Logging_2183/tillsyn/A 11247-2026 tillsynsbegäran.docx", "A 11247-2026")</f>
        <v/>
      </c>
      <c r="Y35">
        <f>HYPERLINK("https://klasma.github.io/Logging_2183/tillsynsmail/A 11247-2026 tillsynsbegäran mail.docx", "A 11247-2026")</f>
        <v/>
      </c>
    </row>
    <row r="36" ht="15" customHeight="1">
      <c r="A36" t="inlineStr">
        <is>
          <t>A 20047-2025</t>
        </is>
      </c>
      <c r="B36" s="1" t="n">
        <v>45772.38952546296</v>
      </c>
      <c r="C36" s="1" t="n">
        <v>46180</v>
      </c>
      <c r="D36" t="inlineStr">
        <is>
          <t>GÄVLEBORGS LÄN</t>
        </is>
      </c>
      <c r="E36" t="inlineStr">
        <is>
          <t>BOLLNÄS</t>
        </is>
      </c>
      <c r="G36" t="n">
        <v>1.1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HYPERLINK("https://klasma.github.io/Logging_2183/artfynd/A 20047-2025 artfynd.xlsx", "A 20047-2025")</f>
        <v/>
      </c>
      <c r="T36">
        <f>HYPERLINK("https://klasma.github.io/Logging_2183/kartor/A 20047-2025 karta.png", "A 20047-2025")</f>
        <v/>
      </c>
      <c r="V36">
        <f>HYPERLINK("https://klasma.github.io/Logging_2183/klagomål/A 20047-2025 FSC-klagomål.docx", "A 20047-2025")</f>
        <v/>
      </c>
      <c r="W36">
        <f>HYPERLINK("https://klasma.github.io/Logging_2183/klagomålsmail/A 20047-2025 FSC-klagomål mail.docx", "A 20047-2025")</f>
        <v/>
      </c>
      <c r="X36">
        <f>HYPERLINK("https://klasma.github.io/Logging_2183/tillsyn/A 20047-2025 tillsynsbegäran.docx", "A 20047-2025")</f>
        <v/>
      </c>
      <c r="Y36">
        <f>HYPERLINK("https://klasma.github.io/Logging_2183/tillsynsmail/A 20047-2025 tillsynsbegäran mail.docx", "A 20047-2025")</f>
        <v/>
      </c>
    </row>
    <row r="37" ht="15" customHeight="1">
      <c r="A37" t="inlineStr">
        <is>
          <t>A 58333-2022</t>
        </is>
      </c>
      <c r="B37" s="1" t="n">
        <v>44901</v>
      </c>
      <c r="C37" s="1" t="n">
        <v>46180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HYPERLINK("https://klasma.github.io/Logging_2183/artfynd/A 58333-2022 artfynd.xlsx", "A 58333-2022")</f>
        <v/>
      </c>
      <c r="T37">
        <f>HYPERLINK("https://klasma.github.io/Logging_2183/kartor/A 58333-2022 karta.png", "A 58333-2022")</f>
        <v/>
      </c>
      <c r="V37">
        <f>HYPERLINK("https://klasma.github.io/Logging_2183/klagomål/A 58333-2022 FSC-klagomål.docx", "A 58333-2022")</f>
        <v/>
      </c>
      <c r="W37">
        <f>HYPERLINK("https://klasma.github.io/Logging_2183/klagomålsmail/A 58333-2022 FSC-klagomål mail.docx", "A 58333-2022")</f>
        <v/>
      </c>
      <c r="X37">
        <f>HYPERLINK("https://klasma.github.io/Logging_2183/tillsyn/A 58333-2022 tillsynsbegäran.docx", "A 58333-2022")</f>
        <v/>
      </c>
      <c r="Y37">
        <f>HYPERLINK("https://klasma.github.io/Logging_2183/tillsynsmail/A 58333-2022 tillsynsbegäran mail.docx", "A 58333-2022")</f>
        <v/>
      </c>
    </row>
    <row r="38" ht="15" customHeight="1">
      <c r="A38" t="inlineStr">
        <is>
          <t>A 12817-2025</t>
        </is>
      </c>
      <c r="B38" s="1" t="n">
        <v>45733.62414351852</v>
      </c>
      <c r="C38" s="1" t="n">
        <v>46180</v>
      </c>
      <c r="D38" t="inlineStr">
        <is>
          <t>GÄVLEBORGS LÄN</t>
        </is>
      </c>
      <c r="E38" t="inlineStr">
        <is>
          <t>BOLLNÄS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HYPERLINK("https://klasma.github.io/Logging_2183/artfynd/A 12817-2025 artfynd.xlsx", "A 12817-2025")</f>
        <v/>
      </c>
      <c r="T38">
        <f>HYPERLINK("https://klasma.github.io/Logging_2183/kartor/A 12817-2025 karta.png", "A 12817-2025")</f>
        <v/>
      </c>
      <c r="V38">
        <f>HYPERLINK("https://klasma.github.io/Logging_2183/klagomål/A 12817-2025 FSC-klagomål.docx", "A 12817-2025")</f>
        <v/>
      </c>
      <c r="W38">
        <f>HYPERLINK("https://klasma.github.io/Logging_2183/klagomålsmail/A 12817-2025 FSC-klagomål mail.docx", "A 12817-2025")</f>
        <v/>
      </c>
      <c r="X38">
        <f>HYPERLINK("https://klasma.github.io/Logging_2183/tillsyn/A 12817-2025 tillsynsbegäran.docx", "A 12817-2025")</f>
        <v/>
      </c>
      <c r="Y38">
        <f>HYPERLINK("https://klasma.github.io/Logging_2183/tillsynsmail/A 12817-2025 tillsynsbegäran mail.docx", "A 12817-2025")</f>
        <v/>
      </c>
    </row>
    <row r="39" ht="15" customHeight="1">
      <c r="A39" t="inlineStr">
        <is>
          <t>A 19648-2026</t>
        </is>
      </c>
      <c r="B39" s="1" t="n">
        <v>46134.5893287037</v>
      </c>
      <c r="C39" s="1" t="n">
        <v>46180</v>
      </c>
      <c r="D39" t="inlineStr">
        <is>
          <t>GÄVLEBORGS LÄN</t>
        </is>
      </c>
      <c r="E39" t="inlineStr">
        <is>
          <t>BOLLNÄS</t>
        </is>
      </c>
      <c r="G39" t="n">
        <v>3.4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Lappuggla</t>
        </is>
      </c>
      <c r="S39">
        <f>HYPERLINK("https://klasma.github.io/Logging_2183/artfynd/A 19648-2026 artfynd.xlsx", "A 19648-2026")</f>
        <v/>
      </c>
      <c r="T39">
        <f>HYPERLINK("https://klasma.github.io/Logging_2183/kartor/A 19648-2026 karta.png", "A 19648-2026")</f>
        <v/>
      </c>
      <c r="V39">
        <f>HYPERLINK("https://klasma.github.io/Logging_2183/klagomål/A 19648-2026 FSC-klagomål.docx", "A 19648-2026")</f>
        <v/>
      </c>
      <c r="W39">
        <f>HYPERLINK("https://klasma.github.io/Logging_2183/klagomålsmail/A 19648-2026 FSC-klagomål mail.docx", "A 19648-2026")</f>
        <v/>
      </c>
      <c r="X39">
        <f>HYPERLINK("https://klasma.github.io/Logging_2183/tillsyn/A 19648-2026 tillsynsbegäran.docx", "A 19648-2026")</f>
        <v/>
      </c>
      <c r="Y39">
        <f>HYPERLINK("https://klasma.github.io/Logging_2183/tillsynsmail/A 19648-2026 tillsynsbegäran mail.docx", "A 19648-2026")</f>
        <v/>
      </c>
      <c r="Z39">
        <f>HYPERLINK("https://klasma.github.io/Logging_2183/fåglar/A 19648-2026 prioriterade fågelarter.docx", "A 19648-2026")</f>
        <v/>
      </c>
    </row>
    <row r="40" ht="15" customHeight="1">
      <c r="A40" t="inlineStr">
        <is>
          <t>A 5370-2025</t>
        </is>
      </c>
      <c r="B40" s="1" t="n">
        <v>45692</v>
      </c>
      <c r="C40" s="1" t="n">
        <v>46180</v>
      </c>
      <c r="D40" t="inlineStr">
        <is>
          <t>GÄVLEBORGS LÄN</t>
        </is>
      </c>
      <c r="E40" t="inlineStr">
        <is>
          <t>BOLLNÄS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HYPERLINK("https://klasma.github.io/Logging_2183/artfynd/A 5370-2025 artfynd.xlsx", "A 5370-2025")</f>
        <v/>
      </c>
      <c r="T40">
        <f>HYPERLINK("https://klasma.github.io/Logging_2183/kartor/A 5370-2025 karta.png", "A 5370-2025")</f>
        <v/>
      </c>
      <c r="V40">
        <f>HYPERLINK("https://klasma.github.io/Logging_2183/klagomål/A 5370-2025 FSC-klagomål.docx", "A 5370-2025")</f>
        <v/>
      </c>
      <c r="W40">
        <f>HYPERLINK("https://klasma.github.io/Logging_2183/klagomålsmail/A 5370-2025 FSC-klagomål mail.docx", "A 5370-2025")</f>
        <v/>
      </c>
      <c r="X40">
        <f>HYPERLINK("https://klasma.github.io/Logging_2183/tillsyn/A 5370-2025 tillsynsbegäran.docx", "A 5370-2025")</f>
        <v/>
      </c>
      <c r="Y40">
        <f>HYPERLINK("https://klasma.github.io/Logging_2183/tillsynsmail/A 5370-2025 tillsynsbegäran mail.docx", "A 5370-2025")</f>
        <v/>
      </c>
    </row>
    <row r="41" ht="15" customHeight="1">
      <c r="A41" t="inlineStr">
        <is>
          <t>A 16124-2026</t>
        </is>
      </c>
      <c r="B41" s="1" t="n">
        <v>46108</v>
      </c>
      <c r="C41" s="1" t="n">
        <v>46180</v>
      </c>
      <c r="D41" t="inlineStr">
        <is>
          <t>GÄVLEBORGS LÄN</t>
        </is>
      </c>
      <c r="E41" t="inlineStr">
        <is>
          <t>BOLLNÄS</t>
        </is>
      </c>
      <c r="G41" t="n">
        <v>6.6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Tallgråticka</t>
        </is>
      </c>
      <c r="S41">
        <f>HYPERLINK("https://klasma.github.io/Logging_2183/artfynd/A 16124-2026 artfynd.xlsx", "A 16124-2026")</f>
        <v/>
      </c>
      <c r="T41">
        <f>HYPERLINK("https://klasma.github.io/Logging_2183/kartor/A 16124-2026 karta.png", "A 16124-2026")</f>
        <v/>
      </c>
      <c r="V41">
        <f>HYPERLINK("https://klasma.github.io/Logging_2183/klagomål/A 16124-2026 FSC-klagomål.docx", "A 16124-2026")</f>
        <v/>
      </c>
      <c r="W41">
        <f>HYPERLINK("https://klasma.github.io/Logging_2183/klagomålsmail/A 16124-2026 FSC-klagomål mail.docx", "A 16124-2026")</f>
        <v/>
      </c>
      <c r="X41">
        <f>HYPERLINK("https://klasma.github.io/Logging_2183/tillsyn/A 16124-2026 tillsynsbegäran.docx", "A 16124-2026")</f>
        <v/>
      </c>
      <c r="Y41">
        <f>HYPERLINK("https://klasma.github.io/Logging_2183/tillsynsmail/A 16124-2026 tillsynsbegäran mail.docx", "A 16124-2026")</f>
        <v/>
      </c>
    </row>
    <row r="42" ht="15" customHeight="1">
      <c r="A42" t="inlineStr">
        <is>
          <t>A 53069-2022</t>
        </is>
      </c>
      <c r="B42" s="1" t="n">
        <v>44876.37364583334</v>
      </c>
      <c r="C42" s="1" t="n">
        <v>46180</v>
      </c>
      <c r="D42" t="inlineStr">
        <is>
          <t>GÄVLEBORGS LÄN</t>
        </is>
      </c>
      <c r="E42" t="inlineStr">
        <is>
          <t>BOLLNÄS</t>
        </is>
      </c>
      <c r="F42" t="inlineStr">
        <is>
          <t>Bergvik skog väst AB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5810-2022</t>
        </is>
      </c>
      <c r="B43" s="1" t="n">
        <v>44596.57570601852</v>
      </c>
      <c r="C43" s="1" t="n">
        <v>46180</v>
      </c>
      <c r="D43" t="inlineStr">
        <is>
          <t>GÄVLEBORGS LÄN</t>
        </is>
      </c>
      <c r="E43" t="inlineStr">
        <is>
          <t>BOLLNÄS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541-2022</t>
        </is>
      </c>
      <c r="B44" s="1" t="n">
        <v>44566.62109953703</v>
      </c>
      <c r="C44" s="1" t="n">
        <v>46180</v>
      </c>
      <c r="D44" t="inlineStr">
        <is>
          <t>GÄVLEBORGS LÄN</t>
        </is>
      </c>
      <c r="E44" t="inlineStr">
        <is>
          <t>BOLLNÄS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522-2022</t>
        </is>
      </c>
      <c r="B45" s="1" t="n">
        <v>44566.5825</v>
      </c>
      <c r="C45" s="1" t="n">
        <v>46180</v>
      </c>
      <c r="D45" t="inlineStr">
        <is>
          <t>GÄVLEBORGS LÄN</t>
        </is>
      </c>
      <c r="E45" t="inlineStr">
        <is>
          <t>BOLLNÄS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41960-2022</t>
        </is>
      </c>
      <c r="B46" s="1" t="n">
        <v>44830.40199074074</v>
      </c>
      <c r="C46" s="1" t="n">
        <v>46180</v>
      </c>
      <c r="D46" t="inlineStr">
        <is>
          <t>GÄVLEBORGS LÄN</t>
        </is>
      </c>
      <c r="E46" t="inlineStr">
        <is>
          <t>BOLLNÄS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33049-2022</t>
        </is>
      </c>
      <c r="B47" s="1" t="n">
        <v>44785.39850694445</v>
      </c>
      <c r="C47" s="1" t="n">
        <v>46180</v>
      </c>
      <c r="D47" t="inlineStr">
        <is>
          <t>GÄVLEBORGS LÄN</t>
        </is>
      </c>
      <c r="E47" t="inlineStr">
        <is>
          <t>BOLLNÄS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43341-2021</t>
        </is>
      </c>
      <c r="B48" s="1" t="n">
        <v>44432.48314814815</v>
      </c>
      <c r="C48" s="1" t="n">
        <v>46180</v>
      </c>
      <c r="D48" t="inlineStr">
        <is>
          <t>GÄVLEBORGS LÄN</t>
        </is>
      </c>
      <c r="E48" t="inlineStr">
        <is>
          <t>BOLLNÄS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66121-2021</t>
        </is>
      </c>
      <c r="B49" s="1" t="n">
        <v>44517.75414351852</v>
      </c>
      <c r="C49" s="1" t="n">
        <v>46180</v>
      </c>
      <c r="D49" t="inlineStr">
        <is>
          <t>GÄVLEBORGS LÄN</t>
        </is>
      </c>
      <c r="E49" t="inlineStr">
        <is>
          <t>BOLLNÄS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66125-2021</t>
        </is>
      </c>
      <c r="B50" s="1" t="n">
        <v>44517</v>
      </c>
      <c r="C50" s="1" t="n">
        <v>46180</v>
      </c>
      <c r="D50" t="inlineStr">
        <is>
          <t>GÄVLEBORGS LÄN</t>
        </is>
      </c>
      <c r="E50" t="inlineStr">
        <is>
          <t>BOLLNÄS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58523-2021</t>
        </is>
      </c>
      <c r="B51" s="1" t="n">
        <v>44488.65658564815</v>
      </c>
      <c r="C51" s="1" t="n">
        <v>46180</v>
      </c>
      <c r="D51" t="inlineStr">
        <is>
          <t>GÄVLEBORGS LÄN</t>
        </is>
      </c>
      <c r="E51" t="inlineStr">
        <is>
          <t>BOLLNÄS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23358-2022</t>
        </is>
      </c>
      <c r="B52" s="1" t="n">
        <v>44720</v>
      </c>
      <c r="C52" s="1" t="n">
        <v>46180</v>
      </c>
      <c r="D52" t="inlineStr">
        <is>
          <t>GÄVLEBORGS LÄN</t>
        </is>
      </c>
      <c r="E52" t="inlineStr">
        <is>
          <t>BOLLNÄS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6549-2022</t>
        </is>
      </c>
      <c r="B53" s="1" t="n">
        <v>44601</v>
      </c>
      <c r="C53" s="1" t="n">
        <v>46180</v>
      </c>
      <c r="D53" t="inlineStr">
        <is>
          <t>GÄVLEBORGS LÄN</t>
        </is>
      </c>
      <c r="E53" t="inlineStr">
        <is>
          <t>BOLLNÄS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9367-2022</t>
        </is>
      </c>
      <c r="B54" s="1" t="n">
        <v>44616.60581018519</v>
      </c>
      <c r="C54" s="1" t="n">
        <v>46180</v>
      </c>
      <c r="D54" t="inlineStr">
        <is>
          <t>GÄVLEBORGS LÄN</t>
        </is>
      </c>
      <c r="E54" t="inlineStr">
        <is>
          <t>BOLLNÄS</t>
        </is>
      </c>
      <c r="G54" t="n">
        <v>12.8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45841-2021</t>
        </is>
      </c>
      <c r="B55" s="1" t="n">
        <v>44441.54539351852</v>
      </c>
      <c r="C55" s="1" t="n">
        <v>46180</v>
      </c>
      <c r="D55" t="inlineStr">
        <is>
          <t>GÄVLEBORGS LÄN</t>
        </is>
      </c>
      <c r="E55" t="inlineStr">
        <is>
          <t>BOLLNÄS</t>
        </is>
      </c>
      <c r="G55" t="n">
        <v>9.6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32948-2022</t>
        </is>
      </c>
      <c r="B56" s="1" t="n">
        <v>44784.71929398148</v>
      </c>
      <c r="C56" s="1" t="n">
        <v>46180</v>
      </c>
      <c r="D56" t="inlineStr">
        <is>
          <t>GÄVLEBORGS LÄN</t>
        </is>
      </c>
      <c r="E56" t="inlineStr">
        <is>
          <t>BOLLNÄS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58528-2021</t>
        </is>
      </c>
      <c r="B57" s="1" t="n">
        <v>44488.65960648148</v>
      </c>
      <c r="C57" s="1" t="n">
        <v>46180</v>
      </c>
      <c r="D57" t="inlineStr">
        <is>
          <t>GÄVLEBORGS LÄN</t>
        </is>
      </c>
      <c r="E57" t="inlineStr">
        <is>
          <t>BOLLNÄS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69836-2021</t>
        </is>
      </c>
      <c r="B58" s="1" t="n">
        <v>44532</v>
      </c>
      <c r="C58" s="1" t="n">
        <v>46180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25238-2022</t>
        </is>
      </c>
      <c r="B59" s="1" t="n">
        <v>44729</v>
      </c>
      <c r="C59" s="1" t="n">
        <v>46180</v>
      </c>
      <c r="D59" t="inlineStr">
        <is>
          <t>GÄVLEBORGS LÄN</t>
        </is>
      </c>
      <c r="E59" t="inlineStr">
        <is>
          <t>BOLLNÄS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1306-2022</t>
        </is>
      </c>
      <c r="B60" s="1" t="n">
        <v>44572</v>
      </c>
      <c r="C60" s="1" t="n">
        <v>46180</v>
      </c>
      <c r="D60" t="inlineStr">
        <is>
          <t>GÄVLEBORGS LÄN</t>
        </is>
      </c>
      <c r="E60" t="inlineStr">
        <is>
          <t>BOLLNÄS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7096-2022</t>
        </is>
      </c>
      <c r="B61" s="1" t="n">
        <v>44603.60658564815</v>
      </c>
      <c r="C61" s="1" t="n">
        <v>46180</v>
      </c>
      <c r="D61" t="inlineStr">
        <is>
          <t>GÄVLEBORGS LÄN</t>
        </is>
      </c>
      <c r="E61" t="inlineStr">
        <is>
          <t>BOLLNÄS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19856-2022</t>
        </is>
      </c>
      <c r="B62" s="1" t="n">
        <v>44697.25298611111</v>
      </c>
      <c r="C62" s="1" t="n">
        <v>46180</v>
      </c>
      <c r="D62" t="inlineStr">
        <is>
          <t>GÄVLEBORGS LÄN</t>
        </is>
      </c>
      <c r="E62" t="inlineStr">
        <is>
          <t>BOLLNÄS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32698-2021</t>
        </is>
      </c>
      <c r="B63" s="1" t="n">
        <v>44375.47541666667</v>
      </c>
      <c r="C63" s="1" t="n">
        <v>46180</v>
      </c>
      <c r="D63" t="inlineStr">
        <is>
          <t>GÄVLEBORGS LÄN</t>
        </is>
      </c>
      <c r="E63" t="inlineStr">
        <is>
          <t>BOLLNÄS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34939-2022</t>
        </is>
      </c>
      <c r="B64" s="1" t="n">
        <v>44796.62805555556</v>
      </c>
      <c r="C64" s="1" t="n">
        <v>46180</v>
      </c>
      <c r="D64" t="inlineStr">
        <is>
          <t>GÄVLEBORGS LÄN</t>
        </is>
      </c>
      <c r="E64" t="inlineStr">
        <is>
          <t>BOLLNÄS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50935-2021</t>
        </is>
      </c>
      <c r="B65" s="1" t="n">
        <v>44460</v>
      </c>
      <c r="C65" s="1" t="n">
        <v>46180</v>
      </c>
      <c r="D65" t="inlineStr">
        <is>
          <t>GÄVLEBORGS LÄN</t>
        </is>
      </c>
      <c r="E65" t="inlineStr">
        <is>
          <t>BOLLNÄS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70914-2021</t>
        </is>
      </c>
      <c r="B66" s="1" t="n">
        <v>44538.44221064815</v>
      </c>
      <c r="C66" s="1" t="n">
        <v>46180</v>
      </c>
      <c r="D66" t="inlineStr">
        <is>
          <t>GÄVLEBORGS LÄN</t>
        </is>
      </c>
      <c r="E66" t="inlineStr">
        <is>
          <t>BOLLNÄS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7102-2022</t>
        </is>
      </c>
      <c r="B67" s="1" t="n">
        <v>44603.61780092592</v>
      </c>
      <c r="C67" s="1" t="n">
        <v>46180</v>
      </c>
      <c r="D67" t="inlineStr">
        <is>
          <t>GÄVLEBORGS LÄN</t>
        </is>
      </c>
      <c r="E67" t="inlineStr">
        <is>
          <t>BOLLNÄS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15269-2022</t>
        </is>
      </c>
      <c r="B68" s="1" t="n">
        <v>44659.36878472222</v>
      </c>
      <c r="C68" s="1" t="n">
        <v>46180</v>
      </c>
      <c r="D68" t="inlineStr">
        <is>
          <t>GÄVLEBORGS LÄN</t>
        </is>
      </c>
      <c r="E68" t="inlineStr">
        <is>
          <t>BOLLNÄS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16646-2022</t>
        </is>
      </c>
      <c r="B69" s="1" t="n">
        <v>44672.65672453704</v>
      </c>
      <c r="C69" s="1" t="n">
        <v>46180</v>
      </c>
      <c r="D69" t="inlineStr">
        <is>
          <t>GÄVLEBORGS LÄN</t>
        </is>
      </c>
      <c r="E69" t="inlineStr">
        <is>
          <t>BOLLNÄS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54897-2022</t>
        </is>
      </c>
      <c r="B70" s="1" t="n">
        <v>44886.37402777778</v>
      </c>
      <c r="C70" s="1" t="n">
        <v>46180</v>
      </c>
      <c r="D70" t="inlineStr">
        <is>
          <t>GÄVLEBORGS LÄN</t>
        </is>
      </c>
      <c r="E70" t="inlineStr">
        <is>
          <t>BOLLNÄS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46961-2022</t>
        </is>
      </c>
      <c r="B71" s="1" t="n">
        <v>44851.94770833333</v>
      </c>
      <c r="C71" s="1" t="n">
        <v>46180</v>
      </c>
      <c r="D71" t="inlineStr">
        <is>
          <t>GÄVLEBORGS LÄN</t>
        </is>
      </c>
      <c r="E71" t="inlineStr">
        <is>
          <t>BOLLNÄS</t>
        </is>
      </c>
      <c r="F71" t="inlineStr">
        <is>
          <t>Bergvik skog väst AB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534-2022</t>
        </is>
      </c>
      <c r="B72" s="1" t="n">
        <v>44566.60619212963</v>
      </c>
      <c r="C72" s="1" t="n">
        <v>46180</v>
      </c>
      <c r="D72" t="inlineStr">
        <is>
          <t>GÄVLEBORGS LÄN</t>
        </is>
      </c>
      <c r="E72" t="inlineStr">
        <is>
          <t>BOLLNÄS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54398-2022</t>
        </is>
      </c>
      <c r="B73" s="1" t="n">
        <v>44882.53259259259</v>
      </c>
      <c r="C73" s="1" t="n">
        <v>46180</v>
      </c>
      <c r="D73" t="inlineStr">
        <is>
          <t>GÄVLEBORGS LÄN</t>
        </is>
      </c>
      <c r="E73" t="inlineStr">
        <is>
          <t>BOLLNÄS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13401-2022</t>
        </is>
      </c>
      <c r="B74" s="1" t="n">
        <v>44645.52770833333</v>
      </c>
      <c r="C74" s="1" t="n">
        <v>46180</v>
      </c>
      <c r="D74" t="inlineStr">
        <is>
          <t>GÄVLEBORGS LÄN</t>
        </is>
      </c>
      <c r="E74" t="inlineStr">
        <is>
          <t>BOLLNÄS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19143-2022</t>
        </is>
      </c>
      <c r="B75" s="1" t="n">
        <v>44691.62394675926</v>
      </c>
      <c r="C75" s="1" t="n">
        <v>46180</v>
      </c>
      <c r="D75" t="inlineStr">
        <is>
          <t>GÄVLEBORGS LÄN</t>
        </is>
      </c>
      <c r="E75" t="inlineStr">
        <is>
          <t>BOLLNÄS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16923-2022</t>
        </is>
      </c>
      <c r="B76" s="1" t="n">
        <v>44676.44880787037</v>
      </c>
      <c r="C76" s="1" t="n">
        <v>46180</v>
      </c>
      <c r="D76" t="inlineStr">
        <is>
          <t>GÄVLEBORGS LÄN</t>
        </is>
      </c>
      <c r="E76" t="inlineStr">
        <is>
          <t>BOLLNÄS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30615-2022</t>
        </is>
      </c>
      <c r="B77" s="1" t="n">
        <v>44763</v>
      </c>
      <c r="C77" s="1" t="n">
        <v>46180</v>
      </c>
      <c r="D77" t="inlineStr">
        <is>
          <t>GÄVLEBORGS LÄN</t>
        </is>
      </c>
      <c r="E77" t="inlineStr">
        <is>
          <t>BOLLNÄS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34462-2021</t>
        </is>
      </c>
      <c r="B78" s="1" t="n">
        <v>44381</v>
      </c>
      <c r="C78" s="1" t="n">
        <v>46180</v>
      </c>
      <c r="D78" t="inlineStr">
        <is>
          <t>GÄVLEBORGS LÄN</t>
        </is>
      </c>
      <c r="E78" t="inlineStr">
        <is>
          <t>BOLLNÄS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42325-2022</t>
        </is>
      </c>
      <c r="B79" s="1" t="n">
        <v>44831.34217592593</v>
      </c>
      <c r="C79" s="1" t="n">
        <v>46180</v>
      </c>
      <c r="D79" t="inlineStr">
        <is>
          <t>GÄVLEBORGS LÄN</t>
        </is>
      </c>
      <c r="E79" t="inlineStr">
        <is>
          <t>BOLLNÄS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47723-2022</t>
        </is>
      </c>
      <c r="B80" s="1" t="n">
        <v>44854</v>
      </c>
      <c r="C80" s="1" t="n">
        <v>46180</v>
      </c>
      <c r="D80" t="inlineStr">
        <is>
          <t>GÄVLEBORGS LÄN</t>
        </is>
      </c>
      <c r="E80" t="inlineStr">
        <is>
          <t>BOLLNÄS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48547-2021</t>
        </is>
      </c>
      <c r="B81" s="1" t="n">
        <v>44452.45461805556</v>
      </c>
      <c r="C81" s="1" t="n">
        <v>46180</v>
      </c>
      <c r="D81" t="inlineStr">
        <is>
          <t>GÄVLEBORGS LÄN</t>
        </is>
      </c>
      <c r="E81" t="inlineStr">
        <is>
          <t>BOLLNÄS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48664-2022</t>
        </is>
      </c>
      <c r="B82" s="1" t="n">
        <v>44859</v>
      </c>
      <c r="C82" s="1" t="n">
        <v>46180</v>
      </c>
      <c r="D82" t="inlineStr">
        <is>
          <t>GÄVLEBORGS LÄN</t>
        </is>
      </c>
      <c r="E82" t="inlineStr">
        <is>
          <t>BOLLNÄS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66120-2021</t>
        </is>
      </c>
      <c r="B83" s="1" t="n">
        <v>44517</v>
      </c>
      <c r="C83" s="1" t="n">
        <v>46180</v>
      </c>
      <c r="D83" t="inlineStr">
        <is>
          <t>GÄVLEBORGS LÄN</t>
        </is>
      </c>
      <c r="E83" t="inlineStr">
        <is>
          <t>BOLLNÄS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66128-2021</t>
        </is>
      </c>
      <c r="B84" s="1" t="n">
        <v>44517</v>
      </c>
      <c r="C84" s="1" t="n">
        <v>46180</v>
      </c>
      <c r="D84" t="inlineStr">
        <is>
          <t>GÄVLEBORGS LÄN</t>
        </is>
      </c>
      <c r="E84" t="inlineStr">
        <is>
          <t>BOLLNÄS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66129-2021</t>
        </is>
      </c>
      <c r="B85" s="1" t="n">
        <v>44517</v>
      </c>
      <c r="C85" s="1" t="n">
        <v>46180</v>
      </c>
      <c r="D85" t="inlineStr">
        <is>
          <t>GÄVLEBORGS LÄN</t>
        </is>
      </c>
      <c r="E85" t="inlineStr">
        <is>
          <t>BOLLNÄS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31691-2021</t>
        </is>
      </c>
      <c r="B86" s="1" t="n">
        <v>44369.69809027778</v>
      </c>
      <c r="C86" s="1" t="n">
        <v>46180</v>
      </c>
      <c r="D86" t="inlineStr">
        <is>
          <t>GÄVLEBORGS LÄN</t>
        </is>
      </c>
      <c r="E86" t="inlineStr">
        <is>
          <t>BOLLNÄS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36000-2021</t>
        </is>
      </c>
      <c r="B87" s="1" t="n">
        <v>44389</v>
      </c>
      <c r="C87" s="1" t="n">
        <v>46180</v>
      </c>
      <c r="D87" t="inlineStr">
        <is>
          <t>GÄVLEBORGS LÄN</t>
        </is>
      </c>
      <c r="E87" t="inlineStr">
        <is>
          <t>BOLLNÄS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54546-2022</t>
        </is>
      </c>
      <c r="B88" s="1" t="n">
        <v>44882.82246527778</v>
      </c>
      <c r="C88" s="1" t="n">
        <v>46180</v>
      </c>
      <c r="D88" t="inlineStr">
        <is>
          <t>GÄVLEBORGS LÄN</t>
        </is>
      </c>
      <c r="E88" t="inlineStr">
        <is>
          <t>BOLLNÄS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13406-2022</t>
        </is>
      </c>
      <c r="B89" s="1" t="n">
        <v>44645.53327546296</v>
      </c>
      <c r="C89" s="1" t="n">
        <v>46180</v>
      </c>
      <c r="D89" t="inlineStr">
        <is>
          <t>GÄVLEBORGS LÄN</t>
        </is>
      </c>
      <c r="E89" t="inlineStr">
        <is>
          <t>BOLLNÄS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13407-2022</t>
        </is>
      </c>
      <c r="B90" s="1" t="n">
        <v>44645.53493055556</v>
      </c>
      <c r="C90" s="1" t="n">
        <v>46180</v>
      </c>
      <c r="D90" t="inlineStr">
        <is>
          <t>GÄVLEBORGS LÄN</t>
        </is>
      </c>
      <c r="E90" t="inlineStr">
        <is>
          <t>BOLLNÄS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64633-2021</t>
        </is>
      </c>
      <c r="B91" s="1" t="n">
        <v>44511.92282407408</v>
      </c>
      <c r="C91" s="1" t="n">
        <v>46180</v>
      </c>
      <c r="D91" t="inlineStr">
        <is>
          <t>GÄVLEBORGS LÄN</t>
        </is>
      </c>
      <c r="E91" t="inlineStr">
        <is>
          <t>BOLLNÄS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56410-2021</t>
        </is>
      </c>
      <c r="B92" s="1" t="n">
        <v>44480.46203703704</v>
      </c>
      <c r="C92" s="1" t="n">
        <v>46180</v>
      </c>
      <c r="D92" t="inlineStr">
        <is>
          <t>GÄVLEBORGS LÄN</t>
        </is>
      </c>
      <c r="E92" t="inlineStr">
        <is>
          <t>BOLLNÄS</t>
        </is>
      </c>
      <c r="F92" t="inlineStr">
        <is>
          <t>Bergvik skog väst AB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31237-2022</t>
        </is>
      </c>
      <c r="B93" s="1" t="n">
        <v>44771.48913194444</v>
      </c>
      <c r="C93" s="1" t="n">
        <v>46180</v>
      </c>
      <c r="D93" t="inlineStr">
        <is>
          <t>GÄVLEBORGS LÄN</t>
        </is>
      </c>
      <c r="E93" t="inlineStr">
        <is>
          <t>BOLLNÄS</t>
        </is>
      </c>
      <c r="G93" t="n">
        <v>13.5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56686-2021</t>
        </is>
      </c>
      <c r="B94" s="1" t="n">
        <v>44481.36178240741</v>
      </c>
      <c r="C94" s="1" t="n">
        <v>46180</v>
      </c>
      <c r="D94" t="inlineStr">
        <is>
          <t>GÄVLEBORGS LÄN</t>
        </is>
      </c>
      <c r="E94" t="inlineStr">
        <is>
          <t>BOLLNÄS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48443-2021</t>
        </is>
      </c>
      <c r="B95" s="1" t="n">
        <v>44452</v>
      </c>
      <c r="C95" s="1" t="n">
        <v>46180</v>
      </c>
      <c r="D95" t="inlineStr">
        <is>
          <t>GÄVLEBORGS LÄN</t>
        </is>
      </c>
      <c r="E95" t="inlineStr">
        <is>
          <t>BOLLNÄS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30813-2021</t>
        </is>
      </c>
      <c r="B96" s="1" t="n">
        <v>44365</v>
      </c>
      <c r="C96" s="1" t="n">
        <v>46180</v>
      </c>
      <c r="D96" t="inlineStr">
        <is>
          <t>GÄVLEBORGS LÄN</t>
        </is>
      </c>
      <c r="E96" t="inlineStr">
        <is>
          <t>BOLLNÄS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65030-2021</t>
        </is>
      </c>
      <c r="B97" s="1" t="n">
        <v>44515.32060185185</v>
      </c>
      <c r="C97" s="1" t="n">
        <v>46180</v>
      </c>
      <c r="D97" t="inlineStr">
        <is>
          <t>GÄVLEBORGS LÄN</t>
        </is>
      </c>
      <c r="E97" t="inlineStr">
        <is>
          <t>BOLLNÄS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33086-2022</t>
        </is>
      </c>
      <c r="B98" s="1" t="n">
        <v>44785.455</v>
      </c>
      <c r="C98" s="1" t="n">
        <v>46180</v>
      </c>
      <c r="D98" t="inlineStr">
        <is>
          <t>GÄVLEBORGS LÄN</t>
        </is>
      </c>
      <c r="E98" t="inlineStr">
        <is>
          <t>BOLLNÄS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70473-2021</t>
        </is>
      </c>
      <c r="B99" s="1" t="n">
        <v>44536</v>
      </c>
      <c r="C99" s="1" t="n">
        <v>46180</v>
      </c>
      <c r="D99" t="inlineStr">
        <is>
          <t>GÄVLEBORGS LÄN</t>
        </is>
      </c>
      <c r="E99" t="inlineStr">
        <is>
          <t>BOLLNÄS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48718-2021</t>
        </is>
      </c>
      <c r="B100" s="1" t="n">
        <v>44452</v>
      </c>
      <c r="C100" s="1" t="n">
        <v>46180</v>
      </c>
      <c r="D100" t="inlineStr">
        <is>
          <t>GÄVLEBORGS LÄN</t>
        </is>
      </c>
      <c r="E100" t="inlineStr">
        <is>
          <t>BOLLNÄS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56481-2021</t>
        </is>
      </c>
      <c r="B101" s="1" t="n">
        <v>44480</v>
      </c>
      <c r="C101" s="1" t="n">
        <v>46180</v>
      </c>
      <c r="D101" t="inlineStr">
        <is>
          <t>GÄVLEBORGS LÄN</t>
        </is>
      </c>
      <c r="E101" t="inlineStr">
        <is>
          <t>BOLLNÄS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57337-2021</t>
        </is>
      </c>
      <c r="B102" s="1" t="n">
        <v>44483.4696875</v>
      </c>
      <c r="C102" s="1" t="n">
        <v>46180</v>
      </c>
      <c r="D102" t="inlineStr">
        <is>
          <t>GÄVLEBORGS LÄN</t>
        </is>
      </c>
      <c r="E102" t="inlineStr">
        <is>
          <t>BOLLNÄS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26301-2022</t>
        </is>
      </c>
      <c r="B103" s="1" t="n">
        <v>44735.5850462963</v>
      </c>
      <c r="C103" s="1" t="n">
        <v>46180</v>
      </c>
      <c r="D103" t="inlineStr">
        <is>
          <t>GÄVLEBORGS LÄN</t>
        </is>
      </c>
      <c r="E103" t="inlineStr">
        <is>
          <t>BOLLNÄS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7075-2022</t>
        </is>
      </c>
      <c r="B104" s="1" t="n">
        <v>44603</v>
      </c>
      <c r="C104" s="1" t="n">
        <v>46180</v>
      </c>
      <c r="D104" t="inlineStr">
        <is>
          <t>GÄVLEBORGS LÄN</t>
        </is>
      </c>
      <c r="E104" t="inlineStr">
        <is>
          <t>BOLLNÄS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7079-2022</t>
        </is>
      </c>
      <c r="B105" s="1" t="n">
        <v>44603.58001157407</v>
      </c>
      <c r="C105" s="1" t="n">
        <v>46180</v>
      </c>
      <c r="D105" t="inlineStr">
        <is>
          <t>GÄVLEBORGS LÄN</t>
        </is>
      </c>
      <c r="E105" t="inlineStr">
        <is>
          <t>BOLLNÄS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30152-2022</t>
        </is>
      </c>
      <c r="B106" s="1" t="n">
        <v>44757.508125</v>
      </c>
      <c r="C106" s="1" t="n">
        <v>46180</v>
      </c>
      <c r="D106" t="inlineStr">
        <is>
          <t>GÄVLEBORGS LÄN</t>
        </is>
      </c>
      <c r="E106" t="inlineStr">
        <is>
          <t>BOLLNÄS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66986-2021</t>
        </is>
      </c>
      <c r="B107" s="1" t="n">
        <v>44522</v>
      </c>
      <c r="C107" s="1" t="n">
        <v>46180</v>
      </c>
      <c r="D107" t="inlineStr">
        <is>
          <t>GÄVLEBORGS LÄN</t>
        </is>
      </c>
      <c r="E107" t="inlineStr">
        <is>
          <t>BOLLNÄS</t>
        </is>
      </c>
      <c r="F107" t="inlineStr">
        <is>
          <t>Kommuner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31694-2021</t>
        </is>
      </c>
      <c r="B108" s="1" t="n">
        <v>44369.70108796296</v>
      </c>
      <c r="C108" s="1" t="n">
        <v>46180</v>
      </c>
      <c r="D108" t="inlineStr">
        <is>
          <t>GÄVLEBORGS LÄN</t>
        </is>
      </c>
      <c r="E108" t="inlineStr">
        <is>
          <t>BOLLNÄS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24763-2022</t>
        </is>
      </c>
      <c r="B109" s="1" t="n">
        <v>44728</v>
      </c>
      <c r="C109" s="1" t="n">
        <v>46180</v>
      </c>
      <c r="D109" t="inlineStr">
        <is>
          <t>GÄVLEBORGS LÄN</t>
        </is>
      </c>
      <c r="E109" t="inlineStr">
        <is>
          <t>BOLLNÄS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63882-2021</t>
        </is>
      </c>
      <c r="B110" s="1" t="n">
        <v>44509</v>
      </c>
      <c r="C110" s="1" t="n">
        <v>46180</v>
      </c>
      <c r="D110" t="inlineStr">
        <is>
          <t>GÄVLEBORGS LÄN</t>
        </is>
      </c>
      <c r="E110" t="inlineStr">
        <is>
          <t>BOLLNÄS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63128-2021</t>
        </is>
      </c>
      <c r="B111" s="1" t="n">
        <v>44505.66327546296</v>
      </c>
      <c r="C111" s="1" t="n">
        <v>46180</v>
      </c>
      <c r="D111" t="inlineStr">
        <is>
          <t>GÄVLEBORGS LÄN</t>
        </is>
      </c>
      <c r="E111" t="inlineStr">
        <is>
          <t>BOLLNÄS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25088-2022</t>
        </is>
      </c>
      <c r="B112" s="1" t="n">
        <v>44729</v>
      </c>
      <c r="C112" s="1" t="n">
        <v>46180</v>
      </c>
      <c r="D112" t="inlineStr">
        <is>
          <t>GÄVLEBORGS LÄN</t>
        </is>
      </c>
      <c r="E112" t="inlineStr">
        <is>
          <t>BOLLNÄS</t>
        </is>
      </c>
      <c r="F112" t="inlineStr">
        <is>
          <t>Bergvik skog väst AB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31801-2021</t>
        </is>
      </c>
      <c r="B113" s="1" t="n">
        <v>44370</v>
      </c>
      <c r="C113" s="1" t="n">
        <v>46180</v>
      </c>
      <c r="D113" t="inlineStr">
        <is>
          <t>GÄVLEBORGS LÄN</t>
        </is>
      </c>
      <c r="E113" t="inlineStr">
        <is>
          <t>BOLLNÄS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42519-2022</t>
        </is>
      </c>
      <c r="B114" s="1" t="n">
        <v>44831.60743055555</v>
      </c>
      <c r="C114" s="1" t="n">
        <v>46180</v>
      </c>
      <c r="D114" t="inlineStr">
        <is>
          <t>GÄVLEBORGS LÄN</t>
        </is>
      </c>
      <c r="E114" t="inlineStr">
        <is>
          <t>BOLLNÄS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14012-2022</t>
        </is>
      </c>
      <c r="B115" s="1" t="n">
        <v>44650</v>
      </c>
      <c r="C115" s="1" t="n">
        <v>46180</v>
      </c>
      <c r="D115" t="inlineStr">
        <is>
          <t>GÄVLEBORGS LÄN</t>
        </is>
      </c>
      <c r="E115" t="inlineStr">
        <is>
          <t>BOLLNÄS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44862-2021</t>
        </is>
      </c>
      <c r="B116" s="1" t="n">
        <v>44438</v>
      </c>
      <c r="C116" s="1" t="n">
        <v>46180</v>
      </c>
      <c r="D116" t="inlineStr">
        <is>
          <t>GÄVLEBORGS LÄN</t>
        </is>
      </c>
      <c r="E116" t="inlineStr">
        <is>
          <t>BOLLNÄS</t>
        </is>
      </c>
      <c r="F116" t="inlineStr">
        <is>
          <t>Kyrkan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58434-2021</t>
        </is>
      </c>
      <c r="B117" s="1" t="n">
        <v>44488</v>
      </c>
      <c r="C117" s="1" t="n">
        <v>46180</v>
      </c>
      <c r="D117" t="inlineStr">
        <is>
          <t>GÄVLEBORGS LÄN</t>
        </is>
      </c>
      <c r="E117" t="inlineStr">
        <is>
          <t>BOLLNÄS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34893-2022</t>
        </is>
      </c>
      <c r="B118" s="1" t="n">
        <v>44796</v>
      </c>
      <c r="C118" s="1" t="n">
        <v>46180</v>
      </c>
      <c r="D118" t="inlineStr">
        <is>
          <t>GÄVLEBORGS LÄN</t>
        </is>
      </c>
      <c r="E118" t="inlineStr">
        <is>
          <t>BOLLNÄS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23925-2022</t>
        </is>
      </c>
      <c r="B119" s="1" t="n">
        <v>44722</v>
      </c>
      <c r="C119" s="1" t="n">
        <v>46180</v>
      </c>
      <c r="D119" t="inlineStr">
        <is>
          <t>GÄVLEBORGS LÄN</t>
        </is>
      </c>
      <c r="E119" t="inlineStr">
        <is>
          <t>BOLLNÄS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48451-2021</t>
        </is>
      </c>
      <c r="B120" s="1" t="n">
        <v>44452</v>
      </c>
      <c r="C120" s="1" t="n">
        <v>46180</v>
      </c>
      <c r="D120" t="inlineStr">
        <is>
          <t>GÄVLEBORGS LÄN</t>
        </is>
      </c>
      <c r="E120" t="inlineStr">
        <is>
          <t>BOLLNÄS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56416-2021</t>
        </is>
      </c>
      <c r="B121" s="1" t="n">
        <v>44480</v>
      </c>
      <c r="C121" s="1" t="n">
        <v>46180</v>
      </c>
      <c r="D121" t="inlineStr">
        <is>
          <t>GÄVLEBORGS LÄN</t>
        </is>
      </c>
      <c r="E121" t="inlineStr">
        <is>
          <t>BOLLNÄS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12108-2022</t>
        </is>
      </c>
      <c r="B122" s="1" t="n">
        <v>44636</v>
      </c>
      <c r="C122" s="1" t="n">
        <v>46180</v>
      </c>
      <c r="D122" t="inlineStr">
        <is>
          <t>GÄVLEBORGS LÄN</t>
        </is>
      </c>
      <c r="E122" t="inlineStr">
        <is>
          <t>BOLLNÄS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60481-2021</t>
        </is>
      </c>
      <c r="B123" s="1" t="n">
        <v>44496</v>
      </c>
      <c r="C123" s="1" t="n">
        <v>46180</v>
      </c>
      <c r="D123" t="inlineStr">
        <is>
          <t>GÄVLEBORGS LÄN</t>
        </is>
      </c>
      <c r="E123" t="inlineStr">
        <is>
          <t>BOLLNÄS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44151-2022</t>
        </is>
      </c>
      <c r="B124" s="1" t="n">
        <v>44839</v>
      </c>
      <c r="C124" s="1" t="n">
        <v>46180</v>
      </c>
      <c r="D124" t="inlineStr">
        <is>
          <t>GÄVLEBORGS LÄN</t>
        </is>
      </c>
      <c r="E124" t="inlineStr">
        <is>
          <t>BOLLNÄS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58112-2021</t>
        </is>
      </c>
      <c r="B125" s="1" t="n">
        <v>44487.53695601852</v>
      </c>
      <c r="C125" s="1" t="n">
        <v>46180</v>
      </c>
      <c r="D125" t="inlineStr">
        <is>
          <t>GÄVLEBORGS LÄN</t>
        </is>
      </c>
      <c r="E125" t="inlineStr">
        <is>
          <t>BOLLNÄS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13402-2022</t>
        </is>
      </c>
      <c r="B126" s="1" t="n">
        <v>44645.52859953704</v>
      </c>
      <c r="C126" s="1" t="n">
        <v>46180</v>
      </c>
      <c r="D126" t="inlineStr">
        <is>
          <t>GÄVLEBORGS LÄN</t>
        </is>
      </c>
      <c r="E126" t="inlineStr">
        <is>
          <t>BOLLNÄS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32837-2021</t>
        </is>
      </c>
      <c r="B127" s="1" t="n">
        <v>44375.6319212963</v>
      </c>
      <c r="C127" s="1" t="n">
        <v>46180</v>
      </c>
      <c r="D127" t="inlineStr">
        <is>
          <t>GÄVLEBORGS LÄN</t>
        </is>
      </c>
      <c r="E127" t="inlineStr">
        <is>
          <t>BOLLNÄS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25100-2022</t>
        </is>
      </c>
      <c r="B128" s="1" t="n">
        <v>44729.44290509259</v>
      </c>
      <c r="C128" s="1" t="n">
        <v>46180</v>
      </c>
      <c r="D128" t="inlineStr">
        <is>
          <t>GÄVLEBORGS LÄN</t>
        </is>
      </c>
      <c r="E128" t="inlineStr">
        <is>
          <t>BOLLNÄS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21438-2022</t>
        </is>
      </c>
      <c r="B129" s="1" t="n">
        <v>44706.34857638889</v>
      </c>
      <c r="C129" s="1" t="n">
        <v>46180</v>
      </c>
      <c r="D129" t="inlineStr">
        <is>
          <t>GÄVLEBORGS LÄN</t>
        </is>
      </c>
      <c r="E129" t="inlineStr">
        <is>
          <t>BOLLNÄS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22126-2022</t>
        </is>
      </c>
      <c r="B130" s="1" t="n">
        <v>44712</v>
      </c>
      <c r="C130" s="1" t="n">
        <v>46180</v>
      </c>
      <c r="D130" t="inlineStr">
        <is>
          <t>GÄVLEBORGS LÄN</t>
        </is>
      </c>
      <c r="E130" t="inlineStr">
        <is>
          <t>BOLLNÄS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51645-2022</t>
        </is>
      </c>
      <c r="B131" s="1" t="n">
        <v>44872.38538194444</v>
      </c>
      <c r="C131" s="1" t="n">
        <v>46180</v>
      </c>
      <c r="D131" t="inlineStr">
        <is>
          <t>GÄVLEBORGS LÄN</t>
        </is>
      </c>
      <c r="E131" t="inlineStr">
        <is>
          <t>BOLLNÄS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53618-2022</t>
        </is>
      </c>
      <c r="B132" s="1" t="n">
        <v>44879</v>
      </c>
      <c r="C132" s="1" t="n">
        <v>46180</v>
      </c>
      <c r="D132" t="inlineStr">
        <is>
          <t>GÄVLEBORGS LÄN</t>
        </is>
      </c>
      <c r="E132" t="inlineStr">
        <is>
          <t>BOLLNÄS</t>
        </is>
      </c>
      <c r="F132" t="inlineStr">
        <is>
          <t>Bergvik skog väst AB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10243-2025</t>
        </is>
      </c>
      <c r="B133" s="1" t="n">
        <v>45720.3500462963</v>
      </c>
      <c r="C133" s="1" t="n">
        <v>46180</v>
      </c>
      <c r="D133" t="inlineStr">
        <is>
          <t>GÄVLEBORGS LÄN</t>
        </is>
      </c>
      <c r="E133" t="inlineStr">
        <is>
          <t>BOLLNÄS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14864-2025</t>
        </is>
      </c>
      <c r="B134" s="1" t="n">
        <v>45743.43662037037</v>
      </c>
      <c r="C134" s="1" t="n">
        <v>46180</v>
      </c>
      <c r="D134" t="inlineStr">
        <is>
          <t>GÄVLEBORGS LÄN</t>
        </is>
      </c>
      <c r="E134" t="inlineStr">
        <is>
          <t>BOLLNÄS</t>
        </is>
      </c>
      <c r="G134" t="n">
        <v>11.7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51247-2023</t>
        </is>
      </c>
      <c r="B135" s="1" t="n">
        <v>45219.4821875</v>
      </c>
      <c r="C135" s="1" t="n">
        <v>46180</v>
      </c>
      <c r="D135" t="inlineStr">
        <is>
          <t>GÄVLEBORGS LÄN</t>
        </is>
      </c>
      <c r="E135" t="inlineStr">
        <is>
          <t>BOLLNÄS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51133-2023</t>
        </is>
      </c>
      <c r="B136" s="1" t="n">
        <v>45219.33283564815</v>
      </c>
      <c r="C136" s="1" t="n">
        <v>46180</v>
      </c>
      <c r="D136" t="inlineStr">
        <is>
          <t>GÄVLEBORGS LÄN</t>
        </is>
      </c>
      <c r="E136" t="inlineStr">
        <is>
          <t>BOLLNÄS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2666-2025</t>
        </is>
      </c>
      <c r="B137" s="1" t="n">
        <v>45677.27112268518</v>
      </c>
      <c r="C137" s="1" t="n">
        <v>46180</v>
      </c>
      <c r="D137" t="inlineStr">
        <is>
          <t>GÄVLEBORGS LÄN</t>
        </is>
      </c>
      <c r="E137" t="inlineStr">
        <is>
          <t>BOLLNÄS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18311-2023</t>
        </is>
      </c>
      <c r="B138" s="1" t="n">
        <v>45041.59797453704</v>
      </c>
      <c r="C138" s="1" t="n">
        <v>46180</v>
      </c>
      <c r="D138" t="inlineStr">
        <is>
          <t>GÄVLEBORGS LÄN</t>
        </is>
      </c>
      <c r="E138" t="inlineStr">
        <is>
          <t>BOLLNÄS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41266-2023</t>
        </is>
      </c>
      <c r="B139" s="1" t="n">
        <v>45174.54631944445</v>
      </c>
      <c r="C139" s="1" t="n">
        <v>46180</v>
      </c>
      <c r="D139" t="inlineStr">
        <is>
          <t>GÄVLEBORGS LÄN</t>
        </is>
      </c>
      <c r="E139" t="inlineStr">
        <is>
          <t>BOLLNÄS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58716-2023</t>
        </is>
      </c>
      <c r="B140" s="1" t="n">
        <v>45251</v>
      </c>
      <c r="C140" s="1" t="n">
        <v>46180</v>
      </c>
      <c r="D140" t="inlineStr">
        <is>
          <t>GÄVLEBORGS LÄN</t>
        </is>
      </c>
      <c r="E140" t="inlineStr">
        <is>
          <t>BOLLNÄS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15525-2025</t>
        </is>
      </c>
      <c r="B141" s="1" t="n">
        <v>45747</v>
      </c>
      <c r="C141" s="1" t="n">
        <v>46180</v>
      </c>
      <c r="D141" t="inlineStr">
        <is>
          <t>GÄVLEBORGS LÄN</t>
        </is>
      </c>
      <c r="E141" t="inlineStr">
        <is>
          <t>BOLLNÄS</t>
        </is>
      </c>
      <c r="F141" t="inlineStr">
        <is>
          <t>Kyrkan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54209-2023</t>
        </is>
      </c>
      <c r="B142" s="1" t="n">
        <v>45232.56831018518</v>
      </c>
      <c r="C142" s="1" t="n">
        <v>46180</v>
      </c>
      <c r="D142" t="inlineStr">
        <is>
          <t>GÄVLEBORGS LÄN</t>
        </is>
      </c>
      <c r="E142" t="inlineStr">
        <is>
          <t>BOLLNÄS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5836-2024</t>
        </is>
      </c>
      <c r="B143" s="1" t="n">
        <v>45335</v>
      </c>
      <c r="C143" s="1" t="n">
        <v>46180</v>
      </c>
      <c r="D143" t="inlineStr">
        <is>
          <t>GÄVLEBORGS LÄN</t>
        </is>
      </c>
      <c r="E143" t="inlineStr">
        <is>
          <t>BOLLNÄS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5838-2024</t>
        </is>
      </c>
      <c r="B144" s="1" t="n">
        <v>45335.59482638889</v>
      </c>
      <c r="C144" s="1" t="n">
        <v>46180</v>
      </c>
      <c r="D144" t="inlineStr">
        <is>
          <t>GÄVLEBORGS LÄN</t>
        </is>
      </c>
      <c r="E144" t="inlineStr">
        <is>
          <t>BOLLNÄS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16020-2024</t>
        </is>
      </c>
      <c r="B145" s="1" t="n">
        <v>45405</v>
      </c>
      <c r="C145" s="1" t="n">
        <v>46180</v>
      </c>
      <c r="D145" t="inlineStr">
        <is>
          <t>GÄVLEBORGS LÄN</t>
        </is>
      </c>
      <c r="E145" t="inlineStr">
        <is>
          <t>BOLLNÄS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51137-2023</t>
        </is>
      </c>
      <c r="B146" s="1" t="n">
        <v>45219</v>
      </c>
      <c r="C146" s="1" t="n">
        <v>46180</v>
      </c>
      <c r="D146" t="inlineStr">
        <is>
          <t>GÄVLEBORGS LÄN</t>
        </is>
      </c>
      <c r="E146" t="inlineStr">
        <is>
          <t>BOLLNÄS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12935-2025</t>
        </is>
      </c>
      <c r="B147" s="1" t="n">
        <v>45734.35393518519</v>
      </c>
      <c r="C147" s="1" t="n">
        <v>46180</v>
      </c>
      <c r="D147" t="inlineStr">
        <is>
          <t>GÄVLEBORGS LÄN</t>
        </is>
      </c>
      <c r="E147" t="inlineStr">
        <is>
          <t>BOLLNÄS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26377-2023</t>
        </is>
      </c>
      <c r="B148" s="1" t="n">
        <v>45092.28179398148</v>
      </c>
      <c r="C148" s="1" t="n">
        <v>46180</v>
      </c>
      <c r="D148" t="inlineStr">
        <is>
          <t>GÄVLEBORGS LÄN</t>
        </is>
      </c>
      <c r="E148" t="inlineStr">
        <is>
          <t>BOLLNÄS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56547-2023</t>
        </is>
      </c>
      <c r="B149" s="1" t="n">
        <v>45243</v>
      </c>
      <c r="C149" s="1" t="n">
        <v>46180</v>
      </c>
      <c r="D149" t="inlineStr">
        <is>
          <t>GÄVLEBORGS LÄN</t>
        </is>
      </c>
      <c r="E149" t="inlineStr">
        <is>
          <t>BOLLNÄS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57041-2022</t>
        </is>
      </c>
      <c r="B150" s="1" t="n">
        <v>44895</v>
      </c>
      <c r="C150" s="1" t="n">
        <v>46180</v>
      </c>
      <c r="D150" t="inlineStr">
        <is>
          <t>GÄVLEBORGS LÄN</t>
        </is>
      </c>
      <c r="E150" t="inlineStr">
        <is>
          <t>BOLLNÄS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48141-2022</t>
        </is>
      </c>
      <c r="B151" s="1" t="n">
        <v>44858.00943287037</v>
      </c>
      <c r="C151" s="1" t="n">
        <v>46180</v>
      </c>
      <c r="D151" t="inlineStr">
        <is>
          <t>GÄVLEBORGS LÄN</t>
        </is>
      </c>
      <c r="E151" t="inlineStr">
        <is>
          <t>BOLLNÄS</t>
        </is>
      </c>
      <c r="F151" t="inlineStr">
        <is>
          <t>Bergvik skog väst AB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13143-2024</t>
        </is>
      </c>
      <c r="B152" s="1" t="n">
        <v>45386.34846064815</v>
      </c>
      <c r="C152" s="1" t="n">
        <v>46180</v>
      </c>
      <c r="D152" t="inlineStr">
        <is>
          <t>GÄVLEBORGS LÄN</t>
        </is>
      </c>
      <c r="E152" t="inlineStr">
        <is>
          <t>BOLLNÄS</t>
        </is>
      </c>
      <c r="G152" t="n">
        <v>10.7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28771-2023</t>
        </is>
      </c>
      <c r="B153" s="1" t="n">
        <v>45104</v>
      </c>
      <c r="C153" s="1" t="n">
        <v>46180</v>
      </c>
      <c r="D153" t="inlineStr">
        <is>
          <t>GÄVLEBORGS LÄN</t>
        </is>
      </c>
      <c r="E153" t="inlineStr">
        <is>
          <t>BOLLNÄS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549-2024</t>
        </is>
      </c>
      <c r="B154" s="1" t="n">
        <v>45299</v>
      </c>
      <c r="C154" s="1" t="n">
        <v>46180</v>
      </c>
      <c r="D154" t="inlineStr">
        <is>
          <t>GÄVLEBORGS LÄN</t>
        </is>
      </c>
      <c r="E154" t="inlineStr">
        <is>
          <t>BOLLNÄS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24328-2024</t>
        </is>
      </c>
      <c r="B155" s="1" t="n">
        <v>45457.53640046297</v>
      </c>
      <c r="C155" s="1" t="n">
        <v>46180</v>
      </c>
      <c r="D155" t="inlineStr">
        <is>
          <t>GÄVLEBORGS LÄN</t>
        </is>
      </c>
      <c r="E155" t="inlineStr">
        <is>
          <t>BOLLNÄS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63716-2021</t>
        </is>
      </c>
      <c r="B156" s="1" t="n">
        <v>44509.43005787037</v>
      </c>
      <c r="C156" s="1" t="n">
        <v>46180</v>
      </c>
      <c r="D156" t="inlineStr">
        <is>
          <t>GÄVLEBORGS LÄN</t>
        </is>
      </c>
      <c r="E156" t="inlineStr">
        <is>
          <t>BOLLNÄS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15668-2025</t>
        </is>
      </c>
      <c r="B157" s="1" t="n">
        <v>45748.4383912037</v>
      </c>
      <c r="C157" s="1" t="n">
        <v>46180</v>
      </c>
      <c r="D157" t="inlineStr">
        <is>
          <t>GÄVLEBORGS LÄN</t>
        </is>
      </c>
      <c r="E157" t="inlineStr">
        <is>
          <t>BOLLNÄS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15687-2025</t>
        </is>
      </c>
      <c r="B158" s="1" t="n">
        <v>45748.46032407408</v>
      </c>
      <c r="C158" s="1" t="n">
        <v>46180</v>
      </c>
      <c r="D158" t="inlineStr">
        <is>
          <t>GÄVLEBORGS LÄN</t>
        </is>
      </c>
      <c r="E158" t="inlineStr">
        <is>
          <t>BOLLNÄS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23796-2024</t>
        </is>
      </c>
      <c r="B159" s="1" t="n">
        <v>45455.43077546296</v>
      </c>
      <c r="C159" s="1" t="n">
        <v>46180</v>
      </c>
      <c r="D159" t="inlineStr">
        <is>
          <t>GÄVLEBORGS LÄN</t>
        </is>
      </c>
      <c r="E159" t="inlineStr">
        <is>
          <t>BOLLNÄS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61060-2023</t>
        </is>
      </c>
      <c r="B160" s="1" t="n">
        <v>45261.61160879629</v>
      </c>
      <c r="C160" s="1" t="n">
        <v>46180</v>
      </c>
      <c r="D160" t="inlineStr">
        <is>
          <t>GÄVLEBORGS LÄN</t>
        </is>
      </c>
      <c r="E160" t="inlineStr">
        <is>
          <t>BOLLNÄS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48110-2022</t>
        </is>
      </c>
      <c r="B161" s="1" t="n">
        <v>44856.96982638889</v>
      </c>
      <c r="C161" s="1" t="n">
        <v>46180</v>
      </c>
      <c r="D161" t="inlineStr">
        <is>
          <t>GÄVLEBORGS LÄN</t>
        </is>
      </c>
      <c r="E161" t="inlineStr">
        <is>
          <t>BOLLNÄS</t>
        </is>
      </c>
      <c r="F161" t="inlineStr">
        <is>
          <t>Bergvik skog väst AB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30877-2023</t>
        </is>
      </c>
      <c r="B162" s="1" t="n">
        <v>45113.32282407407</v>
      </c>
      <c r="C162" s="1" t="n">
        <v>46180</v>
      </c>
      <c r="D162" t="inlineStr">
        <is>
          <t>GÄVLEBORGS LÄN</t>
        </is>
      </c>
      <c r="E162" t="inlineStr">
        <is>
          <t>BOLLNÄS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40459-2024</t>
        </is>
      </c>
      <c r="B163" s="1" t="n">
        <v>45555.50454861111</v>
      </c>
      <c r="C163" s="1" t="n">
        <v>46180</v>
      </c>
      <c r="D163" t="inlineStr">
        <is>
          <t>GÄVLEBORGS LÄN</t>
        </is>
      </c>
      <c r="E163" t="inlineStr">
        <is>
          <t>BOLLNÄS</t>
        </is>
      </c>
      <c r="F163" t="inlineStr">
        <is>
          <t>Bergvik skog väst AB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60884-2022</t>
        </is>
      </c>
      <c r="B164" s="1" t="n">
        <v>44914.56515046296</v>
      </c>
      <c r="C164" s="1" t="n">
        <v>46180</v>
      </c>
      <c r="D164" t="inlineStr">
        <is>
          <t>GÄVLEBORGS LÄN</t>
        </is>
      </c>
      <c r="E164" t="inlineStr">
        <is>
          <t>BOLLNÄS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30224-2023</t>
        </is>
      </c>
      <c r="B165" s="1" t="n">
        <v>45110</v>
      </c>
      <c r="C165" s="1" t="n">
        <v>46180</v>
      </c>
      <c r="D165" t="inlineStr">
        <is>
          <t>GÄVLEBORGS LÄN</t>
        </is>
      </c>
      <c r="E165" t="inlineStr">
        <is>
          <t>BOLLNÄS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23809-2024</t>
        </is>
      </c>
      <c r="B166" s="1" t="n">
        <v>45455.44559027778</v>
      </c>
      <c r="C166" s="1" t="n">
        <v>46180</v>
      </c>
      <c r="D166" t="inlineStr">
        <is>
          <t>GÄVLEBORGS LÄN</t>
        </is>
      </c>
      <c r="E166" t="inlineStr">
        <is>
          <t>BOLLNÄS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2348-2024</t>
        </is>
      </c>
      <c r="B167" s="1" t="n">
        <v>45310.5827662037</v>
      </c>
      <c r="C167" s="1" t="n">
        <v>46180</v>
      </c>
      <c r="D167" t="inlineStr">
        <is>
          <t>GÄVLEBORGS LÄN</t>
        </is>
      </c>
      <c r="E167" t="inlineStr">
        <is>
          <t>BOLLNÄS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47820-2024</t>
        </is>
      </c>
      <c r="B168" s="1" t="n">
        <v>45588.62625</v>
      </c>
      <c r="C168" s="1" t="n">
        <v>46180</v>
      </c>
      <c r="D168" t="inlineStr">
        <is>
          <t>GÄVLEBORGS LÄN</t>
        </is>
      </c>
      <c r="E168" t="inlineStr">
        <is>
          <t>BOLLNÄS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35857-2024</t>
        </is>
      </c>
      <c r="B169" s="1" t="n">
        <v>45533.32619212963</v>
      </c>
      <c r="C169" s="1" t="n">
        <v>46180</v>
      </c>
      <c r="D169" t="inlineStr">
        <is>
          <t>GÄVLEBORGS LÄN</t>
        </is>
      </c>
      <c r="E169" t="inlineStr">
        <is>
          <t>BOLLNÄS</t>
        </is>
      </c>
      <c r="F169" t="inlineStr">
        <is>
          <t>Bergvik skog väst AB</t>
        </is>
      </c>
      <c r="G169" t="n">
        <v>13.1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9889-2022</t>
        </is>
      </c>
      <c r="B170" s="1" t="n">
        <v>44620</v>
      </c>
      <c r="C170" s="1" t="n">
        <v>46180</v>
      </c>
      <c r="D170" t="inlineStr">
        <is>
          <t>GÄVLEBORGS LÄN</t>
        </is>
      </c>
      <c r="E170" t="inlineStr">
        <is>
          <t>BOLLNÄS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54203-2023</t>
        </is>
      </c>
      <c r="B171" s="1" t="n">
        <v>45232.56078703704</v>
      </c>
      <c r="C171" s="1" t="n">
        <v>46180</v>
      </c>
      <c r="D171" t="inlineStr">
        <is>
          <t>GÄVLEBORGS LÄN</t>
        </is>
      </c>
      <c r="E171" t="inlineStr">
        <is>
          <t>BOLLNÄS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38252-2025</t>
        </is>
      </c>
      <c r="B172" s="1" t="n">
        <v>45883.37849537037</v>
      </c>
      <c r="C172" s="1" t="n">
        <v>46180</v>
      </c>
      <c r="D172" t="inlineStr">
        <is>
          <t>GÄVLEBORGS LÄN</t>
        </is>
      </c>
      <c r="E172" t="inlineStr">
        <is>
          <t>BOLLNÄS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25-2026</t>
        </is>
      </c>
      <c r="B173" s="1" t="n">
        <v>46024.04291666667</v>
      </c>
      <c r="C173" s="1" t="n">
        <v>46180</v>
      </c>
      <c r="D173" t="inlineStr">
        <is>
          <t>GÄVLEBORGS LÄN</t>
        </is>
      </c>
      <c r="E173" t="inlineStr">
        <is>
          <t>BOLLNÄS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58108-2025</t>
        </is>
      </c>
      <c r="B174" s="1" t="n">
        <v>45982.59606481482</v>
      </c>
      <c r="C174" s="1" t="n">
        <v>46180</v>
      </c>
      <c r="D174" t="inlineStr">
        <is>
          <t>GÄVLEBORGS LÄN</t>
        </is>
      </c>
      <c r="E174" t="inlineStr">
        <is>
          <t>BOLLNÄS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61619-2025</t>
        </is>
      </c>
      <c r="B175" s="1" t="n">
        <v>46002.39142361111</v>
      </c>
      <c r="C175" s="1" t="n">
        <v>46180</v>
      </c>
      <c r="D175" t="inlineStr">
        <is>
          <t>GÄVLEBORGS LÄN</t>
        </is>
      </c>
      <c r="E175" t="inlineStr">
        <is>
          <t>BOLLNÄS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595-2026</t>
        </is>
      </c>
      <c r="B176" s="1" t="n">
        <v>46027</v>
      </c>
      <c r="C176" s="1" t="n">
        <v>46180</v>
      </c>
      <c r="D176" t="inlineStr">
        <is>
          <t>GÄVLEBORGS LÄN</t>
        </is>
      </c>
      <c r="E176" t="inlineStr">
        <is>
          <t>BOLLNÄS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240-2026</t>
        </is>
      </c>
      <c r="B177" s="1" t="n">
        <v>46027.37696759259</v>
      </c>
      <c r="C177" s="1" t="n">
        <v>46180</v>
      </c>
      <c r="D177" t="inlineStr">
        <is>
          <t>GÄVLEBORGS LÄN</t>
        </is>
      </c>
      <c r="E177" t="inlineStr">
        <is>
          <t>BOLLNÄS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61622-2025</t>
        </is>
      </c>
      <c r="B178" s="1" t="n">
        <v>46002.39645833334</v>
      </c>
      <c r="C178" s="1" t="n">
        <v>46180</v>
      </c>
      <c r="D178" t="inlineStr">
        <is>
          <t>GÄVLEBORGS LÄN</t>
        </is>
      </c>
      <c r="E178" t="inlineStr">
        <is>
          <t>BOLLNÄS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205-2026</t>
        </is>
      </c>
      <c r="B179" s="1" t="n">
        <v>46026</v>
      </c>
      <c r="C179" s="1" t="n">
        <v>46180</v>
      </c>
      <c r="D179" t="inlineStr">
        <is>
          <t>GÄVLEBORGS LÄN</t>
        </is>
      </c>
      <c r="E179" t="inlineStr">
        <is>
          <t>BOLLNÄS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29742-2024</t>
        </is>
      </c>
      <c r="B180" s="1" t="n">
        <v>45485</v>
      </c>
      <c r="C180" s="1" t="n">
        <v>46180</v>
      </c>
      <c r="D180" t="inlineStr">
        <is>
          <t>GÄVLEBORGS LÄN</t>
        </is>
      </c>
      <c r="E180" t="inlineStr">
        <is>
          <t>BOLLNÄS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250-2026</t>
        </is>
      </c>
      <c r="B181" s="1" t="n">
        <v>46027</v>
      </c>
      <c r="C181" s="1" t="n">
        <v>46180</v>
      </c>
      <c r="D181" t="inlineStr">
        <is>
          <t>GÄVLEBORGS LÄN</t>
        </is>
      </c>
      <c r="E181" t="inlineStr">
        <is>
          <t>BOLLNÄS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271-2026</t>
        </is>
      </c>
      <c r="B182" s="1" t="n">
        <v>46027.46079861111</v>
      </c>
      <c r="C182" s="1" t="n">
        <v>46180</v>
      </c>
      <c r="D182" t="inlineStr">
        <is>
          <t>GÄVLEBORGS LÄN</t>
        </is>
      </c>
      <c r="E182" t="inlineStr">
        <is>
          <t>BOLLNÄS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62825-2025</t>
        </is>
      </c>
      <c r="B183" s="1" t="n">
        <v>46008.65835648148</v>
      </c>
      <c r="C183" s="1" t="n">
        <v>46180</v>
      </c>
      <c r="D183" t="inlineStr">
        <is>
          <t>GÄVLEBORGS LÄN</t>
        </is>
      </c>
      <c r="E183" t="inlineStr">
        <is>
          <t>BOLLNÄS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267-2026</t>
        </is>
      </c>
      <c r="B184" s="1" t="n">
        <v>46027</v>
      </c>
      <c r="C184" s="1" t="n">
        <v>46180</v>
      </c>
      <c r="D184" t="inlineStr">
        <is>
          <t>GÄVLEBORGS LÄN</t>
        </is>
      </c>
      <c r="E184" t="inlineStr">
        <is>
          <t>BOLLNÄS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82-2026</t>
        </is>
      </c>
      <c r="B185" s="1" t="n">
        <v>46024.47092592593</v>
      </c>
      <c r="C185" s="1" t="n">
        <v>46180</v>
      </c>
      <c r="D185" t="inlineStr">
        <is>
          <t>GÄVLEBORGS LÄN</t>
        </is>
      </c>
      <c r="E185" t="inlineStr">
        <is>
          <t>BOLLNÄS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252-2026</t>
        </is>
      </c>
      <c r="B186" s="1" t="n">
        <v>46027</v>
      </c>
      <c r="C186" s="1" t="n">
        <v>46180</v>
      </c>
      <c r="D186" t="inlineStr">
        <is>
          <t>GÄVLEBORGS LÄN</t>
        </is>
      </c>
      <c r="E186" t="inlineStr">
        <is>
          <t>BOLLNÄS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253-2026</t>
        </is>
      </c>
      <c r="B187" s="1" t="n">
        <v>46027</v>
      </c>
      <c r="C187" s="1" t="n">
        <v>46180</v>
      </c>
      <c r="D187" t="inlineStr">
        <is>
          <t>GÄVLEBORGS LÄN</t>
        </is>
      </c>
      <c r="E187" t="inlineStr">
        <is>
          <t>BOLLNÄS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246-2026</t>
        </is>
      </c>
      <c r="B188" s="1" t="n">
        <v>46027</v>
      </c>
      <c r="C188" s="1" t="n">
        <v>46180</v>
      </c>
      <c r="D188" t="inlineStr">
        <is>
          <t>GÄVLEBORGS LÄN</t>
        </is>
      </c>
      <c r="E188" t="inlineStr">
        <is>
          <t>BOLLNÄS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762-2026</t>
        </is>
      </c>
      <c r="B189" s="1" t="n">
        <v>46029</v>
      </c>
      <c r="C189" s="1" t="n">
        <v>46180</v>
      </c>
      <c r="D189" t="inlineStr">
        <is>
          <t>GÄVLEBORGS LÄN</t>
        </is>
      </c>
      <c r="E189" t="inlineStr">
        <is>
          <t>BOLLNÄS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551-2026</t>
        </is>
      </c>
      <c r="B190" s="1" t="n">
        <v>46029.46196759259</v>
      </c>
      <c r="C190" s="1" t="n">
        <v>46180</v>
      </c>
      <c r="D190" t="inlineStr">
        <is>
          <t>GÄVLEBORGS LÄN</t>
        </is>
      </c>
      <c r="E190" t="inlineStr">
        <is>
          <t>BOLLNÄS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439-2026</t>
        </is>
      </c>
      <c r="B191" s="1" t="n">
        <v>46029.34439814815</v>
      </c>
      <c r="C191" s="1" t="n">
        <v>46180</v>
      </c>
      <c r="D191" t="inlineStr">
        <is>
          <t>GÄVLEBORGS LÄN</t>
        </is>
      </c>
      <c r="E191" t="inlineStr">
        <is>
          <t>BOLLNÄS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432-2026</t>
        </is>
      </c>
      <c r="B192" s="1" t="n">
        <v>46029.32423611111</v>
      </c>
      <c r="C192" s="1" t="n">
        <v>46180</v>
      </c>
      <c r="D192" t="inlineStr">
        <is>
          <t>GÄVLEBORGS LÄN</t>
        </is>
      </c>
      <c r="E192" t="inlineStr">
        <is>
          <t>BOLLNÄS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767-2026</t>
        </is>
      </c>
      <c r="B193" s="1" t="n">
        <v>46029</v>
      </c>
      <c r="C193" s="1" t="n">
        <v>46180</v>
      </c>
      <c r="D193" t="inlineStr">
        <is>
          <t>GÄVLEBORGS LÄN</t>
        </is>
      </c>
      <c r="E193" t="inlineStr">
        <is>
          <t>BOLLNÄS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715-2026</t>
        </is>
      </c>
      <c r="B194" s="1" t="n">
        <v>46029</v>
      </c>
      <c r="C194" s="1" t="n">
        <v>46180</v>
      </c>
      <c r="D194" t="inlineStr">
        <is>
          <t>GÄVLEBORGS LÄN</t>
        </is>
      </c>
      <c r="E194" t="inlineStr">
        <is>
          <t>BOLLNÄS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27152-2024</t>
        </is>
      </c>
      <c r="B195" s="1" t="n">
        <v>45471.56072916667</v>
      </c>
      <c r="C195" s="1" t="n">
        <v>46180</v>
      </c>
      <c r="D195" t="inlineStr">
        <is>
          <t>GÄVLEBORGS LÄN</t>
        </is>
      </c>
      <c r="E195" t="inlineStr">
        <is>
          <t>BOLLNÄS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1027-2026</t>
        </is>
      </c>
      <c r="B196" s="1" t="n">
        <v>46030.61443287037</v>
      </c>
      <c r="C196" s="1" t="n">
        <v>46180</v>
      </c>
      <c r="D196" t="inlineStr">
        <is>
          <t>GÄVLEBORGS LÄN</t>
        </is>
      </c>
      <c r="E196" t="inlineStr">
        <is>
          <t>BOLLNÄS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950-2026</t>
        </is>
      </c>
      <c r="B197" s="1" t="n">
        <v>46030</v>
      </c>
      <c r="C197" s="1" t="n">
        <v>46180</v>
      </c>
      <c r="D197" t="inlineStr">
        <is>
          <t>GÄVLEBORGS LÄN</t>
        </is>
      </c>
      <c r="E197" t="inlineStr">
        <is>
          <t>BOLLNÄS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47894-2024</t>
        </is>
      </c>
      <c r="B198" s="1" t="n">
        <v>45588.87435185185</v>
      </c>
      <c r="C198" s="1" t="n">
        <v>46180</v>
      </c>
      <c r="D198" t="inlineStr">
        <is>
          <t>GÄVLEBORGS LÄN</t>
        </is>
      </c>
      <c r="E198" t="inlineStr">
        <is>
          <t>BOLLNÄS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54945-2022</t>
        </is>
      </c>
      <c r="B199" s="1" t="n">
        <v>44886.46003472222</v>
      </c>
      <c r="C199" s="1" t="n">
        <v>46180</v>
      </c>
      <c r="D199" t="inlineStr">
        <is>
          <t>GÄVLEBORGS LÄN</t>
        </is>
      </c>
      <c r="E199" t="inlineStr">
        <is>
          <t>BOLLNÄS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811-2026</t>
        </is>
      </c>
      <c r="B200" s="1" t="n">
        <v>46030.32644675926</v>
      </c>
      <c r="C200" s="1" t="n">
        <v>46180</v>
      </c>
      <c r="D200" t="inlineStr">
        <is>
          <t>GÄVLEBORGS LÄN</t>
        </is>
      </c>
      <c r="E200" t="inlineStr">
        <is>
          <t>BOLLNÄS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533-2026</t>
        </is>
      </c>
      <c r="B201" s="1" t="n">
        <v>46029</v>
      </c>
      <c r="C201" s="1" t="n">
        <v>46180</v>
      </c>
      <c r="D201" t="inlineStr">
        <is>
          <t>GÄVLEBORGS LÄN</t>
        </is>
      </c>
      <c r="E201" t="inlineStr">
        <is>
          <t>BOLLNÄS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543-2026</t>
        </is>
      </c>
      <c r="B202" s="1" t="n">
        <v>46029.45841435185</v>
      </c>
      <c r="C202" s="1" t="n">
        <v>46180</v>
      </c>
      <c r="D202" t="inlineStr">
        <is>
          <t>GÄVLEBORGS LÄN</t>
        </is>
      </c>
      <c r="E202" t="inlineStr">
        <is>
          <t>BOLLNÄS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825-2026</t>
        </is>
      </c>
      <c r="B203" s="1" t="n">
        <v>46030</v>
      </c>
      <c r="C203" s="1" t="n">
        <v>46180</v>
      </c>
      <c r="D203" t="inlineStr">
        <is>
          <t>GÄVLEBORGS LÄN</t>
        </is>
      </c>
      <c r="E203" t="inlineStr">
        <is>
          <t>BOLLNÄS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844-2026</t>
        </is>
      </c>
      <c r="B204" s="1" t="n">
        <v>46030</v>
      </c>
      <c r="C204" s="1" t="n">
        <v>46180</v>
      </c>
      <c r="D204" t="inlineStr">
        <is>
          <t>GÄVLEBORGS LÄN</t>
        </is>
      </c>
      <c r="E204" t="inlineStr">
        <is>
          <t>BOLLNÄS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840-2026</t>
        </is>
      </c>
      <c r="B205" s="1" t="n">
        <v>46030.37694444445</v>
      </c>
      <c r="C205" s="1" t="n">
        <v>46180</v>
      </c>
      <c r="D205" t="inlineStr">
        <is>
          <t>GÄVLEBORGS LÄN</t>
        </is>
      </c>
      <c r="E205" t="inlineStr">
        <is>
          <t>BOLLNÄS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487-2026</t>
        </is>
      </c>
      <c r="B206" s="1" t="n">
        <v>46029</v>
      </c>
      <c r="C206" s="1" t="n">
        <v>46180</v>
      </c>
      <c r="D206" t="inlineStr">
        <is>
          <t>GÄVLEBORGS LÄN</t>
        </is>
      </c>
      <c r="E206" t="inlineStr">
        <is>
          <t>BOLLNÄS</t>
        </is>
      </c>
      <c r="G206" t="n">
        <v>15.6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30792-2024</t>
        </is>
      </c>
      <c r="B207" s="1" t="n">
        <v>45497.28164351852</v>
      </c>
      <c r="C207" s="1" t="n">
        <v>46180</v>
      </c>
      <c r="D207" t="inlineStr">
        <is>
          <t>GÄVLEBORGS LÄN</t>
        </is>
      </c>
      <c r="E207" t="inlineStr">
        <is>
          <t>BOLLNÄS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30793-2024</t>
        </is>
      </c>
      <c r="B208" s="1" t="n">
        <v>45497.28234953704</v>
      </c>
      <c r="C208" s="1" t="n">
        <v>46180</v>
      </c>
      <c r="D208" t="inlineStr">
        <is>
          <t>GÄVLEBORGS LÄN</t>
        </is>
      </c>
      <c r="E208" t="inlineStr">
        <is>
          <t>BOLLNÄS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850-2026</t>
        </is>
      </c>
      <c r="B209" s="1" t="n">
        <v>46030.39200231482</v>
      </c>
      <c r="C209" s="1" t="n">
        <v>46180</v>
      </c>
      <c r="D209" t="inlineStr">
        <is>
          <t>GÄVLEBORGS LÄN</t>
        </is>
      </c>
      <c r="E209" t="inlineStr">
        <is>
          <t>BOLLNÄS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907-2026</t>
        </is>
      </c>
      <c r="B210" s="1" t="n">
        <v>46030.4750462963</v>
      </c>
      <c r="C210" s="1" t="n">
        <v>46180</v>
      </c>
      <c r="D210" t="inlineStr">
        <is>
          <t>GÄVLEBORGS LÄN</t>
        </is>
      </c>
      <c r="E210" t="inlineStr">
        <is>
          <t>BOLLNÄS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438-2026</t>
        </is>
      </c>
      <c r="B211" s="1" t="n">
        <v>46029.344375</v>
      </c>
      <c r="C211" s="1" t="n">
        <v>46180</v>
      </c>
      <c r="D211" t="inlineStr">
        <is>
          <t>GÄVLEBORGS LÄN</t>
        </is>
      </c>
      <c r="E211" t="inlineStr">
        <is>
          <t>BOLLNÄS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56755-2022</t>
        </is>
      </c>
      <c r="B212" s="1" t="n">
        <v>44894</v>
      </c>
      <c r="C212" s="1" t="n">
        <v>46180</v>
      </c>
      <c r="D212" t="inlineStr">
        <is>
          <t>GÄVLEBORGS LÄN</t>
        </is>
      </c>
      <c r="E212" t="inlineStr">
        <is>
          <t>BOLLNÄS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1065-2026</t>
        </is>
      </c>
      <c r="B213" s="1" t="n">
        <v>46030.64280092593</v>
      </c>
      <c r="C213" s="1" t="n">
        <v>46180</v>
      </c>
      <c r="D213" t="inlineStr">
        <is>
          <t>GÄVLEBORGS LÄN</t>
        </is>
      </c>
      <c r="E213" t="inlineStr">
        <is>
          <t>BOLLNÄS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1093-2026</t>
        </is>
      </c>
      <c r="B214" s="1" t="n">
        <v>46030.66121527777</v>
      </c>
      <c r="C214" s="1" t="n">
        <v>46180</v>
      </c>
      <c r="D214" t="inlineStr">
        <is>
          <t>GÄVLEBORGS LÄN</t>
        </is>
      </c>
      <c r="E214" t="inlineStr">
        <is>
          <t>BOLLNÄS</t>
        </is>
      </c>
      <c r="G214" t="n">
        <v>16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507-2026</t>
        </is>
      </c>
      <c r="B215" s="1" t="n">
        <v>46029</v>
      </c>
      <c r="C215" s="1" t="n">
        <v>46180</v>
      </c>
      <c r="D215" t="inlineStr">
        <is>
          <t>GÄVLEBORGS LÄN</t>
        </is>
      </c>
      <c r="E215" t="inlineStr">
        <is>
          <t>BOLLNÄS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652-2026</t>
        </is>
      </c>
      <c r="B216" s="1" t="n">
        <v>46029.57582175926</v>
      </c>
      <c r="C216" s="1" t="n">
        <v>46180</v>
      </c>
      <c r="D216" t="inlineStr">
        <is>
          <t>GÄVLEBORGS LÄN</t>
        </is>
      </c>
      <c r="E216" t="inlineStr">
        <is>
          <t>BOLLNÄS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552-2026</t>
        </is>
      </c>
      <c r="B217" s="1" t="n">
        <v>46029.46327546296</v>
      </c>
      <c r="C217" s="1" t="n">
        <v>46180</v>
      </c>
      <c r="D217" t="inlineStr">
        <is>
          <t>GÄVLEBORGS LÄN</t>
        </is>
      </c>
      <c r="E217" t="inlineStr">
        <is>
          <t>BOLLNÄS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38629-2025</t>
        </is>
      </c>
      <c r="B218" s="1" t="n">
        <v>45884.55987268518</v>
      </c>
      <c r="C218" s="1" t="n">
        <v>46180</v>
      </c>
      <c r="D218" t="inlineStr">
        <is>
          <t>GÄVLEBORGS LÄN</t>
        </is>
      </c>
      <c r="E218" t="inlineStr">
        <is>
          <t>BOLLNÄS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29723-2024</t>
        </is>
      </c>
      <c r="B219" s="1" t="n">
        <v>45485.36784722222</v>
      </c>
      <c r="C219" s="1" t="n">
        <v>46180</v>
      </c>
      <c r="D219" t="inlineStr">
        <is>
          <t>GÄVLEBORGS LÄN</t>
        </is>
      </c>
      <c r="E219" t="inlineStr">
        <is>
          <t>BOLLNÄS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682-2026</t>
        </is>
      </c>
      <c r="B220" s="1" t="n">
        <v>46029</v>
      </c>
      <c r="C220" s="1" t="n">
        <v>46180</v>
      </c>
      <c r="D220" t="inlineStr">
        <is>
          <t>GÄVLEBORGS LÄN</t>
        </is>
      </c>
      <c r="E220" t="inlineStr">
        <is>
          <t>BOLLNÄS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608-2026</t>
        </is>
      </c>
      <c r="B221" s="1" t="n">
        <v>46029.5127199074</v>
      </c>
      <c r="C221" s="1" t="n">
        <v>46180</v>
      </c>
      <c r="D221" t="inlineStr">
        <is>
          <t>GÄVLEBORGS LÄN</t>
        </is>
      </c>
      <c r="E221" t="inlineStr">
        <is>
          <t>BOLLNÄS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1593-2026</t>
        </is>
      </c>
      <c r="B222" s="1" t="n">
        <v>46034.44766203704</v>
      </c>
      <c r="C222" s="1" t="n">
        <v>46180</v>
      </c>
      <c r="D222" t="inlineStr">
        <is>
          <t>GÄVLEBORGS LÄN</t>
        </is>
      </c>
      <c r="E222" t="inlineStr">
        <is>
          <t>BOLLNÄS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1918-2026</t>
        </is>
      </c>
      <c r="B223" s="1" t="n">
        <v>46034</v>
      </c>
      <c r="C223" s="1" t="n">
        <v>46180</v>
      </c>
      <c r="D223" t="inlineStr">
        <is>
          <t>GÄVLEBORGS LÄN</t>
        </is>
      </c>
      <c r="E223" t="inlineStr">
        <is>
          <t>BOLLNÄS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1213-2026</t>
        </is>
      </c>
      <c r="B224" s="1" t="n">
        <v>46031</v>
      </c>
      <c r="C224" s="1" t="n">
        <v>46180</v>
      </c>
      <c r="D224" t="inlineStr">
        <is>
          <t>GÄVLEBORGS LÄN</t>
        </is>
      </c>
      <c r="E224" t="inlineStr">
        <is>
          <t>BOLLNÄS</t>
        </is>
      </c>
      <c r="G224" t="n">
        <v>15.2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1369-2026</t>
        </is>
      </c>
      <c r="B225" s="1" t="n">
        <v>46031</v>
      </c>
      <c r="C225" s="1" t="n">
        <v>46180</v>
      </c>
      <c r="D225" t="inlineStr">
        <is>
          <t>GÄVLEBORGS LÄN</t>
        </is>
      </c>
      <c r="E225" t="inlineStr">
        <is>
          <t>BOLLNÄS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31610-2024</t>
        </is>
      </c>
      <c r="B226" s="1" t="n">
        <v>45506.43253472223</v>
      </c>
      <c r="C226" s="1" t="n">
        <v>46180</v>
      </c>
      <c r="D226" t="inlineStr">
        <is>
          <t>GÄVLEBORGS LÄN</t>
        </is>
      </c>
      <c r="E226" t="inlineStr">
        <is>
          <t>BOLLNÄS</t>
        </is>
      </c>
      <c r="F226" t="inlineStr">
        <is>
          <t>Sveaskog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1615-2026</t>
        </is>
      </c>
      <c r="B227" s="1" t="n">
        <v>46034.47021990741</v>
      </c>
      <c r="C227" s="1" t="n">
        <v>46180</v>
      </c>
      <c r="D227" t="inlineStr">
        <is>
          <t>GÄVLEBORGS LÄN</t>
        </is>
      </c>
      <c r="E227" t="inlineStr">
        <is>
          <t>BOLLNÄS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63268-2025</t>
        </is>
      </c>
      <c r="B228" s="1" t="n">
        <v>46010</v>
      </c>
      <c r="C228" s="1" t="n">
        <v>46180</v>
      </c>
      <c r="D228" t="inlineStr">
        <is>
          <t>GÄVLEBORGS LÄN</t>
        </is>
      </c>
      <c r="E228" t="inlineStr">
        <is>
          <t>BOLLNÄS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1669-2026</t>
        </is>
      </c>
      <c r="B229" s="1" t="n">
        <v>46034</v>
      </c>
      <c r="C229" s="1" t="n">
        <v>46180</v>
      </c>
      <c r="D229" t="inlineStr">
        <is>
          <t>GÄVLEBORGS LÄN</t>
        </is>
      </c>
      <c r="E229" t="inlineStr">
        <is>
          <t>BOLLNÄS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1647-2026</t>
        </is>
      </c>
      <c r="B230" s="1" t="n">
        <v>46034</v>
      </c>
      <c r="C230" s="1" t="n">
        <v>46180</v>
      </c>
      <c r="D230" t="inlineStr">
        <is>
          <t>GÄVLEBORGS LÄN</t>
        </is>
      </c>
      <c r="E230" t="inlineStr">
        <is>
          <t>BOLLNÄS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1440-2026</t>
        </is>
      </c>
      <c r="B231" s="1" t="n">
        <v>46032.59587962963</v>
      </c>
      <c r="C231" s="1" t="n">
        <v>46180</v>
      </c>
      <c r="D231" t="inlineStr">
        <is>
          <t>GÄVLEBORGS LÄN</t>
        </is>
      </c>
      <c r="E231" t="inlineStr">
        <is>
          <t>BOLLNÄS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1679-2026</t>
        </is>
      </c>
      <c r="B232" s="1" t="n">
        <v>46034.57423611111</v>
      </c>
      <c r="C232" s="1" t="n">
        <v>46180</v>
      </c>
      <c r="D232" t="inlineStr">
        <is>
          <t>GÄVLEBORGS LÄN</t>
        </is>
      </c>
      <c r="E232" t="inlineStr">
        <is>
          <t>BOLLNÄS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1269-2026</t>
        </is>
      </c>
      <c r="B233" s="1" t="n">
        <v>46031</v>
      </c>
      <c r="C233" s="1" t="n">
        <v>46180</v>
      </c>
      <c r="D233" t="inlineStr">
        <is>
          <t>GÄVLEBORGS LÄN</t>
        </is>
      </c>
      <c r="E233" t="inlineStr">
        <is>
          <t>BOLLNÄS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1546-2026</t>
        </is>
      </c>
      <c r="B234" s="1" t="n">
        <v>46034.38685185185</v>
      </c>
      <c r="C234" s="1" t="n">
        <v>46180</v>
      </c>
      <c r="D234" t="inlineStr">
        <is>
          <t>GÄVLEBORGS LÄN</t>
        </is>
      </c>
      <c r="E234" t="inlineStr">
        <is>
          <t>BOLLNÄS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1275-2026</t>
        </is>
      </c>
      <c r="B235" s="1" t="n">
        <v>46031</v>
      </c>
      <c r="C235" s="1" t="n">
        <v>46180</v>
      </c>
      <c r="D235" t="inlineStr">
        <is>
          <t>GÄVLEBORGS LÄN</t>
        </is>
      </c>
      <c r="E235" t="inlineStr">
        <is>
          <t>BOLLNÄS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1617-2026</t>
        </is>
      </c>
      <c r="B236" s="1" t="n">
        <v>46034.47313657407</v>
      </c>
      <c r="C236" s="1" t="n">
        <v>46180</v>
      </c>
      <c r="D236" t="inlineStr">
        <is>
          <t>GÄVLEBORGS LÄN</t>
        </is>
      </c>
      <c r="E236" t="inlineStr">
        <is>
          <t>BOLLNÄS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1618-2026</t>
        </is>
      </c>
      <c r="B237" s="1" t="n">
        <v>46034</v>
      </c>
      <c r="C237" s="1" t="n">
        <v>46180</v>
      </c>
      <c r="D237" t="inlineStr">
        <is>
          <t>GÄVLEBORGS LÄN</t>
        </is>
      </c>
      <c r="E237" t="inlineStr">
        <is>
          <t>BOLLNÄS</t>
        </is>
      </c>
      <c r="G237" t="n">
        <v>20.6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1678-2026</t>
        </is>
      </c>
      <c r="B238" s="1" t="n">
        <v>46034.5724537037</v>
      </c>
      <c r="C238" s="1" t="n">
        <v>46180</v>
      </c>
      <c r="D238" t="inlineStr">
        <is>
          <t>GÄVLEBORGS LÄN</t>
        </is>
      </c>
      <c r="E238" t="inlineStr">
        <is>
          <t>BOLLNÄS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1687-2026</t>
        </is>
      </c>
      <c r="B239" s="1" t="n">
        <v>46034.58523148148</v>
      </c>
      <c r="C239" s="1" t="n">
        <v>46180</v>
      </c>
      <c r="D239" t="inlineStr">
        <is>
          <t>GÄVLEBORGS LÄN</t>
        </is>
      </c>
      <c r="E239" t="inlineStr">
        <is>
          <t>BOLLNÄS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1502-2026</t>
        </is>
      </c>
      <c r="B240" s="1" t="n">
        <v>46034.33591435185</v>
      </c>
      <c r="C240" s="1" t="n">
        <v>46180</v>
      </c>
      <c r="D240" t="inlineStr">
        <is>
          <t>GÄVLEBORGS LÄN</t>
        </is>
      </c>
      <c r="E240" t="inlineStr">
        <is>
          <t>BOLLNÄS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1542-2026</t>
        </is>
      </c>
      <c r="B241" s="1" t="n">
        <v>46034.38618055556</v>
      </c>
      <c r="C241" s="1" t="n">
        <v>46180</v>
      </c>
      <c r="D241" t="inlineStr">
        <is>
          <t>GÄVLEBORGS LÄN</t>
        </is>
      </c>
      <c r="E241" t="inlineStr">
        <is>
          <t>BOLLNÄS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1500-2026</t>
        </is>
      </c>
      <c r="B242" s="1" t="n">
        <v>46034.33462962963</v>
      </c>
      <c r="C242" s="1" t="n">
        <v>46180</v>
      </c>
      <c r="D242" t="inlineStr">
        <is>
          <t>GÄVLEBORGS LÄN</t>
        </is>
      </c>
      <c r="E242" t="inlineStr">
        <is>
          <t>BOLLNÄS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28810-2024</t>
        </is>
      </c>
      <c r="B243" s="1" t="n">
        <v>45478.63699074074</v>
      </c>
      <c r="C243" s="1" t="n">
        <v>46180</v>
      </c>
      <c r="D243" t="inlineStr">
        <is>
          <t>GÄVLEBORGS LÄN</t>
        </is>
      </c>
      <c r="E243" t="inlineStr">
        <is>
          <t>BOLLNÄS</t>
        </is>
      </c>
      <c r="F243" t="inlineStr">
        <is>
          <t>Bergvik skog väst AB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31574-2024</t>
        </is>
      </c>
      <c r="B244" s="1" t="n">
        <v>45506</v>
      </c>
      <c r="C244" s="1" t="n">
        <v>46180</v>
      </c>
      <c r="D244" t="inlineStr">
        <is>
          <t>GÄVLEBORGS LÄN</t>
        </is>
      </c>
      <c r="E244" t="inlineStr">
        <is>
          <t>BOLLNÄS</t>
        </is>
      </c>
      <c r="F244" t="inlineStr">
        <is>
          <t>Sveaskog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30187-2024</t>
        </is>
      </c>
      <c r="B245" s="1" t="n">
        <v>45490.27436342592</v>
      </c>
      <c r="C245" s="1" t="n">
        <v>46180</v>
      </c>
      <c r="D245" t="inlineStr">
        <is>
          <t>GÄVLEBORGS LÄN</t>
        </is>
      </c>
      <c r="E245" t="inlineStr">
        <is>
          <t>BOLLNÄS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1376-2026</t>
        </is>
      </c>
      <c r="B246" s="1" t="n">
        <v>46031.61568287037</v>
      </c>
      <c r="C246" s="1" t="n">
        <v>46180</v>
      </c>
      <c r="D246" t="inlineStr">
        <is>
          <t>GÄVLEBORGS LÄN</t>
        </is>
      </c>
      <c r="E246" t="inlineStr">
        <is>
          <t>BOLLNÄS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1377-2026</t>
        </is>
      </c>
      <c r="B247" s="1" t="n">
        <v>46031.61709490741</v>
      </c>
      <c r="C247" s="1" t="n">
        <v>46180</v>
      </c>
      <c r="D247" t="inlineStr">
        <is>
          <t>GÄVLEBORGS LÄN</t>
        </is>
      </c>
      <c r="E247" t="inlineStr">
        <is>
          <t>BOLLNÄS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1414-2026</t>
        </is>
      </c>
      <c r="B248" s="1" t="n">
        <v>46031</v>
      </c>
      <c r="C248" s="1" t="n">
        <v>46180</v>
      </c>
      <c r="D248" t="inlineStr">
        <is>
          <t>GÄVLEBORGS LÄN</t>
        </is>
      </c>
      <c r="E248" t="inlineStr">
        <is>
          <t>BOLLNÄS</t>
        </is>
      </c>
      <c r="F248" t="inlineStr">
        <is>
          <t>Kommuner</t>
        </is>
      </c>
      <c r="G248" t="n">
        <v>13.5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1387-2026</t>
        </is>
      </c>
      <c r="B249" s="1" t="n">
        <v>46031.62652777778</v>
      </c>
      <c r="C249" s="1" t="n">
        <v>46180</v>
      </c>
      <c r="D249" t="inlineStr">
        <is>
          <t>GÄVLEBORGS LÄN</t>
        </is>
      </c>
      <c r="E249" t="inlineStr">
        <is>
          <t>BOLLNÄS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1389-2026</t>
        </is>
      </c>
      <c r="B250" s="1" t="n">
        <v>46031.62846064815</v>
      </c>
      <c r="C250" s="1" t="n">
        <v>46180</v>
      </c>
      <c r="D250" t="inlineStr">
        <is>
          <t>GÄVLEBORGS LÄN</t>
        </is>
      </c>
      <c r="E250" t="inlineStr">
        <is>
          <t>BOLLNÄS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1555-2026</t>
        </is>
      </c>
      <c r="B251" s="1" t="n">
        <v>46034</v>
      </c>
      <c r="C251" s="1" t="n">
        <v>46180</v>
      </c>
      <c r="D251" t="inlineStr">
        <is>
          <t>GÄVLEBORGS LÄN</t>
        </is>
      </c>
      <c r="E251" t="inlineStr">
        <is>
          <t>BOLLNÄS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1587-2026</t>
        </is>
      </c>
      <c r="B252" s="1" t="n">
        <v>46034</v>
      </c>
      <c r="C252" s="1" t="n">
        <v>46180</v>
      </c>
      <c r="D252" t="inlineStr">
        <is>
          <t>GÄVLEBORGS LÄN</t>
        </is>
      </c>
      <c r="E252" t="inlineStr">
        <is>
          <t>BOLLNÄS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68516-2021</t>
        </is>
      </c>
      <c r="B253" s="1" t="n">
        <v>44526</v>
      </c>
      <c r="C253" s="1" t="n">
        <v>46180</v>
      </c>
      <c r="D253" t="inlineStr">
        <is>
          <t>GÄVLEBORGS LÄN</t>
        </is>
      </c>
      <c r="E253" t="inlineStr">
        <is>
          <t>BOLLNÄS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24314-2025</t>
        </is>
      </c>
      <c r="B254" s="1" t="n">
        <v>45797.52796296297</v>
      </c>
      <c r="C254" s="1" t="n">
        <v>46180</v>
      </c>
      <c r="D254" t="inlineStr">
        <is>
          <t>GÄVLEBORGS LÄN</t>
        </is>
      </c>
      <c r="E254" t="inlineStr">
        <is>
          <t>BOLLNÄS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24319-2025</t>
        </is>
      </c>
      <c r="B255" s="1" t="n">
        <v>45797.55027777778</v>
      </c>
      <c r="C255" s="1" t="n">
        <v>46180</v>
      </c>
      <c r="D255" t="inlineStr">
        <is>
          <t>GÄVLEBORGS LÄN</t>
        </is>
      </c>
      <c r="E255" t="inlineStr">
        <is>
          <t>BOLLNÄS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1672-2026</t>
        </is>
      </c>
      <c r="B256" s="1" t="n">
        <v>46034.568125</v>
      </c>
      <c r="C256" s="1" t="n">
        <v>46180</v>
      </c>
      <c r="D256" t="inlineStr">
        <is>
          <t>GÄVLEBORGS LÄN</t>
        </is>
      </c>
      <c r="E256" t="inlineStr">
        <is>
          <t>BOLLNÄS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1674-2026</t>
        </is>
      </c>
      <c r="B257" s="1" t="n">
        <v>46034.56940972222</v>
      </c>
      <c r="C257" s="1" t="n">
        <v>46180</v>
      </c>
      <c r="D257" t="inlineStr">
        <is>
          <t>GÄVLEBORGS LÄN</t>
        </is>
      </c>
      <c r="E257" t="inlineStr">
        <is>
          <t>BOLLNÄS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1675-2026</t>
        </is>
      </c>
      <c r="B258" s="1" t="n">
        <v>46034.57072916667</v>
      </c>
      <c r="C258" s="1" t="n">
        <v>46180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38251-2025</t>
        </is>
      </c>
      <c r="B259" s="1" t="n">
        <v>45883.375</v>
      </c>
      <c r="C259" s="1" t="n">
        <v>46180</v>
      </c>
      <c r="D259" t="inlineStr">
        <is>
          <t>GÄVLEBORGS LÄN</t>
        </is>
      </c>
      <c r="E259" t="inlineStr">
        <is>
          <t>BOLLNÄS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1492-2026</t>
        </is>
      </c>
      <c r="B260" s="1" t="n">
        <v>46034.30918981481</v>
      </c>
      <c r="C260" s="1" t="n">
        <v>46180</v>
      </c>
      <c r="D260" t="inlineStr">
        <is>
          <t>GÄVLEBORGS LÄN</t>
        </is>
      </c>
      <c r="E260" t="inlineStr">
        <is>
          <t>BOLLNÄS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2059-2026</t>
        </is>
      </c>
      <c r="B261" s="1" t="n">
        <v>46035.87555555555</v>
      </c>
      <c r="C261" s="1" t="n">
        <v>46180</v>
      </c>
      <c r="D261" t="inlineStr">
        <is>
          <t>GÄVLEBORGS LÄN</t>
        </is>
      </c>
      <c r="E261" t="inlineStr">
        <is>
          <t>BOLLNÄS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2060-2026</t>
        </is>
      </c>
      <c r="B262" s="1" t="n">
        <v>46035.88042824074</v>
      </c>
      <c r="C262" s="1" t="n">
        <v>46180</v>
      </c>
      <c r="D262" t="inlineStr">
        <is>
          <t>GÄVLEBORGS LÄN</t>
        </is>
      </c>
      <c r="E262" t="inlineStr">
        <is>
          <t>BOLLNÄS</t>
        </is>
      </c>
      <c r="G262" t="n">
        <v>10.4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2062-2026</t>
        </is>
      </c>
      <c r="B263" s="1" t="n">
        <v>46035</v>
      </c>
      <c r="C263" s="1" t="n">
        <v>46180</v>
      </c>
      <c r="D263" t="inlineStr">
        <is>
          <t>GÄVLEBORGS LÄN</t>
        </is>
      </c>
      <c r="E263" t="inlineStr">
        <is>
          <t>BOLLNÄS</t>
        </is>
      </c>
      <c r="F263" t="inlineStr">
        <is>
          <t>Bergvik skog väst AB</t>
        </is>
      </c>
      <c r="G263" t="n">
        <v>17.3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728-2026</t>
        </is>
      </c>
      <c r="B264" s="1" t="n">
        <v>46029</v>
      </c>
      <c r="C264" s="1" t="n">
        <v>46180</v>
      </c>
      <c r="D264" t="inlineStr">
        <is>
          <t>GÄVLEBORGS LÄN</t>
        </is>
      </c>
      <c r="E264" t="inlineStr">
        <is>
          <t>BOLLNÄS</t>
        </is>
      </c>
      <c r="G264" t="n">
        <v>12.9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2292-2026</t>
        </is>
      </c>
      <c r="B265" s="1" t="n">
        <v>46036</v>
      </c>
      <c r="C265" s="1" t="n">
        <v>46180</v>
      </c>
      <c r="D265" t="inlineStr">
        <is>
          <t>GÄVLEBORGS LÄN</t>
        </is>
      </c>
      <c r="E265" t="inlineStr">
        <is>
          <t>BOLLNÄS</t>
        </is>
      </c>
      <c r="G265" t="n">
        <v>13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2365-2026</t>
        </is>
      </c>
      <c r="B266" s="1" t="n">
        <v>46036.64317129629</v>
      </c>
      <c r="C266" s="1" t="n">
        <v>46180</v>
      </c>
      <c r="D266" t="inlineStr">
        <is>
          <t>GÄVLEBORGS LÄN</t>
        </is>
      </c>
      <c r="E266" t="inlineStr">
        <is>
          <t>BOLLNÄS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2377-2026</t>
        </is>
      </c>
      <c r="B267" s="1" t="n">
        <v>46036.65681712963</v>
      </c>
      <c r="C267" s="1" t="n">
        <v>46180</v>
      </c>
      <c r="D267" t="inlineStr">
        <is>
          <t>GÄVLEBORGS LÄN</t>
        </is>
      </c>
      <c r="E267" t="inlineStr">
        <is>
          <t>BOLLNÄS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2140-2026</t>
        </is>
      </c>
      <c r="B268" s="1" t="n">
        <v>46036</v>
      </c>
      <c r="C268" s="1" t="n">
        <v>46180</v>
      </c>
      <c r="D268" t="inlineStr">
        <is>
          <t>GÄVLEBORGS LÄN</t>
        </is>
      </c>
      <c r="E268" t="inlineStr">
        <is>
          <t>BOLLNÄS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2174-2026</t>
        </is>
      </c>
      <c r="B269" s="1" t="n">
        <v>46036</v>
      </c>
      <c r="C269" s="1" t="n">
        <v>46180</v>
      </c>
      <c r="D269" t="inlineStr">
        <is>
          <t>GÄVLEBORGS LÄN</t>
        </is>
      </c>
      <c r="E269" t="inlineStr">
        <is>
          <t>BOLLNÄS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63958-2025</t>
        </is>
      </c>
      <c r="B270" s="1" t="n">
        <v>46020</v>
      </c>
      <c r="C270" s="1" t="n">
        <v>46180</v>
      </c>
      <c r="D270" t="inlineStr">
        <is>
          <t>GÄVLEBORGS LÄN</t>
        </is>
      </c>
      <c r="E270" t="inlineStr">
        <is>
          <t>BOLLNÄS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1796-2026</t>
        </is>
      </c>
      <c r="B271" s="1" t="n">
        <v>46035.25556712963</v>
      </c>
      <c r="C271" s="1" t="n">
        <v>46180</v>
      </c>
      <c r="D271" t="inlineStr">
        <is>
          <t>GÄVLEBORGS LÄN</t>
        </is>
      </c>
      <c r="E271" t="inlineStr">
        <is>
          <t>BOLLNÄS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1799-2026</t>
        </is>
      </c>
      <c r="B272" s="1" t="n">
        <v>46035</v>
      </c>
      <c r="C272" s="1" t="n">
        <v>46180</v>
      </c>
      <c r="D272" t="inlineStr">
        <is>
          <t>GÄVLEBORGS LÄN</t>
        </is>
      </c>
      <c r="E272" t="inlineStr">
        <is>
          <t>BOLLNÄS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1800-2026</t>
        </is>
      </c>
      <c r="B273" s="1" t="n">
        <v>46035.30980324074</v>
      </c>
      <c r="C273" s="1" t="n">
        <v>46180</v>
      </c>
      <c r="D273" t="inlineStr">
        <is>
          <t>GÄVLEBORGS LÄN</t>
        </is>
      </c>
      <c r="E273" t="inlineStr">
        <is>
          <t>BOLLNÄS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1805-2026</t>
        </is>
      </c>
      <c r="B274" s="1" t="n">
        <v>46035.32978009259</v>
      </c>
      <c r="C274" s="1" t="n">
        <v>46180</v>
      </c>
      <c r="D274" t="inlineStr">
        <is>
          <t>GÄVLEBORGS LÄN</t>
        </is>
      </c>
      <c r="E274" t="inlineStr">
        <is>
          <t>BOLLNÄS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2143-2026</t>
        </is>
      </c>
      <c r="B275" s="1" t="n">
        <v>46036.40519675926</v>
      </c>
      <c r="C275" s="1" t="n">
        <v>46180</v>
      </c>
      <c r="D275" t="inlineStr">
        <is>
          <t>GÄVLEBORGS LÄN</t>
        </is>
      </c>
      <c r="E275" t="inlineStr">
        <is>
          <t>BOLLNÄS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2307-2026</t>
        </is>
      </c>
      <c r="B276" s="1" t="n">
        <v>46036.59155092593</v>
      </c>
      <c r="C276" s="1" t="n">
        <v>46180</v>
      </c>
      <c r="D276" t="inlineStr">
        <is>
          <t>GÄVLEBORGS LÄN</t>
        </is>
      </c>
      <c r="E276" t="inlineStr">
        <is>
          <t>BOLLNÄS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2291-2026</t>
        </is>
      </c>
      <c r="B277" s="1" t="n">
        <v>46036.58548611111</v>
      </c>
      <c r="C277" s="1" t="n">
        <v>46180</v>
      </c>
      <c r="D277" t="inlineStr">
        <is>
          <t>GÄVLEBORGS LÄN</t>
        </is>
      </c>
      <c r="E277" t="inlineStr">
        <is>
          <t>BOLLNÄS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2049-2026</t>
        </is>
      </c>
      <c r="B278" s="1" t="n">
        <v>46035.84591435185</v>
      </c>
      <c r="C278" s="1" t="n">
        <v>46180</v>
      </c>
      <c r="D278" t="inlineStr">
        <is>
          <t>GÄVLEBORGS LÄN</t>
        </is>
      </c>
      <c r="E278" t="inlineStr">
        <is>
          <t>BOLLNÄS</t>
        </is>
      </c>
      <c r="G278" t="n">
        <v>46.8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2058-2026</t>
        </is>
      </c>
      <c r="B279" s="1" t="n">
        <v>46035.87325231481</v>
      </c>
      <c r="C279" s="1" t="n">
        <v>46180</v>
      </c>
      <c r="D279" t="inlineStr">
        <is>
          <t>GÄVLEBORGS LÄN</t>
        </is>
      </c>
      <c r="E279" t="inlineStr">
        <is>
          <t>BOLLNÄS</t>
        </is>
      </c>
      <c r="G279" t="n">
        <v>9.6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2064-2026</t>
        </is>
      </c>
      <c r="B280" s="1" t="n">
        <v>46035</v>
      </c>
      <c r="C280" s="1" t="n">
        <v>46180</v>
      </c>
      <c r="D280" t="inlineStr">
        <is>
          <t>GÄVLEBORGS LÄN</t>
        </is>
      </c>
      <c r="E280" t="inlineStr">
        <is>
          <t>BOLLNÄS</t>
        </is>
      </c>
      <c r="F280" t="inlineStr">
        <is>
          <t>Bergvik skog väst AB</t>
        </is>
      </c>
      <c r="G280" t="n">
        <v>22.7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1948-2026</t>
        </is>
      </c>
      <c r="B281" s="1" t="n">
        <v>46035.60106481481</v>
      </c>
      <c r="C281" s="1" t="n">
        <v>46180</v>
      </c>
      <c r="D281" t="inlineStr">
        <is>
          <t>GÄVLEBORGS LÄN</t>
        </is>
      </c>
      <c r="E281" t="inlineStr">
        <is>
          <t>BOLLNÄS</t>
        </is>
      </c>
      <c r="G281" t="n">
        <v>13.2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26922-2024</t>
        </is>
      </c>
      <c r="B282" s="1" t="n">
        <v>45470.93087962963</v>
      </c>
      <c r="C282" s="1" t="n">
        <v>46180</v>
      </c>
      <c r="D282" t="inlineStr">
        <is>
          <t>GÄVLEBORGS LÄN</t>
        </is>
      </c>
      <c r="E282" t="inlineStr">
        <is>
          <t>BOLLNÄS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38762-2025</t>
        </is>
      </c>
      <c r="B283" s="1" t="n">
        <v>45887</v>
      </c>
      <c r="C283" s="1" t="n">
        <v>46180</v>
      </c>
      <c r="D283" t="inlineStr">
        <is>
          <t>GÄVLEBORGS LÄN</t>
        </is>
      </c>
      <c r="E283" t="inlineStr">
        <is>
          <t>BOLLNÄS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38769-2025</t>
        </is>
      </c>
      <c r="B284" s="1" t="n">
        <v>45887.41712962963</v>
      </c>
      <c r="C284" s="1" t="n">
        <v>46180</v>
      </c>
      <c r="D284" t="inlineStr">
        <is>
          <t>GÄVLEBORGS LÄN</t>
        </is>
      </c>
      <c r="E284" t="inlineStr">
        <is>
          <t>BOLLNÄS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38770-2025</t>
        </is>
      </c>
      <c r="B285" s="1" t="n">
        <v>45887.41885416667</v>
      </c>
      <c r="C285" s="1" t="n">
        <v>46180</v>
      </c>
      <c r="D285" t="inlineStr">
        <is>
          <t>GÄVLEBORGS LÄN</t>
        </is>
      </c>
      <c r="E285" t="inlineStr">
        <is>
          <t>BOLLNÄS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2404-2026</t>
        </is>
      </c>
      <c r="B286" s="1" t="n">
        <v>46036.69736111111</v>
      </c>
      <c r="C286" s="1" t="n">
        <v>46180</v>
      </c>
      <c r="D286" t="inlineStr">
        <is>
          <t>GÄVLEBORGS LÄN</t>
        </is>
      </c>
      <c r="E286" t="inlineStr">
        <is>
          <t>BOLLNÄS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2369-2026</t>
        </is>
      </c>
      <c r="B287" s="1" t="n">
        <v>46036.646875</v>
      </c>
      <c r="C287" s="1" t="n">
        <v>46180</v>
      </c>
      <c r="D287" t="inlineStr">
        <is>
          <t>GÄVLEBORGS LÄN</t>
        </is>
      </c>
      <c r="E287" t="inlineStr">
        <is>
          <t>BOLLNÄS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2370-2026</t>
        </is>
      </c>
      <c r="B288" s="1" t="n">
        <v>46036.64728009259</v>
      </c>
      <c r="C288" s="1" t="n">
        <v>46180</v>
      </c>
      <c r="D288" t="inlineStr">
        <is>
          <t>GÄVLEBORGS LÄN</t>
        </is>
      </c>
      <c r="E288" t="inlineStr">
        <is>
          <t>BOLLNÄS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2166-2026</t>
        </is>
      </c>
      <c r="B289" s="1" t="n">
        <v>46036</v>
      </c>
      <c r="C289" s="1" t="n">
        <v>46180</v>
      </c>
      <c r="D289" t="inlineStr">
        <is>
          <t>GÄVLEBORGS LÄN</t>
        </is>
      </c>
      <c r="E289" t="inlineStr">
        <is>
          <t>BOLLNÄS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54949-2022</t>
        </is>
      </c>
      <c r="B290" s="1" t="n">
        <v>44886.469375</v>
      </c>
      <c r="C290" s="1" t="n">
        <v>46180</v>
      </c>
      <c r="D290" t="inlineStr">
        <is>
          <t>GÄVLEBORGS LÄN</t>
        </is>
      </c>
      <c r="E290" t="inlineStr">
        <is>
          <t>BOLLNÄS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20876-2024</t>
        </is>
      </c>
      <c r="B291" s="1" t="n">
        <v>45439.44590277778</v>
      </c>
      <c r="C291" s="1" t="n">
        <v>46180</v>
      </c>
      <c r="D291" t="inlineStr">
        <is>
          <t>GÄVLEBORGS LÄN</t>
        </is>
      </c>
      <c r="E291" t="inlineStr">
        <is>
          <t>BOLLNÄS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2084-2026</t>
        </is>
      </c>
      <c r="B292" s="1" t="n">
        <v>46036</v>
      </c>
      <c r="C292" s="1" t="n">
        <v>46180</v>
      </c>
      <c r="D292" t="inlineStr">
        <is>
          <t>GÄVLEBORGS LÄN</t>
        </is>
      </c>
      <c r="E292" t="inlineStr">
        <is>
          <t>BOLLNÄS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24918-2025</t>
        </is>
      </c>
      <c r="B293" s="1" t="n">
        <v>45799.54648148148</v>
      </c>
      <c r="C293" s="1" t="n">
        <v>46180</v>
      </c>
      <c r="D293" t="inlineStr">
        <is>
          <t>GÄVLEBORGS LÄN</t>
        </is>
      </c>
      <c r="E293" t="inlineStr">
        <is>
          <t>BOLLNÄS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24920-2025</t>
        </is>
      </c>
      <c r="B294" s="1" t="n">
        <v>45799.55019675926</v>
      </c>
      <c r="C294" s="1" t="n">
        <v>46180</v>
      </c>
      <c r="D294" t="inlineStr">
        <is>
          <t>GÄVLEBORGS LÄN</t>
        </is>
      </c>
      <c r="E294" t="inlineStr">
        <is>
          <t>BOLLNÄS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2109-2026</t>
        </is>
      </c>
      <c r="B295" s="1" t="n">
        <v>46036.37736111111</v>
      </c>
      <c r="C295" s="1" t="n">
        <v>46180</v>
      </c>
      <c r="D295" t="inlineStr">
        <is>
          <t>GÄVLEBORGS LÄN</t>
        </is>
      </c>
      <c r="E295" t="inlineStr">
        <is>
          <t>BOLLNÄS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2384-2026</t>
        </is>
      </c>
      <c r="B296" s="1" t="n">
        <v>46036.66680555556</v>
      </c>
      <c r="C296" s="1" t="n">
        <v>46180</v>
      </c>
      <c r="D296" t="inlineStr">
        <is>
          <t>GÄVLEBORGS LÄN</t>
        </is>
      </c>
      <c r="E296" t="inlineStr">
        <is>
          <t>BOLLNÄS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2403-2026</t>
        </is>
      </c>
      <c r="B297" s="1" t="n">
        <v>46036</v>
      </c>
      <c r="C297" s="1" t="n">
        <v>46180</v>
      </c>
      <c r="D297" t="inlineStr">
        <is>
          <t>GÄVLEBORGS LÄN</t>
        </is>
      </c>
      <c r="E297" t="inlineStr">
        <is>
          <t>BOLLNÄS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58748-2024</t>
        </is>
      </c>
      <c r="B298" s="1" t="n">
        <v>45635.71362268519</v>
      </c>
      <c r="C298" s="1" t="n">
        <v>46180</v>
      </c>
      <c r="D298" t="inlineStr">
        <is>
          <t>GÄVLEBORGS LÄN</t>
        </is>
      </c>
      <c r="E298" t="inlineStr">
        <is>
          <t>BOLLNÄS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2602-2026</t>
        </is>
      </c>
      <c r="B299" s="1" t="n">
        <v>46035</v>
      </c>
      <c r="C299" s="1" t="n">
        <v>46180</v>
      </c>
      <c r="D299" t="inlineStr">
        <is>
          <t>GÄVLEBORGS LÄN</t>
        </is>
      </c>
      <c r="E299" t="inlineStr">
        <is>
          <t>BOLLNÄS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39165-2025</t>
        </is>
      </c>
      <c r="B300" s="1" t="n">
        <v>45888.63737268518</v>
      </c>
      <c r="C300" s="1" t="n">
        <v>46180</v>
      </c>
      <c r="D300" t="inlineStr">
        <is>
          <t>GÄVLEBORGS LÄN</t>
        </is>
      </c>
      <c r="E300" t="inlineStr">
        <is>
          <t>BOLLNÄS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1797-2026</t>
        </is>
      </c>
      <c r="B301" s="1" t="n">
        <v>46035.26206018519</v>
      </c>
      <c r="C301" s="1" t="n">
        <v>46180</v>
      </c>
      <c r="D301" t="inlineStr">
        <is>
          <t>GÄVLEBORGS LÄN</t>
        </is>
      </c>
      <c r="E301" t="inlineStr">
        <is>
          <t>BOLLNÄS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38902-2025</t>
        </is>
      </c>
      <c r="B302" s="1" t="n">
        <v>45887.60680555556</v>
      </c>
      <c r="C302" s="1" t="n">
        <v>46180</v>
      </c>
      <c r="D302" t="inlineStr">
        <is>
          <t>GÄVLEBORGS LÄN</t>
        </is>
      </c>
      <c r="E302" t="inlineStr">
        <is>
          <t>BOLLNÄS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69378-2021</t>
        </is>
      </c>
      <c r="B303" s="1" t="n">
        <v>44531.56668981481</v>
      </c>
      <c r="C303" s="1" t="n">
        <v>46180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1809-2026</t>
        </is>
      </c>
      <c r="B304" s="1" t="n">
        <v>46035.33763888889</v>
      </c>
      <c r="C304" s="1" t="n">
        <v>46180</v>
      </c>
      <c r="D304" t="inlineStr">
        <is>
          <t>GÄVLEBORGS LÄN</t>
        </is>
      </c>
      <c r="E304" t="inlineStr">
        <is>
          <t>BOLLNÄS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2063-2026</t>
        </is>
      </c>
      <c r="B305" s="1" t="n">
        <v>46035</v>
      </c>
      <c r="C305" s="1" t="n">
        <v>46180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35.5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2375-2026</t>
        </is>
      </c>
      <c r="B306" s="1" t="n">
        <v>46036</v>
      </c>
      <c r="C306" s="1" t="n">
        <v>46180</v>
      </c>
      <c r="D306" t="inlineStr">
        <is>
          <t>GÄVLEBORGS LÄN</t>
        </is>
      </c>
      <c r="E306" t="inlineStr">
        <is>
          <t>BOLLNÄS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2405-2026</t>
        </is>
      </c>
      <c r="B307" s="1" t="n">
        <v>46036.71341435185</v>
      </c>
      <c r="C307" s="1" t="n">
        <v>46180</v>
      </c>
      <c r="D307" t="inlineStr">
        <is>
          <t>GÄVLEBORGS LÄN</t>
        </is>
      </c>
      <c r="E307" t="inlineStr">
        <is>
          <t>BOLLNÄS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1535-2026</t>
        </is>
      </c>
      <c r="B308" s="1" t="n">
        <v>46034.37938657407</v>
      </c>
      <c r="C308" s="1" t="n">
        <v>46180</v>
      </c>
      <c r="D308" t="inlineStr">
        <is>
          <t>GÄVLEBORGS LÄN</t>
        </is>
      </c>
      <c r="E308" t="inlineStr">
        <is>
          <t>BOLLNÄS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14857-2022</t>
        </is>
      </c>
      <c r="B309" s="1" t="n">
        <v>44656.65101851852</v>
      </c>
      <c r="C309" s="1" t="n">
        <v>46180</v>
      </c>
      <c r="D309" t="inlineStr">
        <is>
          <t>GÄVLEBORGS LÄN</t>
        </is>
      </c>
      <c r="E309" t="inlineStr">
        <is>
          <t>BOLLNÄS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25256-2025</t>
        </is>
      </c>
      <c r="B310" s="1" t="n">
        <v>45800.50966435186</v>
      </c>
      <c r="C310" s="1" t="n">
        <v>46180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13.8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8-2026</t>
        </is>
      </c>
      <c r="B311" s="1" t="n">
        <v>46023</v>
      </c>
      <c r="C311" s="1" t="n">
        <v>46180</v>
      </c>
      <c r="D311" t="inlineStr">
        <is>
          <t>GÄVLEBORGS LÄN</t>
        </is>
      </c>
      <c r="E311" t="inlineStr">
        <is>
          <t>BOLLNÄS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2276-2026</t>
        </is>
      </c>
      <c r="B312" s="1" t="n">
        <v>46036.57439814815</v>
      </c>
      <c r="C312" s="1" t="n">
        <v>46180</v>
      </c>
      <c r="D312" t="inlineStr">
        <is>
          <t>GÄVLEBORGS LÄN</t>
        </is>
      </c>
      <c r="E312" t="inlineStr">
        <is>
          <t>BOLLNÄS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38907-2025</t>
        </is>
      </c>
      <c r="B313" s="1" t="n">
        <v>45887.60866898148</v>
      </c>
      <c r="C313" s="1" t="n">
        <v>46180</v>
      </c>
      <c r="D313" t="inlineStr">
        <is>
          <t>GÄVLEBORGS LÄN</t>
        </is>
      </c>
      <c r="E313" t="inlineStr">
        <is>
          <t>BOLLNÄS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2348-2026</t>
        </is>
      </c>
      <c r="B314" s="1" t="n">
        <v>46036.63224537037</v>
      </c>
      <c r="C314" s="1" t="n">
        <v>46180</v>
      </c>
      <c r="D314" t="inlineStr">
        <is>
          <t>GÄVLEBORGS LÄN</t>
        </is>
      </c>
      <c r="E314" t="inlineStr">
        <is>
          <t>BOLLNÄS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2526-2026</t>
        </is>
      </c>
      <c r="B315" s="1" t="n">
        <v>46037.43283564815</v>
      </c>
      <c r="C315" s="1" t="n">
        <v>46180</v>
      </c>
      <c r="D315" t="inlineStr">
        <is>
          <t>GÄVLEBORGS LÄN</t>
        </is>
      </c>
      <c r="E315" t="inlineStr">
        <is>
          <t>BOLLNÄS</t>
        </is>
      </c>
      <c r="G315" t="n">
        <v>12.6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2532-2026</t>
        </is>
      </c>
      <c r="B316" s="1" t="n">
        <v>46037.44467592592</v>
      </c>
      <c r="C316" s="1" t="n">
        <v>46180</v>
      </c>
      <c r="D316" t="inlineStr">
        <is>
          <t>GÄVLEBORGS LÄN</t>
        </is>
      </c>
      <c r="E316" t="inlineStr">
        <is>
          <t>BOLLNÄS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2592-2026</t>
        </is>
      </c>
      <c r="B317" s="1" t="n">
        <v>46037.54743055555</v>
      </c>
      <c r="C317" s="1" t="n">
        <v>46180</v>
      </c>
      <c r="D317" t="inlineStr">
        <is>
          <t>GÄVLEBORGS LÄN</t>
        </is>
      </c>
      <c r="E317" t="inlineStr">
        <is>
          <t>BOLLNÄS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2647-2026</t>
        </is>
      </c>
      <c r="B318" s="1" t="n">
        <v>46037.62453703704</v>
      </c>
      <c r="C318" s="1" t="n">
        <v>46180</v>
      </c>
      <c r="D318" t="inlineStr">
        <is>
          <t>GÄVLEBORGS LÄN</t>
        </is>
      </c>
      <c r="E318" t="inlineStr">
        <is>
          <t>BOLLNÄS</t>
        </is>
      </c>
      <c r="G318" t="n">
        <v>11.1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2504-2026</t>
        </is>
      </c>
      <c r="B319" s="1" t="n">
        <v>46037.41033564815</v>
      </c>
      <c r="C319" s="1" t="n">
        <v>46180</v>
      </c>
      <c r="D319" t="inlineStr">
        <is>
          <t>GÄVLEBORGS LÄN</t>
        </is>
      </c>
      <c r="E319" t="inlineStr">
        <is>
          <t>BOLLNÄS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25192-2025</t>
        </is>
      </c>
      <c r="B320" s="1" t="n">
        <v>45800.45829861111</v>
      </c>
      <c r="C320" s="1" t="n">
        <v>46180</v>
      </c>
      <c r="D320" t="inlineStr">
        <is>
          <t>GÄVLEBORGS LÄN</t>
        </is>
      </c>
      <c r="E320" t="inlineStr">
        <is>
          <t>BOLLNÄS</t>
        </is>
      </c>
      <c r="F320" t="inlineStr">
        <is>
          <t>Bergvik skog väst AB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2996-2026</t>
        </is>
      </c>
      <c r="B321" s="1" t="n">
        <v>46038</v>
      </c>
      <c r="C321" s="1" t="n">
        <v>46180</v>
      </c>
      <c r="D321" t="inlineStr">
        <is>
          <t>GÄVLEBORGS LÄN</t>
        </is>
      </c>
      <c r="E321" t="inlineStr">
        <is>
          <t>BOLLNÄS</t>
        </is>
      </c>
      <c r="G321" t="n">
        <v>9.699999999999999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2997-2026</t>
        </is>
      </c>
      <c r="B322" s="1" t="n">
        <v>46038</v>
      </c>
      <c r="C322" s="1" t="n">
        <v>46180</v>
      </c>
      <c r="D322" t="inlineStr">
        <is>
          <t>GÄVLEBORGS LÄN</t>
        </is>
      </c>
      <c r="E322" t="inlineStr">
        <is>
          <t>BOLLNÄS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2785-2026</t>
        </is>
      </c>
      <c r="B323" s="1" t="n">
        <v>46038.38802083334</v>
      </c>
      <c r="C323" s="1" t="n">
        <v>46180</v>
      </c>
      <c r="D323" t="inlineStr">
        <is>
          <t>GÄVLEBORGS LÄN</t>
        </is>
      </c>
      <c r="E323" t="inlineStr">
        <is>
          <t>BOLLNÄS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2461-2026</t>
        </is>
      </c>
      <c r="B324" s="1" t="n">
        <v>46037.35334490741</v>
      </c>
      <c r="C324" s="1" t="n">
        <v>46180</v>
      </c>
      <c r="D324" t="inlineStr">
        <is>
          <t>GÄVLEBORGS LÄN</t>
        </is>
      </c>
      <c r="E324" t="inlineStr">
        <is>
          <t>BOLLNÄS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2503-2026</t>
        </is>
      </c>
      <c r="B325" s="1" t="n">
        <v>46037.40974537037</v>
      </c>
      <c r="C325" s="1" t="n">
        <v>46180</v>
      </c>
      <c r="D325" t="inlineStr">
        <is>
          <t>GÄVLEBORGS LÄN</t>
        </is>
      </c>
      <c r="E325" t="inlineStr">
        <is>
          <t>BOLLNÄS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2517-2026</t>
        </is>
      </c>
      <c r="B326" s="1" t="n">
        <v>46037.42467592593</v>
      </c>
      <c r="C326" s="1" t="n">
        <v>46180</v>
      </c>
      <c r="D326" t="inlineStr">
        <is>
          <t>GÄVLEBORGS LÄN</t>
        </is>
      </c>
      <c r="E326" t="inlineStr">
        <is>
          <t>BOLLNÄS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2795-2026</t>
        </is>
      </c>
      <c r="B327" s="1" t="n">
        <v>46038</v>
      </c>
      <c r="C327" s="1" t="n">
        <v>46180</v>
      </c>
      <c r="D327" t="inlineStr">
        <is>
          <t>GÄVLEBORGS LÄN</t>
        </is>
      </c>
      <c r="E327" t="inlineStr">
        <is>
          <t>BOLLNÄS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2962-2026</t>
        </is>
      </c>
      <c r="B328" s="1" t="n">
        <v>46038.61459490741</v>
      </c>
      <c r="C328" s="1" t="n">
        <v>46180</v>
      </c>
      <c r="D328" t="inlineStr">
        <is>
          <t>GÄVLEBORGS LÄN</t>
        </is>
      </c>
      <c r="E328" t="inlineStr">
        <is>
          <t>BOLLNÄS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2965-2026</t>
        </is>
      </c>
      <c r="B329" s="1" t="n">
        <v>46038</v>
      </c>
      <c r="C329" s="1" t="n">
        <v>46180</v>
      </c>
      <c r="D329" t="inlineStr">
        <is>
          <t>GÄVLEBORGS LÄN</t>
        </is>
      </c>
      <c r="E329" t="inlineStr">
        <is>
          <t>BOLLNÄS</t>
        </is>
      </c>
      <c r="G329" t="n">
        <v>26.9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2733-2026</t>
        </is>
      </c>
      <c r="B330" s="1" t="n">
        <v>46038.25436342593</v>
      </c>
      <c r="C330" s="1" t="n">
        <v>46180</v>
      </c>
      <c r="D330" t="inlineStr">
        <is>
          <t>GÄVLEBORGS LÄN</t>
        </is>
      </c>
      <c r="E330" t="inlineStr">
        <is>
          <t>BOLLNÄS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2653-2026</t>
        </is>
      </c>
      <c r="B331" s="1" t="n">
        <v>46037.62857638889</v>
      </c>
      <c r="C331" s="1" t="n">
        <v>46180</v>
      </c>
      <c r="D331" t="inlineStr">
        <is>
          <t>GÄVLEBORGS LÄN</t>
        </is>
      </c>
      <c r="E331" t="inlineStr">
        <is>
          <t>BOLLNÄS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2734-2026</t>
        </is>
      </c>
      <c r="B332" s="1" t="n">
        <v>46038.25835648148</v>
      </c>
      <c r="C332" s="1" t="n">
        <v>46180</v>
      </c>
      <c r="D332" t="inlineStr">
        <is>
          <t>GÄVLEBORGS LÄN</t>
        </is>
      </c>
      <c r="E332" t="inlineStr">
        <is>
          <t>BOLLNÄS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2735-2026</t>
        </is>
      </c>
      <c r="B333" s="1" t="n">
        <v>46038.26375</v>
      </c>
      <c r="C333" s="1" t="n">
        <v>46180</v>
      </c>
      <c r="D333" t="inlineStr">
        <is>
          <t>GÄVLEBORGS LÄN</t>
        </is>
      </c>
      <c r="E333" t="inlineStr">
        <is>
          <t>BOLLNÄS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2362-2026</t>
        </is>
      </c>
      <c r="B334" s="1" t="n">
        <v>46036.64121527778</v>
      </c>
      <c r="C334" s="1" t="n">
        <v>46180</v>
      </c>
      <c r="D334" t="inlineStr">
        <is>
          <t>GÄVLEBORGS LÄN</t>
        </is>
      </c>
      <c r="E334" t="inlineStr">
        <is>
          <t>BOLLNÄS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2984-2026</t>
        </is>
      </c>
      <c r="B335" s="1" t="n">
        <v>46038</v>
      </c>
      <c r="C335" s="1" t="n">
        <v>46180</v>
      </c>
      <c r="D335" t="inlineStr">
        <is>
          <t>GÄVLEBORGS LÄN</t>
        </is>
      </c>
      <c r="E335" t="inlineStr">
        <is>
          <t>BOLLNÄS</t>
        </is>
      </c>
      <c r="F335" t="inlineStr">
        <is>
          <t>Bergvik skog väst AB</t>
        </is>
      </c>
      <c r="G335" t="n">
        <v>37.5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24937-2025</t>
        </is>
      </c>
      <c r="B336" s="1" t="n">
        <v>45799.55748842593</v>
      </c>
      <c r="C336" s="1" t="n">
        <v>46180</v>
      </c>
      <c r="D336" t="inlineStr">
        <is>
          <t>GÄVLEBORGS LÄN</t>
        </is>
      </c>
      <c r="E336" t="inlineStr">
        <is>
          <t>BOLLNÄS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2811-2026</t>
        </is>
      </c>
      <c r="B337" s="1" t="n">
        <v>46038.41928240741</v>
      </c>
      <c r="C337" s="1" t="n">
        <v>46180</v>
      </c>
      <c r="D337" t="inlineStr">
        <is>
          <t>GÄVLEBORGS LÄN</t>
        </is>
      </c>
      <c r="E337" t="inlineStr">
        <is>
          <t>BOLLNÄS</t>
        </is>
      </c>
      <c r="G337" t="n">
        <v>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2442-2026</t>
        </is>
      </c>
      <c r="B338" s="1" t="n">
        <v>46037.2772337963</v>
      </c>
      <c r="C338" s="1" t="n">
        <v>46180</v>
      </c>
      <c r="D338" t="inlineStr">
        <is>
          <t>GÄVLEBORGS LÄN</t>
        </is>
      </c>
      <c r="E338" t="inlineStr">
        <is>
          <t>BOLLNÄS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2458-2026</t>
        </is>
      </c>
      <c r="B339" s="1" t="n">
        <v>46037.34831018518</v>
      </c>
      <c r="C339" s="1" t="n">
        <v>46180</v>
      </c>
      <c r="D339" t="inlineStr">
        <is>
          <t>GÄVLEBORGS LÄN</t>
        </is>
      </c>
      <c r="E339" t="inlineStr">
        <is>
          <t>BOLLNÄS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25226-2025</t>
        </is>
      </c>
      <c r="B340" s="1" t="n">
        <v>45800</v>
      </c>
      <c r="C340" s="1" t="n">
        <v>46180</v>
      </c>
      <c r="D340" t="inlineStr">
        <is>
          <t>GÄVLEBORGS LÄN</t>
        </is>
      </c>
      <c r="E340" t="inlineStr">
        <is>
          <t>BOLLNÄS</t>
        </is>
      </c>
      <c r="F340" t="inlineStr">
        <is>
          <t>Holmen skog AB</t>
        </is>
      </c>
      <c r="G340" t="n">
        <v>17.7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38747-2025</t>
        </is>
      </c>
      <c r="B341" s="1" t="n">
        <v>45887.38575231482</v>
      </c>
      <c r="C341" s="1" t="n">
        <v>46180</v>
      </c>
      <c r="D341" t="inlineStr">
        <is>
          <t>GÄVLEBORGS LÄN</t>
        </is>
      </c>
      <c r="E341" t="inlineStr">
        <is>
          <t>BOLLNÄS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10483-2024</t>
        </is>
      </c>
      <c r="B342" s="1" t="n">
        <v>45366</v>
      </c>
      <c r="C342" s="1" t="n">
        <v>46180</v>
      </c>
      <c r="D342" t="inlineStr">
        <is>
          <t>GÄVLEBORGS LÄN</t>
        </is>
      </c>
      <c r="E342" t="inlineStr">
        <is>
          <t>BOLLNÄS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2465-2026</t>
        </is>
      </c>
      <c r="B343" s="1" t="n">
        <v>46037.36222222223</v>
      </c>
      <c r="C343" s="1" t="n">
        <v>46180</v>
      </c>
      <c r="D343" t="inlineStr">
        <is>
          <t>GÄVLEBORGS LÄN</t>
        </is>
      </c>
      <c r="E343" t="inlineStr">
        <is>
          <t>BOLLNÄS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27788-2024</t>
        </is>
      </c>
      <c r="B344" s="1" t="n">
        <v>45475.54844907407</v>
      </c>
      <c r="C344" s="1" t="n">
        <v>46180</v>
      </c>
      <c r="D344" t="inlineStr">
        <is>
          <t>GÄVLEBORGS LÄN</t>
        </is>
      </c>
      <c r="E344" t="inlineStr">
        <is>
          <t>BOLLNÄS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60335-2022</t>
        </is>
      </c>
      <c r="B345" s="1" t="n">
        <v>44910.60543981481</v>
      </c>
      <c r="C345" s="1" t="n">
        <v>46180</v>
      </c>
      <c r="D345" t="inlineStr">
        <is>
          <t>GÄVLEBORGS LÄN</t>
        </is>
      </c>
      <c r="E345" t="inlineStr">
        <is>
          <t>BOLLNÄS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38556-2021</t>
        </is>
      </c>
      <c r="B346" s="1" t="n">
        <v>44407</v>
      </c>
      <c r="C346" s="1" t="n">
        <v>46180</v>
      </c>
      <c r="D346" t="inlineStr">
        <is>
          <t>GÄVLEBORGS LÄN</t>
        </is>
      </c>
      <c r="E346" t="inlineStr">
        <is>
          <t>BOLLNÄS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40159-2025</t>
        </is>
      </c>
      <c r="B347" s="1" t="n">
        <v>45894</v>
      </c>
      <c r="C347" s="1" t="n">
        <v>46180</v>
      </c>
      <c r="D347" t="inlineStr">
        <is>
          <t>GÄVLEBORGS LÄN</t>
        </is>
      </c>
      <c r="E347" t="inlineStr">
        <is>
          <t>BOLLNÄS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45639-2023</t>
        </is>
      </c>
      <c r="B348" s="1" t="n">
        <v>45194.68771990741</v>
      </c>
      <c r="C348" s="1" t="n">
        <v>46180</v>
      </c>
      <c r="D348" t="inlineStr">
        <is>
          <t>GÄVLEBORGS LÄN</t>
        </is>
      </c>
      <c r="E348" t="inlineStr">
        <is>
          <t>BOLLNÄS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40161-2025</t>
        </is>
      </c>
      <c r="B349" s="1" t="n">
        <v>45894</v>
      </c>
      <c r="C349" s="1" t="n">
        <v>46180</v>
      </c>
      <c r="D349" t="inlineStr">
        <is>
          <t>GÄVLEBORGS LÄN</t>
        </is>
      </c>
      <c r="E349" t="inlineStr">
        <is>
          <t>BOLLNÄS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38268-2023</t>
        </is>
      </c>
      <c r="B350" s="1" t="n">
        <v>45161.61159722223</v>
      </c>
      <c r="C350" s="1" t="n">
        <v>46180</v>
      </c>
      <c r="D350" t="inlineStr">
        <is>
          <t>GÄVLEBORGS LÄN</t>
        </is>
      </c>
      <c r="E350" t="inlineStr">
        <is>
          <t>BOLLNÄS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38936-2024</t>
        </is>
      </c>
      <c r="B351" s="1" t="n">
        <v>45548</v>
      </c>
      <c r="C351" s="1" t="n">
        <v>46180</v>
      </c>
      <c r="D351" t="inlineStr">
        <is>
          <t>GÄVLEBORGS LÄN</t>
        </is>
      </c>
      <c r="E351" t="inlineStr">
        <is>
          <t>BOLLNÄS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25596-2025</t>
        </is>
      </c>
      <c r="B352" s="1" t="n">
        <v>45803.52922453704</v>
      </c>
      <c r="C352" s="1" t="n">
        <v>46180</v>
      </c>
      <c r="D352" t="inlineStr">
        <is>
          <t>GÄVLEBORGS LÄN</t>
        </is>
      </c>
      <c r="E352" t="inlineStr">
        <is>
          <t>BOLLNÄS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40007-2025</t>
        </is>
      </c>
      <c r="B353" s="1" t="n">
        <v>45894.34238425926</v>
      </c>
      <c r="C353" s="1" t="n">
        <v>46180</v>
      </c>
      <c r="D353" t="inlineStr">
        <is>
          <t>GÄVLEBORGS LÄN</t>
        </is>
      </c>
      <c r="E353" t="inlineStr">
        <is>
          <t>BOLLNÄS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39881-2025</t>
        </is>
      </c>
      <c r="B354" s="1" t="n">
        <v>45891.61936342593</v>
      </c>
      <c r="C354" s="1" t="n">
        <v>46180</v>
      </c>
      <c r="D354" t="inlineStr">
        <is>
          <t>GÄVLEBORGS LÄN</t>
        </is>
      </c>
      <c r="E354" t="inlineStr">
        <is>
          <t>BOLLNÄS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39886-2025</t>
        </is>
      </c>
      <c r="B355" s="1" t="n">
        <v>45891</v>
      </c>
      <c r="C355" s="1" t="n">
        <v>46180</v>
      </c>
      <c r="D355" t="inlineStr">
        <is>
          <t>GÄVLEBORGS LÄN</t>
        </is>
      </c>
      <c r="E355" t="inlineStr">
        <is>
          <t>BOLLNÄS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39897-2025</t>
        </is>
      </c>
      <c r="B356" s="1" t="n">
        <v>45891</v>
      </c>
      <c r="C356" s="1" t="n">
        <v>46180</v>
      </c>
      <c r="D356" t="inlineStr">
        <is>
          <t>GÄVLEBORGS LÄN</t>
        </is>
      </c>
      <c r="E356" t="inlineStr">
        <is>
          <t>BOLLNÄS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39798-2025</t>
        </is>
      </c>
      <c r="B357" s="1" t="n">
        <v>45891</v>
      </c>
      <c r="C357" s="1" t="n">
        <v>46180</v>
      </c>
      <c r="D357" t="inlineStr">
        <is>
          <t>GÄVLEBORGS LÄN</t>
        </is>
      </c>
      <c r="E357" t="inlineStr">
        <is>
          <t>BOLLNÄS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25740-2025</t>
        </is>
      </c>
      <c r="B358" s="1" t="n">
        <v>45803.86391203704</v>
      </c>
      <c r="C358" s="1" t="n">
        <v>46180</v>
      </c>
      <c r="D358" t="inlineStr">
        <is>
          <t>GÄVLEBORGS LÄN</t>
        </is>
      </c>
      <c r="E358" t="inlineStr">
        <is>
          <t>BOLLNÄS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562-2026</t>
        </is>
      </c>
      <c r="B359" s="1" t="n">
        <v>46029</v>
      </c>
      <c r="C359" s="1" t="n">
        <v>46180</v>
      </c>
      <c r="D359" t="inlineStr">
        <is>
          <t>GÄVLEBORGS LÄN</t>
        </is>
      </c>
      <c r="E359" t="inlineStr">
        <is>
          <t>BOLLNÄS</t>
        </is>
      </c>
      <c r="G359" t="n">
        <v>24.3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2743-2026</t>
        </is>
      </c>
      <c r="B360" s="1" t="n">
        <v>46038.30608796296</v>
      </c>
      <c r="C360" s="1" t="n">
        <v>46180</v>
      </c>
      <c r="D360" t="inlineStr">
        <is>
          <t>GÄVLEBORGS LÄN</t>
        </is>
      </c>
      <c r="E360" t="inlineStr">
        <is>
          <t>BOLLNÄS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2643-2026</t>
        </is>
      </c>
      <c r="B361" s="1" t="n">
        <v>46037.62107638889</v>
      </c>
      <c r="C361" s="1" t="n">
        <v>46180</v>
      </c>
      <c r="D361" t="inlineStr">
        <is>
          <t>GÄVLEBORGS LÄN</t>
        </is>
      </c>
      <c r="E361" t="inlineStr">
        <is>
          <t>BOLLNÄS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42314-2023</t>
        </is>
      </c>
      <c r="B362" s="1" t="n">
        <v>45180</v>
      </c>
      <c r="C362" s="1" t="n">
        <v>46180</v>
      </c>
      <c r="D362" t="inlineStr">
        <is>
          <t>GÄVLEBORGS LÄN</t>
        </is>
      </c>
      <c r="E362" t="inlineStr">
        <is>
          <t>BOLLNÄS</t>
        </is>
      </c>
      <c r="G362" t="n">
        <v>11.9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40336-2024</t>
        </is>
      </c>
      <c r="B363" s="1" t="n">
        <v>45555.32482638889</v>
      </c>
      <c r="C363" s="1" t="n">
        <v>46180</v>
      </c>
      <c r="D363" t="inlineStr">
        <is>
          <t>GÄVLEBORGS LÄN</t>
        </is>
      </c>
      <c r="E363" t="inlineStr">
        <is>
          <t>BOLLNÄS</t>
        </is>
      </c>
      <c r="F363" t="inlineStr">
        <is>
          <t>Bergvik skog väst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2022-2025</t>
        </is>
      </c>
      <c r="B364" s="1" t="n">
        <v>45672.47560185185</v>
      </c>
      <c r="C364" s="1" t="n">
        <v>46180</v>
      </c>
      <c r="D364" t="inlineStr">
        <is>
          <t>GÄVLEBORGS LÄN</t>
        </is>
      </c>
      <c r="E364" t="inlineStr">
        <is>
          <t>BOLLNÄS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25987-2025</t>
        </is>
      </c>
      <c r="B365" s="1" t="n">
        <v>45804.64680555555</v>
      </c>
      <c r="C365" s="1" t="n">
        <v>46180</v>
      </c>
      <c r="D365" t="inlineStr">
        <is>
          <t>GÄVLEBORGS LÄN</t>
        </is>
      </c>
      <c r="E365" t="inlineStr">
        <is>
          <t>BOLLNÄS</t>
        </is>
      </c>
      <c r="F365" t="inlineStr">
        <is>
          <t>Bergvik skog väst AB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26289-2025</t>
        </is>
      </c>
      <c r="B366" s="1" t="n">
        <v>45805.62409722222</v>
      </c>
      <c r="C366" s="1" t="n">
        <v>46180</v>
      </c>
      <c r="D366" t="inlineStr">
        <is>
          <t>GÄVLEBORGS LÄN</t>
        </is>
      </c>
      <c r="E366" t="inlineStr">
        <is>
          <t>BOLLNÄS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40333-2025</t>
        </is>
      </c>
      <c r="B367" s="1" t="n">
        <v>45895.46172453704</v>
      </c>
      <c r="C367" s="1" t="n">
        <v>46180</v>
      </c>
      <c r="D367" t="inlineStr">
        <is>
          <t>GÄVLEBORGS LÄN</t>
        </is>
      </c>
      <c r="E367" t="inlineStr">
        <is>
          <t>BOLLNÄS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40335-2025</t>
        </is>
      </c>
      <c r="B368" s="1" t="n">
        <v>45895.4652199074</v>
      </c>
      <c r="C368" s="1" t="n">
        <v>46180</v>
      </c>
      <c r="D368" t="inlineStr">
        <is>
          <t>GÄVLEBORGS LÄN</t>
        </is>
      </c>
      <c r="E368" t="inlineStr">
        <is>
          <t>BOLLNÄS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2747-2026</t>
        </is>
      </c>
      <c r="B369" s="1" t="n">
        <v>46038.31537037037</v>
      </c>
      <c r="C369" s="1" t="n">
        <v>46180</v>
      </c>
      <c r="D369" t="inlineStr">
        <is>
          <t>GÄVLEBORGS LÄN</t>
        </is>
      </c>
      <c r="E369" t="inlineStr">
        <is>
          <t>BOLLNÄS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40927-2025</t>
        </is>
      </c>
      <c r="B370" s="1" t="n">
        <v>45897.643125</v>
      </c>
      <c r="C370" s="1" t="n">
        <v>46180</v>
      </c>
      <c r="D370" t="inlineStr">
        <is>
          <t>GÄVLEBORGS LÄN</t>
        </is>
      </c>
      <c r="E370" t="inlineStr">
        <is>
          <t>BOLLNÄS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37233-2023</t>
        </is>
      </c>
      <c r="B371" s="1" t="n">
        <v>45155</v>
      </c>
      <c r="C371" s="1" t="n">
        <v>46180</v>
      </c>
      <c r="D371" t="inlineStr">
        <is>
          <t>GÄVLEBORGS LÄN</t>
        </is>
      </c>
      <c r="E371" t="inlineStr">
        <is>
          <t>BOLLNÄS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41167-2025</t>
        </is>
      </c>
      <c r="B372" s="1" t="n">
        <v>45898.54394675926</v>
      </c>
      <c r="C372" s="1" t="n">
        <v>46180</v>
      </c>
      <c r="D372" t="inlineStr">
        <is>
          <t>GÄVLEBORGS LÄN</t>
        </is>
      </c>
      <c r="E372" t="inlineStr">
        <is>
          <t>BOLLNÄS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41081-2025</t>
        </is>
      </c>
      <c r="B373" s="1" t="n">
        <v>45898.42881944445</v>
      </c>
      <c r="C373" s="1" t="n">
        <v>46180</v>
      </c>
      <c r="D373" t="inlineStr">
        <is>
          <t>GÄVLEBORGS LÄN</t>
        </is>
      </c>
      <c r="E373" t="inlineStr">
        <is>
          <t>BOLLNÄS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2361-2026</t>
        </is>
      </c>
      <c r="B374" s="1" t="n">
        <v>46036.63957175926</v>
      </c>
      <c r="C374" s="1" t="n">
        <v>46180</v>
      </c>
      <c r="D374" t="inlineStr">
        <is>
          <t>GÄVLEBORGS LÄN</t>
        </is>
      </c>
      <c r="E374" t="inlineStr">
        <is>
          <t>BOLLNÄS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26308-2025</t>
        </is>
      </c>
      <c r="B375" s="1" t="n">
        <v>45805.64973379629</v>
      </c>
      <c r="C375" s="1" t="n">
        <v>46180</v>
      </c>
      <c r="D375" t="inlineStr">
        <is>
          <t>GÄVLEBORGS LÄN</t>
        </is>
      </c>
      <c r="E375" t="inlineStr">
        <is>
          <t>BOLLNÄS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2925-2026</t>
        </is>
      </c>
      <c r="B376" s="1" t="n">
        <v>46038</v>
      </c>
      <c r="C376" s="1" t="n">
        <v>46180</v>
      </c>
      <c r="D376" t="inlineStr">
        <is>
          <t>GÄVLEBORGS LÄN</t>
        </is>
      </c>
      <c r="E376" t="inlineStr">
        <is>
          <t>BOLLNÄS</t>
        </is>
      </c>
      <c r="F376" t="inlineStr">
        <is>
          <t>Bergvik skog väst AB</t>
        </is>
      </c>
      <c r="G376" t="n">
        <v>17.1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26323-2025</t>
        </is>
      </c>
      <c r="B377" s="1" t="n">
        <v>45805.66572916666</v>
      </c>
      <c r="C377" s="1" t="n">
        <v>46180</v>
      </c>
      <c r="D377" t="inlineStr">
        <is>
          <t>GÄVLEBORGS LÄN</t>
        </is>
      </c>
      <c r="E377" t="inlineStr">
        <is>
          <t>BOLLNÄS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2737-2026</t>
        </is>
      </c>
      <c r="B378" s="1" t="n">
        <v>46038.27096064815</v>
      </c>
      <c r="C378" s="1" t="n">
        <v>46180</v>
      </c>
      <c r="D378" t="inlineStr">
        <is>
          <t>GÄVLEBORGS LÄN</t>
        </is>
      </c>
      <c r="E378" t="inlineStr">
        <is>
          <t>BOLLNÄS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2741-2026</t>
        </is>
      </c>
      <c r="B379" s="1" t="n">
        <v>46038.30365740741</v>
      </c>
      <c r="C379" s="1" t="n">
        <v>46180</v>
      </c>
      <c r="D379" t="inlineStr">
        <is>
          <t>GÄVLEBORGS LÄN</t>
        </is>
      </c>
      <c r="E379" t="inlineStr">
        <is>
          <t>BOLLNÄS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2754-2026</t>
        </is>
      </c>
      <c r="B380" s="1" t="n">
        <v>46038</v>
      </c>
      <c r="C380" s="1" t="n">
        <v>46180</v>
      </c>
      <c r="D380" t="inlineStr">
        <is>
          <t>GÄVLEBORGS LÄN</t>
        </is>
      </c>
      <c r="E380" t="inlineStr">
        <is>
          <t>BOLLNÄS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40780-2025</t>
        </is>
      </c>
      <c r="B381" s="1" t="n">
        <v>45897.43541666667</v>
      </c>
      <c r="C381" s="1" t="n">
        <v>46180</v>
      </c>
      <c r="D381" t="inlineStr">
        <is>
          <t>GÄVLEBORGS LÄN</t>
        </is>
      </c>
      <c r="E381" t="inlineStr">
        <is>
          <t>BOLLNÄS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26303-2025</t>
        </is>
      </c>
      <c r="B382" s="1" t="n">
        <v>45805.64239583333</v>
      </c>
      <c r="C382" s="1" t="n">
        <v>46180</v>
      </c>
      <c r="D382" t="inlineStr">
        <is>
          <t>GÄVLEBORGS LÄN</t>
        </is>
      </c>
      <c r="E382" t="inlineStr">
        <is>
          <t>BOLLNÄS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41072-2025</t>
        </is>
      </c>
      <c r="B383" s="1" t="n">
        <v>45898.42072916667</v>
      </c>
      <c r="C383" s="1" t="n">
        <v>46180</v>
      </c>
      <c r="D383" t="inlineStr">
        <is>
          <t>GÄVLEBORGS LÄN</t>
        </is>
      </c>
      <c r="E383" t="inlineStr">
        <is>
          <t>BOLLNÄS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3040-2026</t>
        </is>
      </c>
      <c r="B384" s="1" t="n">
        <v>46038.73027777778</v>
      </c>
      <c r="C384" s="1" t="n">
        <v>46180</v>
      </c>
      <c r="D384" t="inlineStr">
        <is>
          <t>GÄVLEBORGS LÄN</t>
        </is>
      </c>
      <c r="E384" t="inlineStr">
        <is>
          <t>BOLLNÄS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3041-2026</t>
        </is>
      </c>
      <c r="B385" s="1" t="n">
        <v>46038.73270833334</v>
      </c>
      <c r="C385" s="1" t="n">
        <v>46180</v>
      </c>
      <c r="D385" t="inlineStr">
        <is>
          <t>GÄVLEBORGS LÄN</t>
        </is>
      </c>
      <c r="E385" t="inlineStr">
        <is>
          <t>BOLLNÄS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2587-2026</t>
        </is>
      </c>
      <c r="B386" s="1" t="n">
        <v>46037.5436574074</v>
      </c>
      <c r="C386" s="1" t="n">
        <v>46180</v>
      </c>
      <c r="D386" t="inlineStr">
        <is>
          <t>GÄVLEBORGS LÄN</t>
        </is>
      </c>
      <c r="E386" t="inlineStr">
        <is>
          <t>BOLLNÄS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40777-2025</t>
        </is>
      </c>
      <c r="B387" s="1" t="n">
        <v>45897.43212962963</v>
      </c>
      <c r="C387" s="1" t="n">
        <v>46180</v>
      </c>
      <c r="D387" t="inlineStr">
        <is>
          <t>GÄVLEBORGS LÄN</t>
        </is>
      </c>
      <c r="E387" t="inlineStr">
        <is>
          <t>BOLLNÄS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41057-2025</t>
        </is>
      </c>
      <c r="B388" s="1" t="n">
        <v>45898</v>
      </c>
      <c r="C388" s="1" t="n">
        <v>46180</v>
      </c>
      <c r="D388" t="inlineStr">
        <is>
          <t>GÄVLEBORGS LÄN</t>
        </is>
      </c>
      <c r="E388" t="inlineStr">
        <is>
          <t>BOLLNÄS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41088-2025</t>
        </is>
      </c>
      <c r="B389" s="1" t="n">
        <v>45898.43726851852</v>
      </c>
      <c r="C389" s="1" t="n">
        <v>46180</v>
      </c>
      <c r="D389" t="inlineStr">
        <is>
          <t>GÄVLEBORGS LÄN</t>
        </is>
      </c>
      <c r="E389" t="inlineStr">
        <is>
          <t>BOLLNÄS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34250-2024</t>
        </is>
      </c>
      <c r="B390" s="1" t="n">
        <v>45524.58820601852</v>
      </c>
      <c r="C390" s="1" t="n">
        <v>46180</v>
      </c>
      <c r="D390" t="inlineStr">
        <is>
          <t>GÄVLEBORGS LÄN</t>
        </is>
      </c>
      <c r="E390" t="inlineStr">
        <is>
          <t>BOLLNÄS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57510-2023</t>
        </is>
      </c>
      <c r="B391" s="1" t="n">
        <v>45246</v>
      </c>
      <c r="C391" s="1" t="n">
        <v>46180</v>
      </c>
      <c r="D391" t="inlineStr">
        <is>
          <t>GÄVLEBORGS LÄN</t>
        </is>
      </c>
      <c r="E391" t="inlineStr">
        <is>
          <t>BOLLNÄS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41408-2025</t>
        </is>
      </c>
      <c r="B392" s="1" t="n">
        <v>45901.34625</v>
      </c>
      <c r="C392" s="1" t="n">
        <v>46180</v>
      </c>
      <c r="D392" t="inlineStr">
        <is>
          <t>GÄVLEBORGS LÄN</t>
        </is>
      </c>
      <c r="E392" t="inlineStr">
        <is>
          <t>BOLLNÄS</t>
        </is>
      </c>
      <c r="F392" t="inlineStr">
        <is>
          <t>Kyrkan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41432-2025</t>
        </is>
      </c>
      <c r="B393" s="1" t="n">
        <v>45899</v>
      </c>
      <c r="C393" s="1" t="n">
        <v>46180</v>
      </c>
      <c r="D393" t="inlineStr">
        <is>
          <t>GÄVLEBORGS LÄN</t>
        </is>
      </c>
      <c r="E393" t="inlineStr">
        <is>
          <t>BOLLNÄS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5296-2022</t>
        </is>
      </c>
      <c r="B394" s="1" t="n">
        <v>44594</v>
      </c>
      <c r="C394" s="1" t="n">
        <v>46180</v>
      </c>
      <c r="D394" t="inlineStr">
        <is>
          <t>GÄVLEBORGS LÄN</t>
        </is>
      </c>
      <c r="E394" t="inlineStr">
        <is>
          <t>BOLLNÄS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41504-2025</t>
        </is>
      </c>
      <c r="B395" s="1" t="n">
        <v>45901.52376157408</v>
      </c>
      <c r="C395" s="1" t="n">
        <v>46180</v>
      </c>
      <c r="D395" t="inlineStr">
        <is>
          <t>GÄVLEBORGS LÄN</t>
        </is>
      </c>
      <c r="E395" t="inlineStr">
        <is>
          <t>BOLLNÄS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3023-2026</t>
        </is>
      </c>
      <c r="B396" s="1" t="n">
        <v>46038.67336805556</v>
      </c>
      <c r="C396" s="1" t="n">
        <v>46180</v>
      </c>
      <c r="D396" t="inlineStr">
        <is>
          <t>GÄVLEBORGS LÄN</t>
        </is>
      </c>
      <c r="E396" t="inlineStr">
        <is>
          <t>BOLLNÄS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26799-2025</t>
        </is>
      </c>
      <c r="B397" s="1" t="n">
        <v>45810.60430555556</v>
      </c>
      <c r="C397" s="1" t="n">
        <v>46180</v>
      </c>
      <c r="D397" t="inlineStr">
        <is>
          <t>GÄVLEBORGS LÄN</t>
        </is>
      </c>
      <c r="E397" t="inlineStr">
        <is>
          <t>BOLLNÄS</t>
        </is>
      </c>
      <c r="G397" t="n">
        <v>10.3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26723-2025</t>
        </is>
      </c>
      <c r="B398" s="1" t="n">
        <v>45810.49068287037</v>
      </c>
      <c r="C398" s="1" t="n">
        <v>46180</v>
      </c>
      <c r="D398" t="inlineStr">
        <is>
          <t>GÄVLEBORGS LÄN</t>
        </is>
      </c>
      <c r="E398" t="inlineStr">
        <is>
          <t>BOLLNÄS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3036-2026</t>
        </is>
      </c>
      <c r="B399" s="1" t="n">
        <v>46038.72555555555</v>
      </c>
      <c r="C399" s="1" t="n">
        <v>46180</v>
      </c>
      <c r="D399" t="inlineStr">
        <is>
          <t>GÄVLEBORGS LÄN</t>
        </is>
      </c>
      <c r="E399" t="inlineStr">
        <is>
          <t>BOLLNÄS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2739-2026</t>
        </is>
      </c>
      <c r="B400" s="1" t="n">
        <v>46038.27465277778</v>
      </c>
      <c r="C400" s="1" t="n">
        <v>46180</v>
      </c>
      <c r="D400" t="inlineStr">
        <is>
          <t>GÄVLEBORGS LÄN</t>
        </is>
      </c>
      <c r="E400" t="inlineStr">
        <is>
          <t>BOLLNÄS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41655-2025</t>
        </is>
      </c>
      <c r="B401" s="1" t="n">
        <v>45902.34259259259</v>
      </c>
      <c r="C401" s="1" t="n">
        <v>46180</v>
      </c>
      <c r="D401" t="inlineStr">
        <is>
          <t>GÄVLEBORGS LÄN</t>
        </is>
      </c>
      <c r="E401" t="inlineStr">
        <is>
          <t>BOLLNÄS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2748-2026</t>
        </is>
      </c>
      <c r="B402" s="1" t="n">
        <v>46038.31841435185</v>
      </c>
      <c r="C402" s="1" t="n">
        <v>46180</v>
      </c>
      <c r="D402" t="inlineStr">
        <is>
          <t>GÄVLEBORGS LÄN</t>
        </is>
      </c>
      <c r="E402" t="inlineStr">
        <is>
          <t>BOLLNÄS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2513-2026</t>
        </is>
      </c>
      <c r="B403" s="1" t="n">
        <v>46037.41994212963</v>
      </c>
      <c r="C403" s="1" t="n">
        <v>46180</v>
      </c>
      <c r="D403" t="inlineStr">
        <is>
          <t>GÄVLEBORGS LÄN</t>
        </is>
      </c>
      <c r="E403" t="inlineStr">
        <is>
          <t>BOLLNÄS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3017-2026</t>
        </is>
      </c>
      <c r="B404" s="1" t="n">
        <v>46038.66922453704</v>
      </c>
      <c r="C404" s="1" t="n">
        <v>46180</v>
      </c>
      <c r="D404" t="inlineStr">
        <is>
          <t>GÄVLEBORGS LÄN</t>
        </is>
      </c>
      <c r="E404" t="inlineStr">
        <is>
          <t>BOLLNÄS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3039-2026</t>
        </is>
      </c>
      <c r="B405" s="1" t="n">
        <v>46038.72822916666</v>
      </c>
      <c r="C405" s="1" t="n">
        <v>46180</v>
      </c>
      <c r="D405" t="inlineStr">
        <is>
          <t>GÄVLEBORGS LÄN</t>
        </is>
      </c>
      <c r="E405" t="inlineStr">
        <is>
          <t>BOLLNÄS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5366-2025</t>
        </is>
      </c>
      <c r="B406" s="1" t="n">
        <v>45692.58184027778</v>
      </c>
      <c r="C406" s="1" t="n">
        <v>46180</v>
      </c>
      <c r="D406" t="inlineStr">
        <is>
          <t>GÄVLEBORGS LÄN</t>
        </is>
      </c>
      <c r="E406" t="inlineStr">
        <is>
          <t>BOLLNÄS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5368-2025</t>
        </is>
      </c>
      <c r="B407" s="1" t="n">
        <v>45692.58333333334</v>
      </c>
      <c r="C407" s="1" t="n">
        <v>46180</v>
      </c>
      <c r="D407" t="inlineStr">
        <is>
          <t>GÄVLEBORGS LÄN</t>
        </is>
      </c>
      <c r="E407" t="inlineStr">
        <is>
          <t>BOLLNÄS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2813-2026</t>
        </is>
      </c>
      <c r="B408" s="1" t="n">
        <v>46038.42204861111</v>
      </c>
      <c r="C408" s="1" t="n">
        <v>46180</v>
      </c>
      <c r="D408" t="inlineStr">
        <is>
          <t>GÄVLEBORGS LÄN</t>
        </is>
      </c>
      <c r="E408" t="inlineStr">
        <is>
          <t>BOLLNÄS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2815-2026</t>
        </is>
      </c>
      <c r="B409" s="1" t="n">
        <v>46038.42555555556</v>
      </c>
      <c r="C409" s="1" t="n">
        <v>46180</v>
      </c>
      <c r="D409" t="inlineStr">
        <is>
          <t>GÄVLEBORGS LÄN</t>
        </is>
      </c>
      <c r="E409" t="inlineStr">
        <is>
          <t>BOLLNÄS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2910-2026</t>
        </is>
      </c>
      <c r="B410" s="1" t="n">
        <v>46038.56599537037</v>
      </c>
      <c r="C410" s="1" t="n">
        <v>46180</v>
      </c>
      <c r="D410" t="inlineStr">
        <is>
          <t>GÄVLEBORGS LÄN</t>
        </is>
      </c>
      <c r="E410" t="inlineStr">
        <is>
          <t>BOLLNÄS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2985-2026</t>
        </is>
      </c>
      <c r="B411" s="1" t="n">
        <v>46038</v>
      </c>
      <c r="C411" s="1" t="n">
        <v>46180</v>
      </c>
      <c r="D411" t="inlineStr">
        <is>
          <t>GÄVLEBORGS LÄN</t>
        </is>
      </c>
      <c r="E411" t="inlineStr">
        <is>
          <t>BOLLNÄS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2973-2026</t>
        </is>
      </c>
      <c r="B412" s="1" t="n">
        <v>46038.62108796297</v>
      </c>
      <c r="C412" s="1" t="n">
        <v>46180</v>
      </c>
      <c r="D412" t="inlineStr">
        <is>
          <t>GÄVLEBORGS LÄN</t>
        </is>
      </c>
      <c r="E412" t="inlineStr">
        <is>
          <t>BOLLNÄS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9474-2022</t>
        </is>
      </c>
      <c r="B413" s="1" t="n">
        <v>44616.92188657408</v>
      </c>
      <c r="C413" s="1" t="n">
        <v>46180</v>
      </c>
      <c r="D413" t="inlineStr">
        <is>
          <t>GÄVLEBORGS LÄN</t>
        </is>
      </c>
      <c r="E413" t="inlineStr">
        <is>
          <t>BOLLNÄS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538-2026</t>
        </is>
      </c>
      <c r="B414" s="1" t="n">
        <v>46029</v>
      </c>
      <c r="C414" s="1" t="n">
        <v>46180</v>
      </c>
      <c r="D414" t="inlineStr">
        <is>
          <t>GÄVLEBORGS LÄN</t>
        </is>
      </c>
      <c r="E414" t="inlineStr">
        <is>
          <t>BOLLNÄS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549-2026</t>
        </is>
      </c>
      <c r="B415" s="1" t="n">
        <v>46029</v>
      </c>
      <c r="C415" s="1" t="n">
        <v>46180</v>
      </c>
      <c r="D415" t="inlineStr">
        <is>
          <t>GÄVLEBORGS LÄN</t>
        </is>
      </c>
      <c r="E415" t="inlineStr">
        <is>
          <t>BOLLNÄS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559-2026</t>
        </is>
      </c>
      <c r="B416" s="1" t="n">
        <v>46029</v>
      </c>
      <c r="C416" s="1" t="n">
        <v>46180</v>
      </c>
      <c r="D416" t="inlineStr">
        <is>
          <t>GÄVLEBORGS LÄN</t>
        </is>
      </c>
      <c r="E416" t="inlineStr">
        <is>
          <t>BOLLNÄS</t>
        </is>
      </c>
      <c r="G416" t="n">
        <v>17.7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42341-2025</t>
        </is>
      </c>
      <c r="B417" s="1" t="n">
        <v>45904</v>
      </c>
      <c r="C417" s="1" t="n">
        <v>46180</v>
      </c>
      <c r="D417" t="inlineStr">
        <is>
          <t>GÄVLEBORGS LÄN</t>
        </is>
      </c>
      <c r="E417" t="inlineStr">
        <is>
          <t>BOLLNÄS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27361-2025</t>
        </is>
      </c>
      <c r="B418" s="1" t="n">
        <v>45812.64255787037</v>
      </c>
      <c r="C418" s="1" t="n">
        <v>46180</v>
      </c>
      <c r="D418" t="inlineStr">
        <is>
          <t>GÄVLEBORGS LÄN</t>
        </is>
      </c>
      <c r="E418" t="inlineStr">
        <is>
          <t>BOLLNÄS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43996-2024</t>
        </is>
      </c>
      <c r="B419" s="1" t="n">
        <v>45572.53714120371</v>
      </c>
      <c r="C419" s="1" t="n">
        <v>46180</v>
      </c>
      <c r="D419" t="inlineStr">
        <is>
          <t>GÄVLEBORGS LÄN</t>
        </is>
      </c>
      <c r="E419" t="inlineStr">
        <is>
          <t>BOLLNÄS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10118-2024</t>
        </is>
      </c>
      <c r="B420" s="1" t="n">
        <v>45364.56001157407</v>
      </c>
      <c r="C420" s="1" t="n">
        <v>46180</v>
      </c>
      <c r="D420" t="inlineStr">
        <is>
          <t>GÄVLEBORGS LÄN</t>
        </is>
      </c>
      <c r="E420" t="inlineStr">
        <is>
          <t>BOLLNÄS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10119-2024</t>
        </is>
      </c>
      <c r="B421" s="1" t="n">
        <v>45364.56122685185</v>
      </c>
      <c r="C421" s="1" t="n">
        <v>46180</v>
      </c>
      <c r="D421" t="inlineStr">
        <is>
          <t>GÄVLEBORGS LÄN</t>
        </is>
      </c>
      <c r="E421" t="inlineStr">
        <is>
          <t>BOLLNÄS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42340-2025</t>
        </is>
      </c>
      <c r="B422" s="1" t="n">
        <v>45904</v>
      </c>
      <c r="C422" s="1" t="n">
        <v>46180</v>
      </c>
      <c r="D422" t="inlineStr">
        <is>
          <t>GÄVLEBORGS LÄN</t>
        </is>
      </c>
      <c r="E422" t="inlineStr">
        <is>
          <t>BOLLNÄS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2807-2026</t>
        </is>
      </c>
      <c r="B423" s="1" t="n">
        <v>46038.41640046296</v>
      </c>
      <c r="C423" s="1" t="n">
        <v>46180</v>
      </c>
      <c r="D423" t="inlineStr">
        <is>
          <t>GÄVLEBORGS LÄN</t>
        </is>
      </c>
      <c r="E423" t="inlineStr">
        <is>
          <t>BOLLNÄS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3354-2026</t>
        </is>
      </c>
      <c r="B424" s="1" t="n">
        <v>46042.2458449074</v>
      </c>
      <c r="C424" s="1" t="n">
        <v>46180</v>
      </c>
      <c r="D424" t="inlineStr">
        <is>
          <t>GÄVLEBORGS LÄN</t>
        </is>
      </c>
      <c r="E424" t="inlineStr">
        <is>
          <t>BOLLNÄS</t>
        </is>
      </c>
      <c r="G424" t="n">
        <v>8.9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27345-2025</t>
        </is>
      </c>
      <c r="B425" s="1" t="n">
        <v>45812.62276620371</v>
      </c>
      <c r="C425" s="1" t="n">
        <v>46180</v>
      </c>
      <c r="D425" t="inlineStr">
        <is>
          <t>GÄVLEBORGS LÄN</t>
        </is>
      </c>
      <c r="E425" t="inlineStr">
        <is>
          <t>BOLLNÄS</t>
        </is>
      </c>
      <c r="G425" t="n">
        <v>9.199999999999999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3121-2026</t>
        </is>
      </c>
      <c r="B426" s="1" t="n">
        <v>46041</v>
      </c>
      <c r="C426" s="1" t="n">
        <v>46180</v>
      </c>
      <c r="D426" t="inlineStr">
        <is>
          <t>GÄVLEBORGS LÄN</t>
        </is>
      </c>
      <c r="E426" t="inlineStr">
        <is>
          <t>BOLLNÄS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58877-2024</t>
        </is>
      </c>
      <c r="B427" s="1" t="n">
        <v>45636.44435185185</v>
      </c>
      <c r="C427" s="1" t="n">
        <v>46180</v>
      </c>
      <c r="D427" t="inlineStr">
        <is>
          <t>GÄVLEBORGS LÄN</t>
        </is>
      </c>
      <c r="E427" t="inlineStr">
        <is>
          <t>BOLLNÄS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18311-2025</t>
        </is>
      </c>
      <c r="B428" s="1" t="n">
        <v>45762</v>
      </c>
      <c r="C428" s="1" t="n">
        <v>46180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3070-2026</t>
        </is>
      </c>
      <c r="B429" s="1" t="n">
        <v>46040.74378472222</v>
      </c>
      <c r="C429" s="1" t="n">
        <v>46180</v>
      </c>
      <c r="D429" t="inlineStr">
        <is>
          <t>GÄVLEBORGS LÄN</t>
        </is>
      </c>
      <c r="E429" t="inlineStr">
        <is>
          <t>BOLLNÄS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3451-2026</t>
        </is>
      </c>
      <c r="B430" s="1" t="n">
        <v>46042</v>
      </c>
      <c r="C430" s="1" t="n">
        <v>46180</v>
      </c>
      <c r="D430" t="inlineStr">
        <is>
          <t>GÄVLEBORGS LÄN</t>
        </is>
      </c>
      <c r="E430" t="inlineStr">
        <is>
          <t>BOLLNÄS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40160-2025</t>
        </is>
      </c>
      <c r="B431" s="1" t="n">
        <v>45894</v>
      </c>
      <c r="C431" s="1" t="n">
        <v>46180</v>
      </c>
      <c r="D431" t="inlineStr">
        <is>
          <t>GÄVLEBORGS LÄN</t>
        </is>
      </c>
      <c r="E431" t="inlineStr">
        <is>
          <t>BOLLNÄS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3468-2026</t>
        </is>
      </c>
      <c r="B432" s="1" t="n">
        <v>46042</v>
      </c>
      <c r="C432" s="1" t="n">
        <v>46180</v>
      </c>
      <c r="D432" t="inlineStr">
        <is>
          <t>GÄVLEBORGS LÄN</t>
        </is>
      </c>
      <c r="E432" t="inlineStr">
        <is>
          <t>BOLLNÄS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3489-2026</t>
        </is>
      </c>
      <c r="B433" s="1" t="n">
        <v>46042</v>
      </c>
      <c r="C433" s="1" t="n">
        <v>46180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29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3353-2026</t>
        </is>
      </c>
      <c r="B434" s="1" t="n">
        <v>46042.24451388889</v>
      </c>
      <c r="C434" s="1" t="n">
        <v>46180</v>
      </c>
      <c r="D434" t="inlineStr">
        <is>
          <t>GÄVLEBORGS LÄN</t>
        </is>
      </c>
      <c r="E434" t="inlineStr">
        <is>
          <t>BOLLNÄS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37345-2024</t>
        </is>
      </c>
      <c r="B435" s="1" t="n">
        <v>45540.53148148148</v>
      </c>
      <c r="C435" s="1" t="n">
        <v>46180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3477-2026</t>
        </is>
      </c>
      <c r="B436" s="1" t="n">
        <v>46042</v>
      </c>
      <c r="C436" s="1" t="n">
        <v>46180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14.9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27143-2025</t>
        </is>
      </c>
      <c r="B437" s="1" t="n">
        <v>45812.28103009259</v>
      </c>
      <c r="C437" s="1" t="n">
        <v>46180</v>
      </c>
      <c r="D437" t="inlineStr">
        <is>
          <t>GÄVLEBORGS LÄN</t>
        </is>
      </c>
      <c r="E437" t="inlineStr">
        <is>
          <t>BOLLNÄS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21682-2024</t>
        </is>
      </c>
      <c r="B438" s="1" t="n">
        <v>45442.43586805555</v>
      </c>
      <c r="C438" s="1" t="n">
        <v>46180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3502-2026</t>
        </is>
      </c>
      <c r="B439" s="1" t="n">
        <v>46042</v>
      </c>
      <c r="C439" s="1" t="n">
        <v>46180</v>
      </c>
      <c r="D439" t="inlineStr">
        <is>
          <t>GÄVLEBORGS LÄN</t>
        </is>
      </c>
      <c r="E439" t="inlineStr">
        <is>
          <t>BOLLNÄS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42516-2025</t>
        </is>
      </c>
      <c r="B440" s="1" t="n">
        <v>45905.54534722222</v>
      </c>
      <c r="C440" s="1" t="n">
        <v>46180</v>
      </c>
      <c r="D440" t="inlineStr">
        <is>
          <t>GÄVLEBORGS LÄN</t>
        </is>
      </c>
      <c r="E440" t="inlineStr">
        <is>
          <t>BOLLNÄS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11602-2025</t>
        </is>
      </c>
      <c r="B441" s="1" t="n">
        <v>45727.43175925926</v>
      </c>
      <c r="C441" s="1" t="n">
        <v>46180</v>
      </c>
      <c r="D441" t="inlineStr">
        <is>
          <t>GÄVLEBORGS LÄN</t>
        </is>
      </c>
      <c r="E441" t="inlineStr">
        <is>
          <t>BOLLNÄS</t>
        </is>
      </c>
      <c r="F441" t="inlineStr">
        <is>
          <t>Kyrkan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3487-2026</t>
        </is>
      </c>
      <c r="B442" s="1" t="n">
        <v>46042</v>
      </c>
      <c r="C442" s="1" t="n">
        <v>46180</v>
      </c>
      <c r="D442" t="inlineStr">
        <is>
          <t>GÄVLEBORGS LÄN</t>
        </is>
      </c>
      <c r="E442" t="inlineStr">
        <is>
          <t>BOLLNÄS</t>
        </is>
      </c>
      <c r="G442" t="n">
        <v>18.3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3545-2026</t>
        </is>
      </c>
      <c r="B443" s="1" t="n">
        <v>46042</v>
      </c>
      <c r="C443" s="1" t="n">
        <v>46180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3355-2026</t>
        </is>
      </c>
      <c r="B444" s="1" t="n">
        <v>46042.24715277777</v>
      </c>
      <c r="C444" s="1" t="n">
        <v>46180</v>
      </c>
      <c r="D444" t="inlineStr">
        <is>
          <t>GÄVLEBORGS LÄN</t>
        </is>
      </c>
      <c r="E444" t="inlineStr">
        <is>
          <t>BOLLNÄS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3072-2026</t>
        </is>
      </c>
      <c r="B445" s="1" t="n">
        <v>46040.74630787037</v>
      </c>
      <c r="C445" s="1" t="n">
        <v>46180</v>
      </c>
      <c r="D445" t="inlineStr">
        <is>
          <t>GÄVLEBORGS LÄN</t>
        </is>
      </c>
      <c r="E445" t="inlineStr">
        <is>
          <t>BOLLNÄS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3076-2026</t>
        </is>
      </c>
      <c r="B446" s="1" t="n">
        <v>46040.75815972222</v>
      </c>
      <c r="C446" s="1" t="n">
        <v>46180</v>
      </c>
      <c r="D446" t="inlineStr">
        <is>
          <t>GÄVLEBORGS LÄN</t>
        </is>
      </c>
      <c r="E446" t="inlineStr">
        <is>
          <t>BOLLNÄS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3099-2026</t>
        </is>
      </c>
      <c r="B447" s="1" t="n">
        <v>46041</v>
      </c>
      <c r="C447" s="1" t="n">
        <v>46180</v>
      </c>
      <c r="D447" t="inlineStr">
        <is>
          <t>GÄVLEBORGS LÄN</t>
        </is>
      </c>
      <c r="E447" t="inlineStr">
        <is>
          <t>BOLLNÄS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3105-2026</t>
        </is>
      </c>
      <c r="B448" s="1" t="n">
        <v>46041</v>
      </c>
      <c r="C448" s="1" t="n">
        <v>46180</v>
      </c>
      <c r="D448" t="inlineStr">
        <is>
          <t>GÄVLEBORGS LÄN</t>
        </is>
      </c>
      <c r="E448" t="inlineStr">
        <is>
          <t>BOLLNÄS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3101-2026</t>
        </is>
      </c>
      <c r="B449" s="1" t="n">
        <v>46041.29091435186</v>
      </c>
      <c r="C449" s="1" t="n">
        <v>46180</v>
      </c>
      <c r="D449" t="inlineStr">
        <is>
          <t>GÄVLEBORGS LÄN</t>
        </is>
      </c>
      <c r="E449" t="inlineStr">
        <is>
          <t>BOLLNÄS</t>
        </is>
      </c>
      <c r="G449" t="n">
        <v>9.199999999999999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3281-2026</t>
        </is>
      </c>
      <c r="B450" s="1" t="n">
        <v>46041.62289351852</v>
      </c>
      <c r="C450" s="1" t="n">
        <v>46180</v>
      </c>
      <c r="D450" t="inlineStr">
        <is>
          <t>GÄVLEBORGS LÄN</t>
        </is>
      </c>
      <c r="E450" t="inlineStr">
        <is>
          <t>BOLLNÄS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3319-2026</t>
        </is>
      </c>
      <c r="B451" s="1" t="n">
        <v>46041.6997337963</v>
      </c>
      <c r="C451" s="1" t="n">
        <v>46180</v>
      </c>
      <c r="D451" t="inlineStr">
        <is>
          <t>GÄVLEBORGS LÄN</t>
        </is>
      </c>
      <c r="E451" t="inlineStr">
        <is>
          <t>BOLLNÄS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3356-2026</t>
        </is>
      </c>
      <c r="B452" s="1" t="n">
        <v>46042.24870370371</v>
      </c>
      <c r="C452" s="1" t="n">
        <v>46180</v>
      </c>
      <c r="D452" t="inlineStr">
        <is>
          <t>GÄVLEBORGS LÄN</t>
        </is>
      </c>
      <c r="E452" t="inlineStr">
        <is>
          <t>BOLLNÄS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3140-2026</t>
        </is>
      </c>
      <c r="B453" s="1" t="n">
        <v>46041</v>
      </c>
      <c r="C453" s="1" t="n">
        <v>46180</v>
      </c>
      <c r="D453" t="inlineStr">
        <is>
          <t>GÄVLEBORGS LÄN</t>
        </is>
      </c>
      <c r="E453" t="inlineStr">
        <is>
          <t>BOLLNÄS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3608-2026</t>
        </is>
      </c>
      <c r="B454" s="1" t="n">
        <v>46042</v>
      </c>
      <c r="C454" s="1" t="n">
        <v>46180</v>
      </c>
      <c r="D454" t="inlineStr">
        <is>
          <t>GÄVLEBORGS LÄN</t>
        </is>
      </c>
      <c r="E454" t="inlineStr">
        <is>
          <t>BOLLNÄS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3080-2026</t>
        </is>
      </c>
      <c r="B455" s="1" t="n">
        <v>46040</v>
      </c>
      <c r="C455" s="1" t="n">
        <v>46180</v>
      </c>
      <c r="D455" t="inlineStr">
        <is>
          <t>GÄVLEBORGS LÄN</t>
        </is>
      </c>
      <c r="E455" t="inlineStr">
        <is>
          <t>BOLLNÄS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3089-2026</t>
        </is>
      </c>
      <c r="B456" s="1" t="n">
        <v>46040.83525462963</v>
      </c>
      <c r="C456" s="1" t="n">
        <v>46180</v>
      </c>
      <c r="D456" t="inlineStr">
        <is>
          <t>GÄVLEBORGS LÄN</t>
        </is>
      </c>
      <c r="E456" t="inlineStr">
        <is>
          <t>BOLLNÄS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3069-2026</t>
        </is>
      </c>
      <c r="B457" s="1" t="n">
        <v>46040.71421296296</v>
      </c>
      <c r="C457" s="1" t="n">
        <v>46180</v>
      </c>
      <c r="D457" t="inlineStr">
        <is>
          <t>GÄVLEBORGS LÄN</t>
        </is>
      </c>
      <c r="E457" t="inlineStr">
        <is>
          <t>BOLLNÄS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3326-2026</t>
        </is>
      </c>
      <c r="B458" s="1" t="n">
        <v>46041.71984953704</v>
      </c>
      <c r="C458" s="1" t="n">
        <v>46180</v>
      </c>
      <c r="D458" t="inlineStr">
        <is>
          <t>GÄVLEBORGS LÄN</t>
        </is>
      </c>
      <c r="E458" t="inlineStr">
        <is>
          <t>BOLLNÄS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2350-2026</t>
        </is>
      </c>
      <c r="B459" s="1" t="n">
        <v>46036.63386574074</v>
      </c>
      <c r="C459" s="1" t="n">
        <v>46180</v>
      </c>
      <c r="D459" t="inlineStr">
        <is>
          <t>GÄVLEBORGS LÄN</t>
        </is>
      </c>
      <c r="E459" t="inlineStr">
        <is>
          <t>BOLLNÄS</t>
        </is>
      </c>
      <c r="G459" t="n">
        <v>27.6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3058-2026</t>
        </is>
      </c>
      <c r="B460" s="1" t="n">
        <v>46039.68800925926</v>
      </c>
      <c r="C460" s="1" t="n">
        <v>46180</v>
      </c>
      <c r="D460" t="inlineStr">
        <is>
          <t>GÄVLEBORGS LÄN</t>
        </is>
      </c>
      <c r="E460" t="inlineStr">
        <is>
          <t>BOLLNÄS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3087-2026</t>
        </is>
      </c>
      <c r="B461" s="1" t="n">
        <v>46040.82724537037</v>
      </c>
      <c r="C461" s="1" t="n">
        <v>46180</v>
      </c>
      <c r="D461" t="inlineStr">
        <is>
          <t>GÄVLEBORGS LÄN</t>
        </is>
      </c>
      <c r="E461" t="inlineStr">
        <is>
          <t>BOLLNÄS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3091-2026</t>
        </is>
      </c>
      <c r="B462" s="1" t="n">
        <v>46040.84174768518</v>
      </c>
      <c r="C462" s="1" t="n">
        <v>46180</v>
      </c>
      <c r="D462" t="inlineStr">
        <is>
          <t>GÄVLEBORGS LÄN</t>
        </is>
      </c>
      <c r="E462" t="inlineStr">
        <is>
          <t>BOLLNÄS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3204-2026</t>
        </is>
      </c>
      <c r="B463" s="1" t="n">
        <v>46041</v>
      </c>
      <c r="C463" s="1" t="n">
        <v>46180</v>
      </c>
      <c r="D463" t="inlineStr">
        <is>
          <t>GÄVLEBORGS LÄN</t>
        </is>
      </c>
      <c r="E463" t="inlineStr">
        <is>
          <t>BOLLNÄS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3077-2026</t>
        </is>
      </c>
      <c r="B464" s="1" t="n">
        <v>46040.76259259259</v>
      </c>
      <c r="C464" s="1" t="n">
        <v>46180</v>
      </c>
      <c r="D464" t="inlineStr">
        <is>
          <t>GÄVLEBORGS LÄN</t>
        </is>
      </c>
      <c r="E464" t="inlineStr">
        <is>
          <t>BOLLNÄS</t>
        </is>
      </c>
      <c r="G464" t="n">
        <v>31.3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3088-2026</t>
        </is>
      </c>
      <c r="B465" s="1" t="n">
        <v>46040.83342592593</v>
      </c>
      <c r="C465" s="1" t="n">
        <v>46180</v>
      </c>
      <c r="D465" t="inlineStr">
        <is>
          <t>GÄVLEBORGS LÄN</t>
        </is>
      </c>
      <c r="E465" t="inlineStr">
        <is>
          <t>BOLLNÄS</t>
        </is>
      </c>
      <c r="G465" t="n">
        <v>8.800000000000001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3094-2026</t>
        </is>
      </c>
      <c r="B466" s="1" t="n">
        <v>46040.85752314814</v>
      </c>
      <c r="C466" s="1" t="n">
        <v>46180</v>
      </c>
      <c r="D466" t="inlineStr">
        <is>
          <t>GÄVLEBORGS LÄN</t>
        </is>
      </c>
      <c r="E466" t="inlineStr">
        <is>
          <t>BOLLNÄS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3420-2026</t>
        </is>
      </c>
      <c r="B467" s="1" t="n">
        <v>46042.42766203704</v>
      </c>
      <c r="C467" s="1" t="n">
        <v>46180</v>
      </c>
      <c r="D467" t="inlineStr">
        <is>
          <t>GÄVLEBORGS LÄN</t>
        </is>
      </c>
      <c r="E467" t="inlineStr">
        <is>
          <t>BOLLNÄS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3221-2026</t>
        </is>
      </c>
      <c r="B468" s="1" t="n">
        <v>46041.52872685185</v>
      </c>
      <c r="C468" s="1" t="n">
        <v>46180</v>
      </c>
      <c r="D468" t="inlineStr">
        <is>
          <t>GÄVLEBORGS LÄN</t>
        </is>
      </c>
      <c r="E468" t="inlineStr">
        <is>
          <t>BOLLNÄS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3059-2026</t>
        </is>
      </c>
      <c r="B469" s="1" t="n">
        <v>46039.70877314815</v>
      </c>
      <c r="C469" s="1" t="n">
        <v>46180</v>
      </c>
      <c r="D469" t="inlineStr">
        <is>
          <t>GÄVLEBORGS LÄN</t>
        </is>
      </c>
      <c r="E469" t="inlineStr">
        <is>
          <t>BOLLNÄS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3074-2026</t>
        </is>
      </c>
      <c r="B470" s="1" t="n">
        <v>46040.7550462963</v>
      </c>
      <c r="C470" s="1" t="n">
        <v>46180</v>
      </c>
      <c r="D470" t="inlineStr">
        <is>
          <t>GÄVLEBORGS LÄN</t>
        </is>
      </c>
      <c r="E470" t="inlineStr">
        <is>
          <t>BOLLNÄS</t>
        </is>
      </c>
      <c r="G470" t="n">
        <v>12.9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3093-2026</t>
        </is>
      </c>
      <c r="B471" s="1" t="n">
        <v>46040.84903935185</v>
      </c>
      <c r="C471" s="1" t="n">
        <v>46180</v>
      </c>
      <c r="D471" t="inlineStr">
        <is>
          <t>GÄVLEBORGS LÄN</t>
        </is>
      </c>
      <c r="E471" t="inlineStr">
        <is>
          <t>BOLLNÄS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3096-2026</t>
        </is>
      </c>
      <c r="B472" s="1" t="n">
        <v>46041.24655092593</v>
      </c>
      <c r="C472" s="1" t="n">
        <v>46180</v>
      </c>
      <c r="D472" t="inlineStr">
        <is>
          <t>GÄVLEBORGS LÄN</t>
        </is>
      </c>
      <c r="E472" t="inlineStr">
        <is>
          <t>BOLLNÄS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3098-2026</t>
        </is>
      </c>
      <c r="B473" s="1" t="n">
        <v>46041.2705324074</v>
      </c>
      <c r="C473" s="1" t="n">
        <v>46180</v>
      </c>
      <c r="D473" t="inlineStr">
        <is>
          <t>GÄVLEBORGS LÄN</t>
        </is>
      </c>
      <c r="E473" t="inlineStr">
        <is>
          <t>BOLLNÄS</t>
        </is>
      </c>
      <c r="G473" t="n">
        <v>34.3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3073-2026</t>
        </is>
      </c>
      <c r="B474" s="1" t="n">
        <v>46040.75053240741</v>
      </c>
      <c r="C474" s="1" t="n">
        <v>46180</v>
      </c>
      <c r="D474" t="inlineStr">
        <is>
          <t>GÄVLEBORGS LÄN</t>
        </is>
      </c>
      <c r="E474" t="inlineStr">
        <is>
          <t>BOLLNÄS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3092-2026</t>
        </is>
      </c>
      <c r="B475" s="1" t="n">
        <v>46040.84614583333</v>
      </c>
      <c r="C475" s="1" t="n">
        <v>46180</v>
      </c>
      <c r="D475" t="inlineStr">
        <is>
          <t>GÄVLEBORGS LÄN</t>
        </is>
      </c>
      <c r="E475" t="inlineStr">
        <is>
          <t>BOLLNÄS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3097-2026</t>
        </is>
      </c>
      <c r="B476" s="1" t="n">
        <v>46041.25748842592</v>
      </c>
      <c r="C476" s="1" t="n">
        <v>46180</v>
      </c>
      <c r="D476" t="inlineStr">
        <is>
          <t>GÄVLEBORGS LÄN</t>
        </is>
      </c>
      <c r="E476" t="inlineStr">
        <is>
          <t>BOLLNÄS</t>
        </is>
      </c>
      <c r="G476" t="n">
        <v>18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3327-2026</t>
        </is>
      </c>
      <c r="B477" s="1" t="n">
        <v>46041.72084490741</v>
      </c>
      <c r="C477" s="1" t="n">
        <v>46180</v>
      </c>
      <c r="D477" t="inlineStr">
        <is>
          <t>GÄVLEBORGS LÄN</t>
        </is>
      </c>
      <c r="E477" t="inlineStr">
        <is>
          <t>BOLLNÄS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3533-2026</t>
        </is>
      </c>
      <c r="B478" s="1" t="n">
        <v>46042.61956018519</v>
      </c>
      <c r="C478" s="1" t="n">
        <v>46180</v>
      </c>
      <c r="D478" t="inlineStr">
        <is>
          <t>GÄVLEBORGS LÄN</t>
        </is>
      </c>
      <c r="E478" t="inlineStr">
        <is>
          <t>BOLLNÄS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3332-2026</t>
        </is>
      </c>
      <c r="B479" s="1" t="n">
        <v>46041</v>
      </c>
      <c r="C479" s="1" t="n">
        <v>46180</v>
      </c>
      <c r="D479" t="inlineStr">
        <is>
          <t>GÄVLEBORGS LÄN</t>
        </is>
      </c>
      <c r="E479" t="inlineStr">
        <is>
          <t>BOLLNÄS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43177-2024</t>
        </is>
      </c>
      <c r="B480" s="1" t="n">
        <v>45567.66236111111</v>
      </c>
      <c r="C480" s="1" t="n">
        <v>46180</v>
      </c>
      <c r="D480" t="inlineStr">
        <is>
          <t>GÄVLEBORGS LÄN</t>
        </is>
      </c>
      <c r="E480" t="inlineStr">
        <is>
          <t>BOLLNÄS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4176-2026</t>
        </is>
      </c>
      <c r="B481" s="1" t="n">
        <v>46044</v>
      </c>
      <c r="C481" s="1" t="n">
        <v>46180</v>
      </c>
      <c r="D481" t="inlineStr">
        <is>
          <t>GÄVLEBORGS LÄN</t>
        </is>
      </c>
      <c r="E481" t="inlineStr">
        <is>
          <t>BOLLNÄS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3948-2026</t>
        </is>
      </c>
      <c r="B482" s="1" t="n">
        <v>46044.29119212963</v>
      </c>
      <c r="C482" s="1" t="n">
        <v>46180</v>
      </c>
      <c r="D482" t="inlineStr">
        <is>
          <t>GÄVLEBORGS LÄN</t>
        </is>
      </c>
      <c r="E482" t="inlineStr">
        <is>
          <t>BOLLNÄS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4137-2026</t>
        </is>
      </c>
      <c r="B483" s="1" t="n">
        <v>46044.63023148148</v>
      </c>
      <c r="C483" s="1" t="n">
        <v>46180</v>
      </c>
      <c r="D483" t="inlineStr">
        <is>
          <t>GÄVLEBORGS LÄN</t>
        </is>
      </c>
      <c r="E483" t="inlineStr">
        <is>
          <t>BOLLNÄS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3899-2026</t>
        </is>
      </c>
      <c r="B484" s="1" t="n">
        <v>46043</v>
      </c>
      <c r="C484" s="1" t="n">
        <v>46180</v>
      </c>
      <c r="D484" t="inlineStr">
        <is>
          <t>GÄVLEBORGS LÄN</t>
        </is>
      </c>
      <c r="E484" t="inlineStr">
        <is>
          <t>BOLLNÄS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3901-2026</t>
        </is>
      </c>
      <c r="B485" s="1" t="n">
        <v>46043</v>
      </c>
      <c r="C485" s="1" t="n">
        <v>46180</v>
      </c>
      <c r="D485" t="inlineStr">
        <is>
          <t>GÄVLEBORGS LÄN</t>
        </is>
      </c>
      <c r="E485" t="inlineStr">
        <is>
          <t>BOLLNÄS</t>
        </is>
      </c>
      <c r="G485" t="n">
        <v>8.9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3916-2026</t>
        </is>
      </c>
      <c r="B486" s="1" t="n">
        <v>46043.73804398148</v>
      </c>
      <c r="C486" s="1" t="n">
        <v>46180</v>
      </c>
      <c r="D486" t="inlineStr">
        <is>
          <t>GÄVLEBORGS LÄN</t>
        </is>
      </c>
      <c r="E486" t="inlineStr">
        <is>
          <t>BOLLNÄS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21211-2025</t>
        </is>
      </c>
      <c r="B487" s="1" t="n">
        <v>45779</v>
      </c>
      <c r="C487" s="1" t="n">
        <v>46180</v>
      </c>
      <c r="D487" t="inlineStr">
        <is>
          <t>GÄVLEBORGS LÄN</t>
        </is>
      </c>
      <c r="E487" t="inlineStr">
        <is>
          <t>BOLLNÄS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4039-2026</t>
        </is>
      </c>
      <c r="B488" s="1" t="n">
        <v>46044</v>
      </c>
      <c r="C488" s="1" t="n">
        <v>46180</v>
      </c>
      <c r="D488" t="inlineStr">
        <is>
          <t>GÄVLEBORGS LÄN</t>
        </is>
      </c>
      <c r="E488" t="inlineStr">
        <is>
          <t>BOLLNÄS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4080-2026</t>
        </is>
      </c>
      <c r="B489" s="1" t="n">
        <v>46044</v>
      </c>
      <c r="C489" s="1" t="n">
        <v>46180</v>
      </c>
      <c r="D489" t="inlineStr">
        <is>
          <t>GÄVLEBORGS LÄN</t>
        </is>
      </c>
      <c r="E489" t="inlineStr">
        <is>
          <t>BOLLNÄS</t>
        </is>
      </c>
      <c r="F489" t="inlineStr">
        <is>
          <t>Bergvik skog väst AB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3906-2026</t>
        </is>
      </c>
      <c r="B490" s="1" t="n">
        <v>46043</v>
      </c>
      <c r="C490" s="1" t="n">
        <v>46180</v>
      </c>
      <c r="D490" t="inlineStr">
        <is>
          <t>GÄVLEBORGS LÄN</t>
        </is>
      </c>
      <c r="E490" t="inlineStr">
        <is>
          <t>BOLLNÄS</t>
        </is>
      </c>
      <c r="F490" t="inlineStr">
        <is>
          <t>Bergvik skog väst AB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4054-2026</t>
        </is>
      </c>
      <c r="B491" s="1" t="n">
        <v>46044</v>
      </c>
      <c r="C491" s="1" t="n">
        <v>46180</v>
      </c>
      <c r="D491" t="inlineStr">
        <is>
          <t>GÄVLEBORGS LÄN</t>
        </is>
      </c>
      <c r="E491" t="inlineStr">
        <is>
          <t>BOLLNÄS</t>
        </is>
      </c>
      <c r="G491" t="n">
        <v>26.1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4078-2026</t>
        </is>
      </c>
      <c r="B492" s="1" t="n">
        <v>46044</v>
      </c>
      <c r="C492" s="1" t="n">
        <v>46180</v>
      </c>
      <c r="D492" t="inlineStr">
        <is>
          <t>GÄVLEBORGS LÄN</t>
        </is>
      </c>
      <c r="E492" t="inlineStr">
        <is>
          <t>BOLLNÄS</t>
        </is>
      </c>
      <c r="F492" t="inlineStr">
        <is>
          <t>Bergvik skog väst AB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30308-2025</t>
        </is>
      </c>
      <c r="B493" s="1" t="n">
        <v>45827.4880787037</v>
      </c>
      <c r="C493" s="1" t="n">
        <v>46180</v>
      </c>
      <c r="D493" t="inlineStr">
        <is>
          <t>GÄVLEBORGS LÄN</t>
        </is>
      </c>
      <c r="E493" t="inlineStr">
        <is>
          <t>BOLLNÄS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3595-2026</t>
        </is>
      </c>
      <c r="B494" s="1" t="n">
        <v>46042.77957175926</v>
      </c>
      <c r="C494" s="1" t="n">
        <v>46180</v>
      </c>
      <c r="D494" t="inlineStr">
        <is>
          <t>GÄVLEBORGS LÄN</t>
        </is>
      </c>
      <c r="E494" t="inlineStr">
        <is>
          <t>BOLLNÄS</t>
        </is>
      </c>
      <c r="G494" t="n">
        <v>36.1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3626-2026</t>
        </is>
      </c>
      <c r="B495" s="1" t="n">
        <v>46043</v>
      </c>
      <c r="C495" s="1" t="n">
        <v>46180</v>
      </c>
      <c r="D495" t="inlineStr">
        <is>
          <t>GÄVLEBORGS LÄN</t>
        </is>
      </c>
      <c r="E495" t="inlineStr">
        <is>
          <t>BOLLNÄS</t>
        </is>
      </c>
      <c r="F495" t="inlineStr">
        <is>
          <t>Bergvik skog väst AB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42690-2025</t>
        </is>
      </c>
      <c r="B496" s="1" t="n">
        <v>45908.35690972222</v>
      </c>
      <c r="C496" s="1" t="n">
        <v>46180</v>
      </c>
      <c r="D496" t="inlineStr">
        <is>
          <t>GÄVLEBORGS LÄN</t>
        </is>
      </c>
      <c r="E496" t="inlineStr">
        <is>
          <t>BOLLNÄS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3886-2026</t>
        </is>
      </c>
      <c r="B497" s="1" t="n">
        <v>46043</v>
      </c>
      <c r="C497" s="1" t="n">
        <v>46180</v>
      </c>
      <c r="D497" t="inlineStr">
        <is>
          <t>GÄVLEBORGS LÄN</t>
        </is>
      </c>
      <c r="E497" t="inlineStr">
        <is>
          <t>BOLLNÄS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3898-2026</t>
        </is>
      </c>
      <c r="B498" s="1" t="n">
        <v>46043</v>
      </c>
      <c r="C498" s="1" t="n">
        <v>46180</v>
      </c>
      <c r="D498" t="inlineStr">
        <is>
          <t>GÄVLEBORGS LÄN</t>
        </is>
      </c>
      <c r="E498" t="inlineStr">
        <is>
          <t>BOLLNÄS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3902-2026</t>
        </is>
      </c>
      <c r="B499" s="1" t="n">
        <v>46043</v>
      </c>
      <c r="C499" s="1" t="n">
        <v>46180</v>
      </c>
      <c r="D499" t="inlineStr">
        <is>
          <t>GÄVLEBORGS LÄN</t>
        </is>
      </c>
      <c r="E499" t="inlineStr">
        <is>
          <t>BOLLNÄS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732-2026</t>
        </is>
      </c>
      <c r="B500" s="1" t="n">
        <v>46029</v>
      </c>
      <c r="C500" s="1" t="n">
        <v>46180</v>
      </c>
      <c r="D500" t="inlineStr">
        <is>
          <t>GÄVLEBORGS LÄN</t>
        </is>
      </c>
      <c r="E500" t="inlineStr">
        <is>
          <t>BOLLNÄS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775-2026</t>
        </is>
      </c>
      <c r="B501" s="1" t="n">
        <v>46029</v>
      </c>
      <c r="C501" s="1" t="n">
        <v>46180</v>
      </c>
      <c r="D501" t="inlineStr">
        <is>
          <t>GÄVLEBORGS LÄN</t>
        </is>
      </c>
      <c r="E501" t="inlineStr">
        <is>
          <t>BOLLNÄS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4097-2026</t>
        </is>
      </c>
      <c r="B502" s="1" t="n">
        <v>46044</v>
      </c>
      <c r="C502" s="1" t="n">
        <v>46180</v>
      </c>
      <c r="D502" t="inlineStr">
        <is>
          <t>GÄVLEBORGS LÄN</t>
        </is>
      </c>
      <c r="E502" t="inlineStr">
        <is>
          <t>BOLLNÄS</t>
        </is>
      </c>
      <c r="F502" t="inlineStr">
        <is>
          <t>Bergvik skog väst AB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4103-2026</t>
        </is>
      </c>
      <c r="B503" s="1" t="n">
        <v>46044.58394675926</v>
      </c>
      <c r="C503" s="1" t="n">
        <v>46180</v>
      </c>
      <c r="D503" t="inlineStr">
        <is>
          <t>GÄVLEBORGS LÄN</t>
        </is>
      </c>
      <c r="E503" t="inlineStr">
        <is>
          <t>BOLLNÄS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44487-2024</t>
        </is>
      </c>
      <c r="B504" s="1" t="n">
        <v>45574.38811342593</v>
      </c>
      <c r="C504" s="1" t="n">
        <v>46180</v>
      </c>
      <c r="D504" t="inlineStr">
        <is>
          <t>GÄVLEBORGS LÄN</t>
        </is>
      </c>
      <c r="E504" t="inlineStr">
        <is>
          <t>BOLLNÄS</t>
        </is>
      </c>
      <c r="F504" t="inlineStr">
        <is>
          <t>Kyrkan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3622-2026</t>
        </is>
      </c>
      <c r="B505" s="1" t="n">
        <v>46043.26456018518</v>
      </c>
      <c r="C505" s="1" t="n">
        <v>46180</v>
      </c>
      <c r="D505" t="inlineStr">
        <is>
          <t>GÄVLEBORGS LÄN</t>
        </is>
      </c>
      <c r="E505" t="inlineStr">
        <is>
          <t>BOLLNÄS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28339-2025</t>
        </is>
      </c>
      <c r="B506" s="1" t="n">
        <v>45818.67405092593</v>
      </c>
      <c r="C506" s="1" t="n">
        <v>46180</v>
      </c>
      <c r="D506" t="inlineStr">
        <is>
          <t>GÄVLEBORGS LÄN</t>
        </is>
      </c>
      <c r="E506" t="inlineStr">
        <is>
          <t>BOLLNÄS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3888-2026</t>
        </is>
      </c>
      <c r="B507" s="1" t="n">
        <v>46043</v>
      </c>
      <c r="C507" s="1" t="n">
        <v>46180</v>
      </c>
      <c r="D507" t="inlineStr">
        <is>
          <t>GÄVLEBORGS LÄN</t>
        </is>
      </c>
      <c r="E507" t="inlineStr">
        <is>
          <t>BOLLNÄS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4158-2026</t>
        </is>
      </c>
      <c r="B508" s="1" t="n">
        <v>46044</v>
      </c>
      <c r="C508" s="1" t="n">
        <v>46180</v>
      </c>
      <c r="D508" t="inlineStr">
        <is>
          <t>GÄVLEBORGS LÄN</t>
        </is>
      </c>
      <c r="E508" t="inlineStr">
        <is>
          <t>BOLLNÄS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9700-2025</t>
        </is>
      </c>
      <c r="B509" s="1" t="n">
        <v>45716.37511574074</v>
      </c>
      <c r="C509" s="1" t="n">
        <v>46180</v>
      </c>
      <c r="D509" t="inlineStr">
        <is>
          <t>GÄVLEBORGS LÄN</t>
        </is>
      </c>
      <c r="E509" t="inlineStr">
        <is>
          <t>BOLLNÄS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3825-2026</t>
        </is>
      </c>
      <c r="B510" s="1" t="n">
        <v>46043</v>
      </c>
      <c r="C510" s="1" t="n">
        <v>46180</v>
      </c>
      <c r="D510" t="inlineStr">
        <is>
          <t>GÄVLEBORGS LÄN</t>
        </is>
      </c>
      <c r="E510" t="inlineStr">
        <is>
          <t>BOLLNÄS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3893-2026</t>
        </is>
      </c>
      <c r="B511" s="1" t="n">
        <v>46043</v>
      </c>
      <c r="C511" s="1" t="n">
        <v>46180</v>
      </c>
      <c r="D511" t="inlineStr">
        <is>
          <t>GÄVLEBORGS LÄN</t>
        </is>
      </c>
      <c r="E511" t="inlineStr">
        <is>
          <t>BOLLNÄS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3885-2026</t>
        </is>
      </c>
      <c r="B512" s="1" t="n">
        <v>46043</v>
      </c>
      <c r="C512" s="1" t="n">
        <v>46180</v>
      </c>
      <c r="D512" t="inlineStr">
        <is>
          <t>GÄVLEBORGS LÄN</t>
        </is>
      </c>
      <c r="E512" t="inlineStr">
        <is>
          <t>BOLLNÄS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4160-2026</t>
        </is>
      </c>
      <c r="B513" s="1" t="n">
        <v>46044</v>
      </c>
      <c r="C513" s="1" t="n">
        <v>46180</v>
      </c>
      <c r="D513" t="inlineStr">
        <is>
          <t>GÄVLEBORGS LÄN</t>
        </is>
      </c>
      <c r="E513" t="inlineStr">
        <is>
          <t>BOLLNÄS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3835-2026</t>
        </is>
      </c>
      <c r="B514" s="1" t="n">
        <v>46043</v>
      </c>
      <c r="C514" s="1" t="n">
        <v>46180</v>
      </c>
      <c r="D514" t="inlineStr">
        <is>
          <t>GÄVLEBORGS LÄN</t>
        </is>
      </c>
      <c r="E514" t="inlineStr">
        <is>
          <t>BOLLNÄS</t>
        </is>
      </c>
      <c r="F514" t="inlineStr">
        <is>
          <t>Bergvik skog väst AB</t>
        </is>
      </c>
      <c r="G514" t="n">
        <v>9.699999999999999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3919-2026</t>
        </is>
      </c>
      <c r="B515" s="1" t="n">
        <v>46043</v>
      </c>
      <c r="C515" s="1" t="n">
        <v>46180</v>
      </c>
      <c r="D515" t="inlineStr">
        <is>
          <t>GÄVLEBORGS LÄN</t>
        </is>
      </c>
      <c r="E515" t="inlineStr">
        <is>
          <t>BOLLNÄS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42865-2025</t>
        </is>
      </c>
      <c r="B516" s="1" t="n">
        <v>45908</v>
      </c>
      <c r="C516" s="1" t="n">
        <v>46180</v>
      </c>
      <c r="D516" t="inlineStr">
        <is>
          <t>GÄVLEBORGS LÄN</t>
        </is>
      </c>
      <c r="E516" t="inlineStr">
        <is>
          <t>BOLLNÄS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3864-2026</t>
        </is>
      </c>
      <c r="B517" s="1" t="n">
        <v>46043</v>
      </c>
      <c r="C517" s="1" t="n">
        <v>46180</v>
      </c>
      <c r="D517" t="inlineStr">
        <is>
          <t>GÄVLEBORGS LÄN</t>
        </is>
      </c>
      <c r="E517" t="inlineStr">
        <is>
          <t>BOLLNÄS</t>
        </is>
      </c>
      <c r="F517" t="inlineStr">
        <is>
          <t>Bergvik skog väst AB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3639-2026</t>
        </is>
      </c>
      <c r="B518" s="1" t="n">
        <v>46043</v>
      </c>
      <c r="C518" s="1" t="n">
        <v>46180</v>
      </c>
      <c r="D518" t="inlineStr">
        <is>
          <t>GÄVLEBORGS LÄN</t>
        </is>
      </c>
      <c r="E518" t="inlineStr">
        <is>
          <t>BOLLNÄS</t>
        </is>
      </c>
      <c r="F518" t="inlineStr">
        <is>
          <t>Kyrkan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28338-2025</t>
        </is>
      </c>
      <c r="B519" s="1" t="n">
        <v>45818.66855324074</v>
      </c>
      <c r="C519" s="1" t="n">
        <v>46180</v>
      </c>
      <c r="D519" t="inlineStr">
        <is>
          <t>GÄVLEBORGS LÄN</t>
        </is>
      </c>
      <c r="E519" t="inlineStr">
        <is>
          <t>BOLLNÄS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4062-2026</t>
        </is>
      </c>
      <c r="B520" s="1" t="n">
        <v>46044</v>
      </c>
      <c r="C520" s="1" t="n">
        <v>46180</v>
      </c>
      <c r="D520" t="inlineStr">
        <is>
          <t>GÄVLEBORGS LÄN</t>
        </is>
      </c>
      <c r="E520" t="inlineStr">
        <is>
          <t>BOLLNÄS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4071-2026</t>
        </is>
      </c>
      <c r="B521" s="1" t="n">
        <v>46044.52921296296</v>
      </c>
      <c r="C521" s="1" t="n">
        <v>46180</v>
      </c>
      <c r="D521" t="inlineStr">
        <is>
          <t>GÄVLEBORGS LÄN</t>
        </is>
      </c>
      <c r="E521" t="inlineStr">
        <is>
          <t>BOLLNÄS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42513-2025</t>
        </is>
      </c>
      <c r="B522" s="1" t="n">
        <v>45905.54412037037</v>
      </c>
      <c r="C522" s="1" t="n">
        <v>46180</v>
      </c>
      <c r="D522" t="inlineStr">
        <is>
          <t>GÄVLEBORGS LÄN</t>
        </is>
      </c>
      <c r="E522" t="inlineStr">
        <is>
          <t>BOLLNÄS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30303-2025</t>
        </is>
      </c>
      <c r="B523" s="1" t="n">
        <v>45827.48033564815</v>
      </c>
      <c r="C523" s="1" t="n">
        <v>46180</v>
      </c>
      <c r="D523" t="inlineStr">
        <is>
          <t>GÄVLEBORGS LÄN</t>
        </is>
      </c>
      <c r="E523" t="inlineStr">
        <is>
          <t>BOLLNÄS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3907-2026</t>
        </is>
      </c>
      <c r="B524" s="1" t="n">
        <v>46043.70402777778</v>
      </c>
      <c r="C524" s="1" t="n">
        <v>46180</v>
      </c>
      <c r="D524" t="inlineStr">
        <is>
          <t>GÄVLEBORGS LÄN</t>
        </is>
      </c>
      <c r="E524" t="inlineStr">
        <is>
          <t>BOLLNÄS</t>
        </is>
      </c>
      <c r="G524" t="n">
        <v>11.7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3908-2026</t>
        </is>
      </c>
      <c r="B525" s="1" t="n">
        <v>46043.70530092593</v>
      </c>
      <c r="C525" s="1" t="n">
        <v>46180</v>
      </c>
      <c r="D525" t="inlineStr">
        <is>
          <t>GÄVLEBORGS LÄN</t>
        </is>
      </c>
      <c r="E525" t="inlineStr">
        <is>
          <t>BOLLNÄS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16641-2024</t>
        </is>
      </c>
      <c r="B526" s="1" t="n">
        <v>45408.60974537037</v>
      </c>
      <c r="C526" s="1" t="n">
        <v>46180</v>
      </c>
      <c r="D526" t="inlineStr">
        <is>
          <t>GÄVLEBORGS LÄN</t>
        </is>
      </c>
      <c r="E526" t="inlineStr">
        <is>
          <t>BOLLNÄS</t>
        </is>
      </c>
      <c r="F526" t="inlineStr">
        <is>
          <t>Bergvik skog öst AB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3947-2026</t>
        </is>
      </c>
      <c r="B527" s="1" t="n">
        <v>46044.28576388889</v>
      </c>
      <c r="C527" s="1" t="n">
        <v>46180</v>
      </c>
      <c r="D527" t="inlineStr">
        <is>
          <t>GÄVLEBORGS LÄN</t>
        </is>
      </c>
      <c r="E527" t="inlineStr">
        <is>
          <t>BOLLNÄS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3625-2026</t>
        </is>
      </c>
      <c r="B528" s="1" t="n">
        <v>46043.31989583333</v>
      </c>
      <c r="C528" s="1" t="n">
        <v>46180</v>
      </c>
      <c r="D528" t="inlineStr">
        <is>
          <t>GÄVLEBORGS LÄN</t>
        </is>
      </c>
      <c r="E528" t="inlineStr">
        <is>
          <t>BOLLNÄS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4127-2026</t>
        </is>
      </c>
      <c r="B529" s="1" t="n">
        <v>46044</v>
      </c>
      <c r="C529" s="1" t="n">
        <v>46180</v>
      </c>
      <c r="D529" t="inlineStr">
        <is>
          <t>GÄVLEBORGS LÄN</t>
        </is>
      </c>
      <c r="E529" t="inlineStr">
        <is>
          <t>BOLLNÄS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4445-2026</t>
        </is>
      </c>
      <c r="B530" s="1" t="n">
        <v>46045.63763888889</v>
      </c>
      <c r="C530" s="1" t="n">
        <v>46180</v>
      </c>
      <c r="D530" t="inlineStr">
        <is>
          <t>GÄVLEBORGS LÄN</t>
        </is>
      </c>
      <c r="E530" t="inlineStr">
        <is>
          <t>BOLLNÄS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37099-2025</t>
        </is>
      </c>
      <c r="B531" s="1" t="n">
        <v>45875</v>
      </c>
      <c r="C531" s="1" t="n">
        <v>46180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28333-2025</t>
        </is>
      </c>
      <c r="B532" s="1" t="n">
        <v>45818.66342592592</v>
      </c>
      <c r="C532" s="1" t="n">
        <v>46180</v>
      </c>
      <c r="D532" t="inlineStr">
        <is>
          <t>GÄVLEBORGS LÄN</t>
        </is>
      </c>
      <c r="E532" t="inlineStr">
        <is>
          <t>BOLLNÄS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33153-2025</t>
        </is>
      </c>
      <c r="B533" s="1" t="n">
        <v>45840.55234953704</v>
      </c>
      <c r="C533" s="1" t="n">
        <v>46180</v>
      </c>
      <c r="D533" t="inlineStr">
        <is>
          <t>GÄVLEBORGS LÄN</t>
        </is>
      </c>
      <c r="E533" t="inlineStr">
        <is>
          <t>BOLLNÄS</t>
        </is>
      </c>
      <c r="F533" t="inlineStr">
        <is>
          <t>Bergvik skog väst AB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4573-2026</t>
        </is>
      </c>
      <c r="B534" s="1" t="n">
        <v>46048.30972222222</v>
      </c>
      <c r="C534" s="1" t="n">
        <v>46180</v>
      </c>
      <c r="D534" t="inlineStr">
        <is>
          <t>GÄVLEBORGS LÄN</t>
        </is>
      </c>
      <c r="E534" t="inlineStr">
        <is>
          <t>BOLLNÄS</t>
        </is>
      </c>
      <c r="G534" t="n">
        <v>28.6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43058-2025</t>
        </is>
      </c>
      <c r="B535" s="1" t="n">
        <v>45909</v>
      </c>
      <c r="C535" s="1" t="n">
        <v>46180</v>
      </c>
      <c r="D535" t="inlineStr">
        <is>
          <t>GÄVLEBORGS LÄN</t>
        </is>
      </c>
      <c r="E535" t="inlineStr">
        <is>
          <t>BOLLNÄS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43060-2025</t>
        </is>
      </c>
      <c r="B536" s="1" t="n">
        <v>45909</v>
      </c>
      <c r="C536" s="1" t="n">
        <v>46180</v>
      </c>
      <c r="D536" t="inlineStr">
        <is>
          <t>GÄVLEBORGS LÄN</t>
        </is>
      </c>
      <c r="E536" t="inlineStr">
        <is>
          <t>BOLLNÄS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43808-2025</t>
        </is>
      </c>
      <c r="B537" s="1" t="n">
        <v>45912.57952546296</v>
      </c>
      <c r="C537" s="1" t="n">
        <v>46180</v>
      </c>
      <c r="D537" t="inlineStr">
        <is>
          <t>GÄVLEBORGS LÄN</t>
        </is>
      </c>
      <c r="E537" t="inlineStr">
        <is>
          <t>BOLLNÄS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4565-2026</t>
        </is>
      </c>
      <c r="B538" s="1" t="n">
        <v>46047.85877314815</v>
      </c>
      <c r="C538" s="1" t="n">
        <v>46180</v>
      </c>
      <c r="D538" t="inlineStr">
        <is>
          <t>GÄVLEBORGS LÄN</t>
        </is>
      </c>
      <c r="E538" t="inlineStr">
        <is>
          <t>BOLLNÄS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4452-2026</t>
        </is>
      </c>
      <c r="B539" s="1" t="n">
        <v>46045.64053240741</v>
      </c>
      <c r="C539" s="1" t="n">
        <v>46180</v>
      </c>
      <c r="D539" t="inlineStr">
        <is>
          <t>GÄVLEBORGS LÄN</t>
        </is>
      </c>
      <c r="E539" t="inlineStr">
        <is>
          <t>BOLLNÄS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28429-2025</t>
        </is>
      </c>
      <c r="B540" s="1" t="n">
        <v>45819.37796296296</v>
      </c>
      <c r="C540" s="1" t="n">
        <v>46180</v>
      </c>
      <c r="D540" t="inlineStr">
        <is>
          <t>GÄVLEBORGS LÄN</t>
        </is>
      </c>
      <c r="E540" t="inlineStr">
        <is>
          <t>BOLLNÄS</t>
        </is>
      </c>
      <c r="F540" t="inlineStr">
        <is>
          <t>Bergvik skog väst AB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14030-2025</t>
        </is>
      </c>
      <c r="B541" s="1" t="n">
        <v>45740</v>
      </c>
      <c r="C541" s="1" t="n">
        <v>46180</v>
      </c>
      <c r="D541" t="inlineStr">
        <is>
          <t>GÄVLEBORGS LÄN</t>
        </is>
      </c>
      <c r="E541" t="inlineStr">
        <is>
          <t>BOLLNÄS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28477-2025</t>
        </is>
      </c>
      <c r="B542" s="1" t="n">
        <v>45819.44628472222</v>
      </c>
      <c r="C542" s="1" t="n">
        <v>46180</v>
      </c>
      <c r="D542" t="inlineStr">
        <is>
          <t>GÄVLEBORGS LÄN</t>
        </is>
      </c>
      <c r="E542" t="inlineStr">
        <is>
          <t>BOLLNÄS</t>
        </is>
      </c>
      <c r="F542" t="inlineStr">
        <is>
          <t>Bergvik skog väst AB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4446-2026</t>
        </is>
      </c>
      <c r="B543" s="1" t="n">
        <v>46045</v>
      </c>
      <c r="C543" s="1" t="n">
        <v>46180</v>
      </c>
      <c r="D543" t="inlineStr">
        <is>
          <t>GÄVLEBORGS LÄN</t>
        </is>
      </c>
      <c r="E543" t="inlineStr">
        <is>
          <t>BOLLNÄS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4763-2026</t>
        </is>
      </c>
      <c r="B544" s="1" t="n">
        <v>46048.53866898148</v>
      </c>
      <c r="C544" s="1" t="n">
        <v>46180</v>
      </c>
      <c r="D544" t="inlineStr">
        <is>
          <t>GÄVLEBORGS LÄN</t>
        </is>
      </c>
      <c r="E544" t="inlineStr">
        <is>
          <t>BOLLNÄS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4621-2026</t>
        </is>
      </c>
      <c r="B545" s="1" t="n">
        <v>46048.37596064815</v>
      </c>
      <c r="C545" s="1" t="n">
        <v>46180</v>
      </c>
      <c r="D545" t="inlineStr">
        <is>
          <t>GÄVLEBORGS LÄN</t>
        </is>
      </c>
      <c r="E545" t="inlineStr">
        <is>
          <t>BOLLNÄS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43649-2025</t>
        </is>
      </c>
      <c r="B546" s="1" t="n">
        <v>45912.32010416667</v>
      </c>
      <c r="C546" s="1" t="n">
        <v>46180</v>
      </c>
      <c r="D546" t="inlineStr">
        <is>
          <t>GÄVLEBORGS LÄN</t>
        </is>
      </c>
      <c r="E546" t="inlineStr">
        <is>
          <t>BOLLNÄS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28446-2025</t>
        </is>
      </c>
      <c r="B547" s="1" t="n">
        <v>45819.39910879629</v>
      </c>
      <c r="C547" s="1" t="n">
        <v>46180</v>
      </c>
      <c r="D547" t="inlineStr">
        <is>
          <t>GÄVLEBORGS LÄN</t>
        </is>
      </c>
      <c r="E547" t="inlineStr">
        <is>
          <t>BOLLNÄS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28462-2025</t>
        </is>
      </c>
      <c r="B548" s="1" t="n">
        <v>45819.41706018519</v>
      </c>
      <c r="C548" s="1" t="n">
        <v>46180</v>
      </c>
      <c r="D548" t="inlineStr">
        <is>
          <t>GÄVLEBORGS LÄN</t>
        </is>
      </c>
      <c r="E548" t="inlineStr">
        <is>
          <t>BOLLNÄS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28618-2025</t>
        </is>
      </c>
      <c r="B549" s="1" t="n">
        <v>45819.61023148148</v>
      </c>
      <c r="C549" s="1" t="n">
        <v>46180</v>
      </c>
      <c r="D549" t="inlineStr">
        <is>
          <t>GÄVLEBORGS LÄN</t>
        </is>
      </c>
      <c r="E549" t="inlineStr">
        <is>
          <t>BOLLNÄS</t>
        </is>
      </c>
      <c r="F549" t="inlineStr">
        <is>
          <t>Bergvik skog väst AB</t>
        </is>
      </c>
      <c r="G549" t="n">
        <v>11.7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4500-2026</t>
        </is>
      </c>
      <c r="B550" s="1" t="n">
        <v>46045</v>
      </c>
      <c r="C550" s="1" t="n">
        <v>46180</v>
      </c>
      <c r="D550" t="inlineStr">
        <is>
          <t>GÄVLEBORGS LÄN</t>
        </is>
      </c>
      <c r="E550" t="inlineStr">
        <is>
          <t>BOLLNÄS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3155-2026</t>
        </is>
      </c>
      <c r="B551" s="1" t="n">
        <v>46041</v>
      </c>
      <c r="C551" s="1" t="n">
        <v>46180</v>
      </c>
      <c r="D551" t="inlineStr">
        <is>
          <t>GÄVLEBORGS LÄN</t>
        </is>
      </c>
      <c r="E551" t="inlineStr">
        <is>
          <t>BOLLNÄS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1194-2026</t>
        </is>
      </c>
      <c r="B552" s="1" t="n">
        <v>46031</v>
      </c>
      <c r="C552" s="1" t="n">
        <v>46180</v>
      </c>
      <c r="D552" t="inlineStr">
        <is>
          <t>GÄVLEBORGS LÄN</t>
        </is>
      </c>
      <c r="E552" t="inlineStr">
        <is>
          <t>BOLLNÄS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1199-2026</t>
        </is>
      </c>
      <c r="B553" s="1" t="n">
        <v>46031</v>
      </c>
      <c r="C553" s="1" t="n">
        <v>46180</v>
      </c>
      <c r="D553" t="inlineStr">
        <is>
          <t>GÄVLEBORGS LÄN</t>
        </is>
      </c>
      <c r="E553" t="inlineStr">
        <is>
          <t>BOLLNÄS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4880-2026</t>
        </is>
      </c>
      <c r="B554" s="1" t="n">
        <v>46045</v>
      </c>
      <c r="C554" s="1" t="n">
        <v>46180</v>
      </c>
      <c r="D554" t="inlineStr">
        <is>
          <t>GÄVLEBORGS LÄN</t>
        </is>
      </c>
      <c r="E554" t="inlineStr">
        <is>
          <t>BOLLNÄS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4931-2026</t>
        </is>
      </c>
      <c r="B555" s="1" t="n">
        <v>46048</v>
      </c>
      <c r="C555" s="1" t="n">
        <v>46180</v>
      </c>
      <c r="D555" t="inlineStr">
        <is>
          <t>GÄVLEBORGS LÄN</t>
        </is>
      </c>
      <c r="E555" t="inlineStr">
        <is>
          <t>BOLLNÄS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14623-2023</t>
        </is>
      </c>
      <c r="B556" s="1" t="n">
        <v>45013.65927083333</v>
      </c>
      <c r="C556" s="1" t="n">
        <v>46180</v>
      </c>
      <c r="D556" t="inlineStr">
        <is>
          <t>GÄVLEBORGS LÄN</t>
        </is>
      </c>
      <c r="E556" t="inlineStr">
        <is>
          <t>BOLLNÄS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29776-2025</t>
        </is>
      </c>
      <c r="B557" s="1" t="n">
        <v>45825.64038194445</v>
      </c>
      <c r="C557" s="1" t="n">
        <v>46180</v>
      </c>
      <c r="D557" t="inlineStr">
        <is>
          <t>GÄVLEBORGS LÄN</t>
        </is>
      </c>
      <c r="E557" t="inlineStr">
        <is>
          <t>BOLLNÄS</t>
        </is>
      </c>
      <c r="F557" t="inlineStr">
        <is>
          <t>Sveaskog</t>
        </is>
      </c>
      <c r="G557" t="n">
        <v>10.7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29780-2025</t>
        </is>
      </c>
      <c r="B558" s="1" t="n">
        <v>45825.64649305555</v>
      </c>
      <c r="C558" s="1" t="n">
        <v>46180</v>
      </c>
      <c r="D558" t="inlineStr">
        <is>
          <t>GÄVLEBORGS LÄN</t>
        </is>
      </c>
      <c r="E558" t="inlineStr">
        <is>
          <t>BOLLNÄS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4369-2026</t>
        </is>
      </c>
      <c r="B559" s="1" t="n">
        <v>46045.54717592592</v>
      </c>
      <c r="C559" s="1" t="n">
        <v>46180</v>
      </c>
      <c r="D559" t="inlineStr">
        <is>
          <t>GÄVLEBORGS LÄN</t>
        </is>
      </c>
      <c r="E559" t="inlineStr">
        <is>
          <t>BOLLNÄS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4372-2026</t>
        </is>
      </c>
      <c r="B560" s="1" t="n">
        <v>46045.54936342593</v>
      </c>
      <c r="C560" s="1" t="n">
        <v>46180</v>
      </c>
      <c r="D560" t="inlineStr">
        <is>
          <t>GÄVLEBORGS LÄN</t>
        </is>
      </c>
      <c r="E560" t="inlineStr">
        <is>
          <t>BOLLNÄS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4776-2026</t>
        </is>
      </c>
      <c r="B561" s="1" t="n">
        <v>46048.55112268519</v>
      </c>
      <c r="C561" s="1" t="n">
        <v>46180</v>
      </c>
      <c r="D561" t="inlineStr">
        <is>
          <t>GÄVLEBORGS LÄN</t>
        </is>
      </c>
      <c r="E561" t="inlineStr">
        <is>
          <t>BOLLNÄS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6922-2023</t>
        </is>
      </c>
      <c r="B562" s="1" t="n">
        <v>44967</v>
      </c>
      <c r="C562" s="1" t="n">
        <v>46180</v>
      </c>
      <c r="D562" t="inlineStr">
        <is>
          <t>GÄVLEBORGS LÄN</t>
        </is>
      </c>
      <c r="E562" t="inlineStr">
        <is>
          <t>BOLLNÄS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34867-2024</t>
        </is>
      </c>
      <c r="B563" s="1" t="n">
        <v>45527.34408564815</v>
      </c>
      <c r="C563" s="1" t="n">
        <v>46180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43843-2025</t>
        </is>
      </c>
      <c r="B564" s="1" t="n">
        <v>45912.63606481482</v>
      </c>
      <c r="C564" s="1" t="n">
        <v>46180</v>
      </c>
      <c r="D564" t="inlineStr">
        <is>
          <t>GÄVLEBORGS LÄN</t>
        </is>
      </c>
      <c r="E564" t="inlineStr">
        <is>
          <t>BOLLNÄS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4705-2026</t>
        </is>
      </c>
      <c r="B565" s="1" t="n">
        <v>46048.45295138889</v>
      </c>
      <c r="C565" s="1" t="n">
        <v>46180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4770-2026</t>
        </is>
      </c>
      <c r="B566" s="1" t="n">
        <v>46048.54542824074</v>
      </c>
      <c r="C566" s="1" t="n">
        <v>46180</v>
      </c>
      <c r="D566" t="inlineStr">
        <is>
          <t>GÄVLEBORGS LÄN</t>
        </is>
      </c>
      <c r="E566" t="inlineStr">
        <is>
          <t>BOLLNÄS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67547-2021</t>
        </is>
      </c>
      <c r="B567" s="1" t="n">
        <v>44524.56090277778</v>
      </c>
      <c r="C567" s="1" t="n">
        <v>46180</v>
      </c>
      <c r="D567" t="inlineStr">
        <is>
          <t>GÄVLEBORGS LÄN</t>
        </is>
      </c>
      <c r="E567" t="inlineStr">
        <is>
          <t>BOLLNÄS</t>
        </is>
      </c>
      <c r="F567" t="inlineStr">
        <is>
          <t>Övriga statliga verk och myndigheter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4874-2026</t>
        </is>
      </c>
      <c r="B568" s="1" t="n">
        <v>46048</v>
      </c>
      <c r="C568" s="1" t="n">
        <v>46180</v>
      </c>
      <c r="D568" t="inlineStr">
        <is>
          <t>GÄVLEBORGS LÄN</t>
        </is>
      </c>
      <c r="E568" t="inlineStr">
        <is>
          <t>BOLLNÄS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17792-2023</t>
        </is>
      </c>
      <c r="B569" s="1" t="n">
        <v>45037</v>
      </c>
      <c r="C569" s="1" t="n">
        <v>46180</v>
      </c>
      <c r="D569" t="inlineStr">
        <is>
          <t>GÄVLEBORGS LÄN</t>
        </is>
      </c>
      <c r="E569" t="inlineStr">
        <is>
          <t>BOLLNÄS</t>
        </is>
      </c>
      <c r="F569" t="inlineStr">
        <is>
          <t>Kyrkan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4300-2026</t>
        </is>
      </c>
      <c r="B570" s="1" t="n">
        <v>46045.425625</v>
      </c>
      <c r="C570" s="1" t="n">
        <v>46180</v>
      </c>
      <c r="D570" t="inlineStr">
        <is>
          <t>GÄVLEBORGS LÄN</t>
        </is>
      </c>
      <c r="E570" t="inlineStr">
        <is>
          <t>BOLLNÄS</t>
        </is>
      </c>
      <c r="G570" t="n">
        <v>8.699999999999999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833-2026</t>
        </is>
      </c>
      <c r="B571" s="1" t="n">
        <v>46030</v>
      </c>
      <c r="C571" s="1" t="n">
        <v>46180</v>
      </c>
      <c r="D571" t="inlineStr">
        <is>
          <t>GÄVLEBORGS LÄN</t>
        </is>
      </c>
      <c r="E571" t="inlineStr">
        <is>
          <t>BOLLNÄS</t>
        </is>
      </c>
      <c r="G571" t="n">
        <v>10.8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4299-2026</t>
        </is>
      </c>
      <c r="B572" s="1" t="n">
        <v>46045.42451388889</v>
      </c>
      <c r="C572" s="1" t="n">
        <v>46180</v>
      </c>
      <c r="D572" t="inlineStr">
        <is>
          <t>GÄVLEBORGS LÄN</t>
        </is>
      </c>
      <c r="E572" t="inlineStr">
        <is>
          <t>BOLLNÄS</t>
        </is>
      </c>
      <c r="G572" t="n">
        <v>7.9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4339-2026</t>
        </is>
      </c>
      <c r="B573" s="1" t="n">
        <v>46045.50789351852</v>
      </c>
      <c r="C573" s="1" t="n">
        <v>46180</v>
      </c>
      <c r="D573" t="inlineStr">
        <is>
          <t>GÄVLEBORGS LÄN</t>
        </is>
      </c>
      <c r="E573" t="inlineStr">
        <is>
          <t>BOLLNÄS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4429-2026</t>
        </is>
      </c>
      <c r="B574" s="1" t="n">
        <v>46045.61944444444</v>
      </c>
      <c r="C574" s="1" t="n">
        <v>46180</v>
      </c>
      <c r="D574" t="inlineStr">
        <is>
          <t>GÄVLEBORGS LÄN</t>
        </is>
      </c>
      <c r="E574" t="inlineStr">
        <is>
          <t>BOLLNÄS</t>
        </is>
      </c>
      <c r="G574" t="n">
        <v>6.8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4447-2026</t>
        </is>
      </c>
      <c r="B575" s="1" t="n">
        <v>46045.63887731481</v>
      </c>
      <c r="C575" s="1" t="n">
        <v>46180</v>
      </c>
      <c r="D575" t="inlineStr">
        <is>
          <t>GÄVLEBORGS LÄN</t>
        </is>
      </c>
      <c r="E575" t="inlineStr">
        <is>
          <t>BOLLNÄS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4458-2026</t>
        </is>
      </c>
      <c r="B576" s="1" t="n">
        <v>46045</v>
      </c>
      <c r="C576" s="1" t="n">
        <v>46180</v>
      </c>
      <c r="D576" t="inlineStr">
        <is>
          <t>GÄVLEBORGS LÄN</t>
        </is>
      </c>
      <c r="E576" t="inlineStr">
        <is>
          <t>BOLLNÄS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53234-2024</t>
        </is>
      </c>
      <c r="B577" s="1" t="n">
        <v>45613.775625</v>
      </c>
      <c r="C577" s="1" t="n">
        <v>46180</v>
      </c>
      <c r="D577" t="inlineStr">
        <is>
          <t>GÄVLEBORGS LÄN</t>
        </is>
      </c>
      <c r="E577" t="inlineStr">
        <is>
          <t>BOLLNÄS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43844-2025</t>
        </is>
      </c>
      <c r="B578" s="1" t="n">
        <v>45912.63609953703</v>
      </c>
      <c r="C578" s="1" t="n">
        <v>46180</v>
      </c>
      <c r="D578" t="inlineStr">
        <is>
          <t>GÄVLEBORGS LÄN</t>
        </is>
      </c>
      <c r="E578" t="inlineStr">
        <is>
          <t>BOLLNÄS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4412-2026</t>
        </is>
      </c>
      <c r="B579" s="1" t="n">
        <v>46045.59850694444</v>
      </c>
      <c r="C579" s="1" t="n">
        <v>46180</v>
      </c>
      <c r="D579" t="inlineStr">
        <is>
          <t>GÄVLEBORGS LÄN</t>
        </is>
      </c>
      <c r="E579" t="inlineStr">
        <is>
          <t>BOLLNÄS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4849-2026</t>
        </is>
      </c>
      <c r="B580" s="1" t="n">
        <v>46048.62210648148</v>
      </c>
      <c r="C580" s="1" t="n">
        <v>46180</v>
      </c>
      <c r="D580" t="inlineStr">
        <is>
          <t>GÄVLEBORGS LÄN</t>
        </is>
      </c>
      <c r="E580" t="inlineStr">
        <is>
          <t>BOLLNÄS</t>
        </is>
      </c>
      <c r="F580" t="inlineStr">
        <is>
          <t>Bergvik skog väst AB</t>
        </is>
      </c>
      <c r="G580" t="n">
        <v>10.7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4908-2026</t>
        </is>
      </c>
      <c r="B581" s="1" t="n">
        <v>46048.70473379629</v>
      </c>
      <c r="C581" s="1" t="n">
        <v>46180</v>
      </c>
      <c r="D581" t="inlineStr">
        <is>
          <t>GÄVLEBORGS LÄN</t>
        </is>
      </c>
      <c r="E581" t="inlineStr">
        <is>
          <t>BOLLNÄS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4704-2026</t>
        </is>
      </c>
      <c r="B582" s="1" t="n">
        <v>46048.45103009259</v>
      </c>
      <c r="C582" s="1" t="n">
        <v>46180</v>
      </c>
      <c r="D582" t="inlineStr">
        <is>
          <t>GÄVLEBORGS LÄN</t>
        </is>
      </c>
      <c r="E582" t="inlineStr">
        <is>
          <t>BOLLNÄS</t>
        </is>
      </c>
      <c r="F582" t="inlineStr">
        <is>
          <t>Bergvik skog väst AB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4737-2026</t>
        </is>
      </c>
      <c r="B583" s="1" t="n">
        <v>46048.48995370371</v>
      </c>
      <c r="C583" s="1" t="n">
        <v>46180</v>
      </c>
      <c r="D583" t="inlineStr">
        <is>
          <t>GÄVLEBORGS LÄN</t>
        </is>
      </c>
      <c r="E583" t="inlineStr">
        <is>
          <t>BOLLNÄS</t>
        </is>
      </c>
      <c r="G583" t="n">
        <v>18.3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3146-2026</t>
        </is>
      </c>
      <c r="B584" s="1" t="n">
        <v>46041</v>
      </c>
      <c r="C584" s="1" t="n">
        <v>46180</v>
      </c>
      <c r="D584" t="inlineStr">
        <is>
          <t>GÄVLEBORGS LÄN</t>
        </is>
      </c>
      <c r="E584" t="inlineStr">
        <is>
          <t>BOLLNÄS</t>
        </is>
      </c>
      <c r="G584" t="n">
        <v>6.6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44211-2025</t>
        </is>
      </c>
      <c r="B585" s="1" t="n">
        <v>45915</v>
      </c>
      <c r="C585" s="1" t="n">
        <v>46180</v>
      </c>
      <c r="D585" t="inlineStr">
        <is>
          <t>GÄVLEBORGS LÄN</t>
        </is>
      </c>
      <c r="E585" t="inlineStr">
        <is>
          <t>BOLLNÄS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4241-2026</t>
        </is>
      </c>
      <c r="B586" s="1" t="n">
        <v>46045.27372685185</v>
      </c>
      <c r="C586" s="1" t="n">
        <v>46180</v>
      </c>
      <c r="D586" t="inlineStr">
        <is>
          <t>GÄVLEBORGS LÄN</t>
        </is>
      </c>
      <c r="E586" t="inlineStr">
        <is>
          <t>BOLLNÄS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4242-2026</t>
        </is>
      </c>
      <c r="B587" s="1" t="n">
        <v>46045.28788194444</v>
      </c>
      <c r="C587" s="1" t="n">
        <v>46180</v>
      </c>
      <c r="D587" t="inlineStr">
        <is>
          <t>GÄVLEBORGS LÄN</t>
        </is>
      </c>
      <c r="E587" t="inlineStr">
        <is>
          <t>BOLLNÄS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4245-2026</t>
        </is>
      </c>
      <c r="B588" s="1" t="n">
        <v>46045.30234953704</v>
      </c>
      <c r="C588" s="1" t="n">
        <v>46180</v>
      </c>
      <c r="D588" t="inlineStr">
        <is>
          <t>GÄVLEBORGS LÄN</t>
        </is>
      </c>
      <c r="E588" t="inlineStr">
        <is>
          <t>BOLLNÄS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44230-2025</t>
        </is>
      </c>
      <c r="B589" s="1" t="n">
        <v>45915.64261574074</v>
      </c>
      <c r="C589" s="1" t="n">
        <v>46180</v>
      </c>
      <c r="D589" t="inlineStr">
        <is>
          <t>GÄVLEBORGS LÄN</t>
        </is>
      </c>
      <c r="E589" t="inlineStr">
        <is>
          <t>BOLLNÄS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44200-2025</t>
        </is>
      </c>
      <c r="B590" s="1" t="n">
        <v>45915.62230324074</v>
      </c>
      <c r="C590" s="1" t="n">
        <v>46180</v>
      </c>
      <c r="D590" t="inlineStr">
        <is>
          <t>GÄVLEBORGS LÄN</t>
        </is>
      </c>
      <c r="E590" t="inlineStr">
        <is>
          <t>BOLLNÄS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43946-2025</t>
        </is>
      </c>
      <c r="B591" s="1" t="n">
        <v>45915.37418981481</v>
      </c>
      <c r="C591" s="1" t="n">
        <v>46180</v>
      </c>
      <c r="D591" t="inlineStr">
        <is>
          <t>GÄVLEBORGS LÄN</t>
        </is>
      </c>
      <c r="E591" t="inlineStr">
        <is>
          <t>BOLLNÄS</t>
        </is>
      </c>
      <c r="F591" t="inlineStr">
        <is>
          <t>Kyrkan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4222-2026</t>
        </is>
      </c>
      <c r="B592" s="1" t="n">
        <v>46044.84438657408</v>
      </c>
      <c r="C592" s="1" t="n">
        <v>46180</v>
      </c>
      <c r="D592" t="inlineStr">
        <is>
          <t>GÄVLEBORGS LÄN</t>
        </is>
      </c>
      <c r="E592" t="inlineStr">
        <is>
          <t>BOLLNÄS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4225-2026</t>
        </is>
      </c>
      <c r="B593" s="1" t="n">
        <v>46044.8521412037</v>
      </c>
      <c r="C593" s="1" t="n">
        <v>46180</v>
      </c>
      <c r="D593" t="inlineStr">
        <is>
          <t>GÄVLEBORGS LÄN</t>
        </is>
      </c>
      <c r="E593" t="inlineStr">
        <is>
          <t>BOLLNÄS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4261-2026</t>
        </is>
      </c>
      <c r="B594" s="1" t="n">
        <v>46045.34334490741</v>
      </c>
      <c r="C594" s="1" t="n">
        <v>46180</v>
      </c>
      <c r="D594" t="inlineStr">
        <is>
          <t>GÄVLEBORGS LÄN</t>
        </is>
      </c>
      <c r="E594" t="inlineStr">
        <is>
          <t>BOLLNÄS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4266-2026</t>
        </is>
      </c>
      <c r="B595" s="1" t="n">
        <v>46045.34702546296</v>
      </c>
      <c r="C595" s="1" t="n">
        <v>46180</v>
      </c>
      <c r="D595" t="inlineStr">
        <is>
          <t>GÄVLEBORGS LÄN</t>
        </is>
      </c>
      <c r="E595" t="inlineStr">
        <is>
          <t>BOLLNÄS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44085-2025</t>
        </is>
      </c>
      <c r="B596" s="1" t="n">
        <v>45915.55561342592</v>
      </c>
      <c r="C596" s="1" t="n">
        <v>46180</v>
      </c>
      <c r="D596" t="inlineStr">
        <is>
          <t>GÄVLEBORGS LÄN</t>
        </is>
      </c>
      <c r="E596" t="inlineStr">
        <is>
          <t>BOLLNÄS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44110-2025</t>
        </is>
      </c>
      <c r="B597" s="1" t="n">
        <v>45915.57398148148</v>
      </c>
      <c r="C597" s="1" t="n">
        <v>46180</v>
      </c>
      <c r="D597" t="inlineStr">
        <is>
          <t>GÄVLEBORGS LÄN</t>
        </is>
      </c>
      <c r="E597" t="inlineStr">
        <is>
          <t>BOLLNÄS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44116-2025</t>
        </is>
      </c>
      <c r="B598" s="1" t="n">
        <v>45915.57671296296</v>
      </c>
      <c r="C598" s="1" t="n">
        <v>46180</v>
      </c>
      <c r="D598" t="inlineStr">
        <is>
          <t>GÄVLEBORGS LÄN</t>
        </is>
      </c>
      <c r="E598" t="inlineStr">
        <is>
          <t>BOLLNÄS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44392-2025</t>
        </is>
      </c>
      <c r="B599" s="1" t="n">
        <v>45916.49335648148</v>
      </c>
      <c r="C599" s="1" t="n">
        <v>46180</v>
      </c>
      <c r="D599" t="inlineStr">
        <is>
          <t>GÄVLEBORGS LÄN</t>
        </is>
      </c>
      <c r="E599" t="inlineStr">
        <is>
          <t>BOLLNÄS</t>
        </is>
      </c>
      <c r="F599" t="inlineStr">
        <is>
          <t>Sveaskog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4273-2026</t>
        </is>
      </c>
      <c r="B600" s="1" t="n">
        <v>46045.36121527778</v>
      </c>
      <c r="C600" s="1" t="n">
        <v>46180</v>
      </c>
      <c r="D600" t="inlineStr">
        <is>
          <t>GÄVLEBORGS LÄN</t>
        </is>
      </c>
      <c r="E600" t="inlineStr">
        <is>
          <t>BOLLNÄS</t>
        </is>
      </c>
      <c r="G600" t="n">
        <v>6.1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4295-2026</t>
        </is>
      </c>
      <c r="B601" s="1" t="n">
        <v>46045</v>
      </c>
      <c r="C601" s="1" t="n">
        <v>46180</v>
      </c>
      <c r="D601" t="inlineStr">
        <is>
          <t>GÄVLEBORGS LÄN</t>
        </is>
      </c>
      <c r="E601" t="inlineStr">
        <is>
          <t>BOLLNÄS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4296-2026</t>
        </is>
      </c>
      <c r="B602" s="1" t="n">
        <v>46045.41877314815</v>
      </c>
      <c r="C602" s="1" t="n">
        <v>46180</v>
      </c>
      <c r="D602" t="inlineStr">
        <is>
          <t>GÄVLEBORGS LÄN</t>
        </is>
      </c>
      <c r="E602" t="inlineStr">
        <is>
          <t>BOLLNÄS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4243-2026</t>
        </is>
      </c>
      <c r="B603" s="1" t="n">
        <v>46045.29960648148</v>
      </c>
      <c r="C603" s="1" t="n">
        <v>46180</v>
      </c>
      <c r="D603" t="inlineStr">
        <is>
          <t>GÄVLEBORGS LÄN</t>
        </is>
      </c>
      <c r="E603" t="inlineStr">
        <is>
          <t>BOLLNÄS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4258-2026</t>
        </is>
      </c>
      <c r="B604" s="1" t="n">
        <v>46045.33723379629</v>
      </c>
      <c r="C604" s="1" t="n">
        <v>46180</v>
      </c>
      <c r="D604" t="inlineStr">
        <is>
          <t>GÄVLEBORGS LÄN</t>
        </is>
      </c>
      <c r="E604" t="inlineStr">
        <is>
          <t>BOLLNÄS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6903-2025</t>
        </is>
      </c>
      <c r="B605" s="1" t="n">
        <v>45701</v>
      </c>
      <c r="C605" s="1" t="n">
        <v>46180</v>
      </c>
      <c r="D605" t="inlineStr">
        <is>
          <t>GÄVLEBORGS LÄN</t>
        </is>
      </c>
      <c r="E605" t="inlineStr">
        <is>
          <t>BOLLNÄS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4674-2026</t>
        </is>
      </c>
      <c r="B606" s="1" t="n">
        <v>46048.42675925926</v>
      </c>
      <c r="C606" s="1" t="n">
        <v>46180</v>
      </c>
      <c r="D606" t="inlineStr">
        <is>
          <t>GÄVLEBORGS LÄN</t>
        </is>
      </c>
      <c r="E606" t="inlineStr">
        <is>
          <t>BOLLNÄS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4851-2026</t>
        </is>
      </c>
      <c r="B607" s="1" t="n">
        <v>46048.63020833334</v>
      </c>
      <c r="C607" s="1" t="n">
        <v>46180</v>
      </c>
      <c r="D607" t="inlineStr">
        <is>
          <t>GÄVLEBORGS LÄN</t>
        </is>
      </c>
      <c r="E607" t="inlineStr">
        <is>
          <t>BOLLNÄS</t>
        </is>
      </c>
      <c r="F607" t="inlineStr">
        <is>
          <t>Kyrkan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4239-2026</t>
        </is>
      </c>
      <c r="B608" s="1" t="n">
        <v>46045.25251157407</v>
      </c>
      <c r="C608" s="1" t="n">
        <v>46180</v>
      </c>
      <c r="D608" t="inlineStr">
        <is>
          <t>GÄVLEBORGS LÄN</t>
        </is>
      </c>
      <c r="E608" t="inlineStr">
        <is>
          <t>BOLLNÄS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4336-2026</t>
        </is>
      </c>
      <c r="B609" s="1" t="n">
        <v>46045.4940625</v>
      </c>
      <c r="C609" s="1" t="n">
        <v>46180</v>
      </c>
      <c r="D609" t="inlineStr">
        <is>
          <t>GÄVLEBORGS LÄN</t>
        </is>
      </c>
      <c r="E609" t="inlineStr">
        <is>
          <t>BOLLNÄS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44021-2025</t>
        </is>
      </c>
      <c r="B610" s="1" t="n">
        <v>45915</v>
      </c>
      <c r="C610" s="1" t="n">
        <v>46180</v>
      </c>
      <c r="D610" t="inlineStr">
        <is>
          <t>GÄVLEBORGS LÄN</t>
        </is>
      </c>
      <c r="E610" t="inlineStr">
        <is>
          <t>BOLLNÄS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29575-2025</t>
        </is>
      </c>
      <c r="B611" s="1" t="n">
        <v>45825.37327546296</v>
      </c>
      <c r="C611" s="1" t="n">
        <v>46180</v>
      </c>
      <c r="D611" t="inlineStr">
        <is>
          <t>GÄVLEBORGS LÄN</t>
        </is>
      </c>
      <c r="E611" t="inlineStr">
        <is>
          <t>BOLLNÄS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30455-2025</t>
        </is>
      </c>
      <c r="B612" s="1" t="n">
        <v>45827</v>
      </c>
      <c r="C612" s="1" t="n">
        <v>46180</v>
      </c>
      <c r="D612" t="inlineStr">
        <is>
          <t>GÄVLEBORGS LÄN</t>
        </is>
      </c>
      <c r="E612" t="inlineStr">
        <is>
          <t>BOLLNÄS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30292-2025</t>
        </is>
      </c>
      <c r="B613" s="1" t="n">
        <v>45827.47149305556</v>
      </c>
      <c r="C613" s="1" t="n">
        <v>46180</v>
      </c>
      <c r="D613" t="inlineStr">
        <is>
          <t>GÄVLEBORGS LÄN</t>
        </is>
      </c>
      <c r="E613" t="inlineStr">
        <is>
          <t>BOLLNÄS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43979-2025</t>
        </is>
      </c>
      <c r="B614" s="1" t="n">
        <v>45915.42203703704</v>
      </c>
      <c r="C614" s="1" t="n">
        <v>46180</v>
      </c>
      <c r="D614" t="inlineStr">
        <is>
          <t>GÄVLEBORGS LÄN</t>
        </is>
      </c>
      <c r="E614" t="inlineStr">
        <is>
          <t>BOLLNÄS</t>
        </is>
      </c>
      <c r="F614" t="inlineStr">
        <is>
          <t>Kyrkan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4390-2026</t>
        </is>
      </c>
      <c r="B615" s="1" t="n">
        <v>46045.57364583333</v>
      </c>
      <c r="C615" s="1" t="n">
        <v>46180</v>
      </c>
      <c r="D615" t="inlineStr">
        <is>
          <t>GÄVLEBORGS LÄN</t>
        </is>
      </c>
      <c r="E615" t="inlineStr">
        <is>
          <t>BOLLNÄS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4449-2026</t>
        </is>
      </c>
      <c r="B616" s="1" t="n">
        <v>46045.63962962963</v>
      </c>
      <c r="C616" s="1" t="n">
        <v>46180</v>
      </c>
      <c r="D616" t="inlineStr">
        <is>
          <t>GÄVLEBORGS LÄN</t>
        </is>
      </c>
      <c r="E616" t="inlineStr">
        <is>
          <t>BOLLNÄS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4271-2026</t>
        </is>
      </c>
      <c r="B617" s="1" t="n">
        <v>46045.35804398148</v>
      </c>
      <c r="C617" s="1" t="n">
        <v>46180</v>
      </c>
      <c r="D617" t="inlineStr">
        <is>
          <t>GÄVLEBORGS LÄN</t>
        </is>
      </c>
      <c r="E617" t="inlineStr">
        <is>
          <t>BOLLNÄS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4828-2026</t>
        </is>
      </c>
      <c r="B618" s="1" t="n">
        <v>46048.59762731481</v>
      </c>
      <c r="C618" s="1" t="n">
        <v>46180</v>
      </c>
      <c r="D618" t="inlineStr">
        <is>
          <t>GÄVLEBORGS LÄN</t>
        </is>
      </c>
      <c r="E618" t="inlineStr">
        <is>
          <t>BOLLNÄS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4288-2026</t>
        </is>
      </c>
      <c r="B619" s="1" t="n">
        <v>46045</v>
      </c>
      <c r="C619" s="1" t="n">
        <v>46180</v>
      </c>
      <c r="D619" t="inlineStr">
        <is>
          <t>GÄVLEBORGS LÄN</t>
        </is>
      </c>
      <c r="E619" t="inlineStr">
        <is>
          <t>BOLLNÄS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4326-2026</t>
        </is>
      </c>
      <c r="B620" s="1" t="n">
        <v>46045.46563657407</v>
      </c>
      <c r="C620" s="1" t="n">
        <v>46180</v>
      </c>
      <c r="D620" t="inlineStr">
        <is>
          <t>GÄVLEBORGS LÄN</t>
        </is>
      </c>
      <c r="E620" t="inlineStr">
        <is>
          <t>BOLLNÄS</t>
        </is>
      </c>
      <c r="F620" t="inlineStr">
        <is>
          <t>Kyrkan</t>
        </is>
      </c>
      <c r="G620" t="n">
        <v>15.4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30456-2025</t>
        </is>
      </c>
      <c r="B621" s="1" t="n">
        <v>45827</v>
      </c>
      <c r="C621" s="1" t="n">
        <v>46180</v>
      </c>
      <c r="D621" t="inlineStr">
        <is>
          <t>GÄVLEBORGS LÄN</t>
        </is>
      </c>
      <c r="E621" t="inlineStr">
        <is>
          <t>BOLLNÄS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4693-2026</t>
        </is>
      </c>
      <c r="B622" s="1" t="n">
        <v>46048.44677083333</v>
      </c>
      <c r="C622" s="1" t="n">
        <v>46180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54908-2025</t>
        </is>
      </c>
      <c r="B623" s="1" t="n">
        <v>45967</v>
      </c>
      <c r="C623" s="1" t="n">
        <v>46180</v>
      </c>
      <c r="D623" t="inlineStr">
        <is>
          <t>GÄVLEBORGS LÄN</t>
        </is>
      </c>
      <c r="E623" t="inlineStr">
        <is>
          <t>BOLLNÄS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5028-2026</t>
        </is>
      </c>
      <c r="B624" s="1" t="n">
        <v>46049</v>
      </c>
      <c r="C624" s="1" t="n">
        <v>46180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11.6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4916-2026</t>
        </is>
      </c>
      <c r="B625" s="1" t="n">
        <v>46048.78913194445</v>
      </c>
      <c r="C625" s="1" t="n">
        <v>46180</v>
      </c>
      <c r="D625" t="inlineStr">
        <is>
          <t>GÄVLEBORGS LÄN</t>
        </is>
      </c>
      <c r="E625" t="inlineStr">
        <is>
          <t>BOLLNÄS</t>
        </is>
      </c>
      <c r="F625" t="inlineStr">
        <is>
          <t>Kyrkan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30458-2025</t>
        </is>
      </c>
      <c r="B626" s="1" t="n">
        <v>45827</v>
      </c>
      <c r="C626" s="1" t="n">
        <v>46180</v>
      </c>
      <c r="D626" t="inlineStr">
        <is>
          <t>GÄVLEBORGS LÄN</t>
        </is>
      </c>
      <c r="E626" t="inlineStr">
        <is>
          <t>BOLLNÄS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44158-2025</t>
        </is>
      </c>
      <c r="B627" s="1" t="n">
        <v>45915</v>
      </c>
      <c r="C627" s="1" t="n">
        <v>46180</v>
      </c>
      <c r="D627" t="inlineStr">
        <is>
          <t>GÄVLEBORGS LÄN</t>
        </is>
      </c>
      <c r="E627" t="inlineStr">
        <is>
          <t>BOLLNÄS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5339-2026</t>
        </is>
      </c>
      <c r="B628" s="1" t="n">
        <v>46050</v>
      </c>
      <c r="C628" s="1" t="n">
        <v>46180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5340-2026</t>
        </is>
      </c>
      <c r="B629" s="1" t="n">
        <v>46050</v>
      </c>
      <c r="C629" s="1" t="n">
        <v>46180</v>
      </c>
      <c r="D629" t="inlineStr">
        <is>
          <t>GÄVLEBORGS LÄN</t>
        </is>
      </c>
      <c r="E629" t="inlineStr">
        <is>
          <t>BOLLNÄS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5342-2026</t>
        </is>
      </c>
      <c r="B630" s="1" t="n">
        <v>46050</v>
      </c>
      <c r="C630" s="1" t="n">
        <v>46180</v>
      </c>
      <c r="D630" t="inlineStr">
        <is>
          <t>GÄVLEBORGS LÄN</t>
        </is>
      </c>
      <c r="E630" t="inlineStr">
        <is>
          <t>BOLLNÄS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30454-2025</t>
        </is>
      </c>
      <c r="B631" s="1" t="n">
        <v>45827</v>
      </c>
      <c r="C631" s="1" t="n">
        <v>46180</v>
      </c>
      <c r="D631" t="inlineStr">
        <is>
          <t>GÄVLEBORGS LÄN</t>
        </is>
      </c>
      <c r="E631" t="inlineStr">
        <is>
          <t>BOLLNÄS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5373-2026</t>
        </is>
      </c>
      <c r="B632" s="1" t="n">
        <v>46050</v>
      </c>
      <c r="C632" s="1" t="n">
        <v>46180</v>
      </c>
      <c r="D632" t="inlineStr">
        <is>
          <t>GÄVLEBORGS LÄN</t>
        </is>
      </c>
      <c r="E632" t="inlineStr">
        <is>
          <t>BOLLNÄS</t>
        </is>
      </c>
      <c r="F632" t="inlineStr">
        <is>
          <t>Bergvik skog väst AB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44195-2025</t>
        </is>
      </c>
      <c r="B633" s="1" t="n">
        <v>45915.61612268518</v>
      </c>
      <c r="C633" s="1" t="n">
        <v>46180</v>
      </c>
      <c r="D633" t="inlineStr">
        <is>
          <t>GÄVLEBORGS LÄN</t>
        </is>
      </c>
      <c r="E633" t="inlineStr">
        <is>
          <t>BOLLNÄS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44205-2025</t>
        </is>
      </c>
      <c r="B634" s="1" t="n">
        <v>45915</v>
      </c>
      <c r="C634" s="1" t="n">
        <v>46180</v>
      </c>
      <c r="D634" t="inlineStr">
        <is>
          <t>GÄVLEBORGS LÄN</t>
        </is>
      </c>
      <c r="E634" t="inlineStr">
        <is>
          <t>BOLLNÄS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44024-2025</t>
        </is>
      </c>
      <c r="B635" s="1" t="n">
        <v>45915</v>
      </c>
      <c r="C635" s="1" t="n">
        <v>46180</v>
      </c>
      <c r="D635" t="inlineStr">
        <is>
          <t>GÄVLEBORGS LÄN</t>
        </is>
      </c>
      <c r="E635" t="inlineStr">
        <is>
          <t>BOLLNÄS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4948-2026</t>
        </is>
      </c>
      <c r="B636" s="1" t="n">
        <v>46049.26310185185</v>
      </c>
      <c r="C636" s="1" t="n">
        <v>46180</v>
      </c>
      <c r="D636" t="inlineStr">
        <is>
          <t>GÄVLEBORGS LÄN</t>
        </is>
      </c>
      <c r="E636" t="inlineStr">
        <is>
          <t>BOLLNÄS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4954-2026</t>
        </is>
      </c>
      <c r="B637" s="1" t="n">
        <v>46049.28568287037</v>
      </c>
      <c r="C637" s="1" t="n">
        <v>46180</v>
      </c>
      <c r="D637" t="inlineStr">
        <is>
          <t>GÄVLEBORGS LÄN</t>
        </is>
      </c>
      <c r="E637" t="inlineStr">
        <is>
          <t>BOLLNÄS</t>
        </is>
      </c>
      <c r="G637" t="n">
        <v>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4955-2026</t>
        </is>
      </c>
      <c r="B638" s="1" t="n">
        <v>46049.2902662037</v>
      </c>
      <c r="C638" s="1" t="n">
        <v>46180</v>
      </c>
      <c r="D638" t="inlineStr">
        <is>
          <t>GÄVLEBORGS LÄN</t>
        </is>
      </c>
      <c r="E638" t="inlineStr">
        <is>
          <t>BOLLNÄS</t>
        </is>
      </c>
      <c r="G638" t="n">
        <v>7.1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4958-2026</t>
        </is>
      </c>
      <c r="B639" s="1" t="n">
        <v>46049.30309027778</v>
      </c>
      <c r="C639" s="1" t="n">
        <v>46180</v>
      </c>
      <c r="D639" t="inlineStr">
        <is>
          <t>GÄVLEBORGS LÄN</t>
        </is>
      </c>
      <c r="E639" t="inlineStr">
        <is>
          <t>BOLLNÄS</t>
        </is>
      </c>
      <c r="F639" t="inlineStr">
        <is>
          <t>Kyrkan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4976-2026</t>
        </is>
      </c>
      <c r="B640" s="1" t="n">
        <v>46049.36459490741</v>
      </c>
      <c r="C640" s="1" t="n">
        <v>46180</v>
      </c>
      <c r="D640" t="inlineStr">
        <is>
          <t>GÄVLEBORGS LÄN</t>
        </is>
      </c>
      <c r="E640" t="inlineStr">
        <is>
          <t>BOLLNÄS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4986-2026</t>
        </is>
      </c>
      <c r="B641" s="1" t="n">
        <v>46049.38732638889</v>
      </c>
      <c r="C641" s="1" t="n">
        <v>46180</v>
      </c>
      <c r="D641" t="inlineStr">
        <is>
          <t>GÄVLEBORGS LÄN</t>
        </is>
      </c>
      <c r="E641" t="inlineStr">
        <is>
          <t>BOLLNÄS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5151-2026</t>
        </is>
      </c>
      <c r="B642" s="1" t="n">
        <v>46049.61417824074</v>
      </c>
      <c r="C642" s="1" t="n">
        <v>46180</v>
      </c>
      <c r="D642" t="inlineStr">
        <is>
          <t>GÄVLEBORGS LÄN</t>
        </is>
      </c>
      <c r="E642" t="inlineStr">
        <is>
          <t>BOLLNÄS</t>
        </is>
      </c>
      <c r="F642" t="inlineStr">
        <is>
          <t>Bergvik skog väst AB</t>
        </is>
      </c>
      <c r="G642" t="n">
        <v>17.8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5237-2026</t>
        </is>
      </c>
      <c r="B643" s="1" t="n">
        <v>46049.8446412037</v>
      </c>
      <c r="C643" s="1" t="n">
        <v>46180</v>
      </c>
      <c r="D643" t="inlineStr">
        <is>
          <t>GÄVLEBORGS LÄN</t>
        </is>
      </c>
      <c r="E643" t="inlineStr">
        <is>
          <t>BOLLNÄS</t>
        </is>
      </c>
      <c r="F643" t="inlineStr">
        <is>
          <t>Kyrkan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4944-2026</t>
        </is>
      </c>
      <c r="B644" s="1" t="n">
        <v>46049.24228009259</v>
      </c>
      <c r="C644" s="1" t="n">
        <v>46180</v>
      </c>
      <c r="D644" t="inlineStr">
        <is>
          <t>GÄVLEBORGS LÄN</t>
        </is>
      </c>
      <c r="E644" t="inlineStr">
        <is>
          <t>BOLLNÄS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4947-2026</t>
        </is>
      </c>
      <c r="B645" s="1" t="n">
        <v>46049.26045138889</v>
      </c>
      <c r="C645" s="1" t="n">
        <v>46180</v>
      </c>
      <c r="D645" t="inlineStr">
        <is>
          <t>GÄVLEBORGS LÄN</t>
        </is>
      </c>
      <c r="E645" t="inlineStr">
        <is>
          <t>BOLLNÄS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4950-2026</t>
        </is>
      </c>
      <c r="B646" s="1" t="n">
        <v>46049.27291666667</v>
      </c>
      <c r="C646" s="1" t="n">
        <v>46180</v>
      </c>
      <c r="D646" t="inlineStr">
        <is>
          <t>GÄVLEBORGS LÄN</t>
        </is>
      </c>
      <c r="E646" t="inlineStr">
        <is>
          <t>BOLLNÄS</t>
        </is>
      </c>
      <c r="G646" t="n">
        <v>7.9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4952-2026</t>
        </is>
      </c>
      <c r="B647" s="1" t="n">
        <v>46049.28234953704</v>
      </c>
      <c r="C647" s="1" t="n">
        <v>46180</v>
      </c>
      <c r="D647" t="inlineStr">
        <is>
          <t>GÄVLEBORGS LÄN</t>
        </is>
      </c>
      <c r="E647" t="inlineStr">
        <is>
          <t>BOLLNÄS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4953-2026</t>
        </is>
      </c>
      <c r="B648" s="1" t="n">
        <v>46049.28527777778</v>
      </c>
      <c r="C648" s="1" t="n">
        <v>46180</v>
      </c>
      <c r="D648" t="inlineStr">
        <is>
          <t>GÄVLEBORGS LÄN</t>
        </is>
      </c>
      <c r="E648" t="inlineStr">
        <is>
          <t>BOLLNÄS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5149-2026</t>
        </is>
      </c>
      <c r="B649" s="1" t="n">
        <v>46049.61362268519</v>
      </c>
      <c r="C649" s="1" t="n">
        <v>46180</v>
      </c>
      <c r="D649" t="inlineStr">
        <is>
          <t>GÄVLEBORGS LÄN</t>
        </is>
      </c>
      <c r="E649" t="inlineStr">
        <is>
          <t>BOLLNÄS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4943-2026</t>
        </is>
      </c>
      <c r="B650" s="1" t="n">
        <v>46049.23905092593</v>
      </c>
      <c r="C650" s="1" t="n">
        <v>46180</v>
      </c>
      <c r="D650" t="inlineStr">
        <is>
          <t>GÄVLEBORGS LÄN</t>
        </is>
      </c>
      <c r="E650" t="inlineStr">
        <is>
          <t>BOLLNÄS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5302-2026</t>
        </is>
      </c>
      <c r="B651" s="1" t="n">
        <v>46050</v>
      </c>
      <c r="C651" s="1" t="n">
        <v>46180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5311-2026</t>
        </is>
      </c>
      <c r="B652" s="1" t="n">
        <v>46050</v>
      </c>
      <c r="C652" s="1" t="n">
        <v>46180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4945-2026</t>
        </is>
      </c>
      <c r="B653" s="1" t="n">
        <v>46049.2528587963</v>
      </c>
      <c r="C653" s="1" t="n">
        <v>46180</v>
      </c>
      <c r="D653" t="inlineStr">
        <is>
          <t>GÄVLEBORGS LÄN</t>
        </is>
      </c>
      <c r="E653" t="inlineStr">
        <is>
          <t>BOLLNÄS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4957-2026</t>
        </is>
      </c>
      <c r="B654" s="1" t="n">
        <v>46049.29265046296</v>
      </c>
      <c r="C654" s="1" t="n">
        <v>46180</v>
      </c>
      <c r="D654" t="inlineStr">
        <is>
          <t>GÄVLEBORGS LÄN</t>
        </is>
      </c>
      <c r="E654" t="inlineStr">
        <is>
          <t>BOLLNÄS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4960-2026</t>
        </is>
      </c>
      <c r="B655" s="1" t="n">
        <v>46049.30726851852</v>
      </c>
      <c r="C655" s="1" t="n">
        <v>46180</v>
      </c>
      <c r="D655" t="inlineStr">
        <is>
          <t>GÄVLEBORGS LÄN</t>
        </is>
      </c>
      <c r="E655" t="inlineStr">
        <is>
          <t>BOLLNÄS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4964-2026</t>
        </is>
      </c>
      <c r="B656" s="1" t="n">
        <v>46049.32744212963</v>
      </c>
      <c r="C656" s="1" t="n">
        <v>46180</v>
      </c>
      <c r="D656" t="inlineStr">
        <is>
          <t>GÄVLEBORGS LÄN</t>
        </is>
      </c>
      <c r="E656" t="inlineStr">
        <is>
          <t>BOLLNÄS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5036-2026</t>
        </is>
      </c>
      <c r="B657" s="1" t="n">
        <v>46049</v>
      </c>
      <c r="C657" s="1" t="n">
        <v>46180</v>
      </c>
      <c r="D657" t="inlineStr">
        <is>
          <t>GÄVLEBORGS LÄN</t>
        </is>
      </c>
      <c r="E657" t="inlineStr">
        <is>
          <t>BOLLNÄS</t>
        </is>
      </c>
      <c r="F657" t="inlineStr">
        <is>
          <t>Bergvik skog väst AB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5042-2026</t>
        </is>
      </c>
      <c r="B658" s="1" t="n">
        <v>46049.4659837963</v>
      </c>
      <c r="C658" s="1" t="n">
        <v>46180</v>
      </c>
      <c r="D658" t="inlineStr">
        <is>
          <t>GÄVLEBORGS LÄN</t>
        </is>
      </c>
      <c r="E658" t="inlineStr">
        <is>
          <t>BOLLNÄS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5060-2026</t>
        </is>
      </c>
      <c r="B659" s="1" t="n">
        <v>46049.48465277778</v>
      </c>
      <c r="C659" s="1" t="n">
        <v>46180</v>
      </c>
      <c r="D659" t="inlineStr">
        <is>
          <t>GÄVLEBORGS LÄN</t>
        </is>
      </c>
      <c r="E659" t="inlineStr">
        <is>
          <t>BOLLNÄS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5083-2026</t>
        </is>
      </c>
      <c r="B660" s="1" t="n">
        <v>46049</v>
      </c>
      <c r="C660" s="1" t="n">
        <v>46180</v>
      </c>
      <c r="D660" t="inlineStr">
        <is>
          <t>GÄVLEBORGS LÄN</t>
        </is>
      </c>
      <c r="E660" t="inlineStr">
        <is>
          <t>BOLLNÄS</t>
        </is>
      </c>
      <c r="F660" t="inlineStr">
        <is>
          <t>Bergvik skog väst AB</t>
        </is>
      </c>
      <c r="G660" t="n">
        <v>31.2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4956-2026</t>
        </is>
      </c>
      <c r="B661" s="1" t="n">
        <v>46049.2919212963</v>
      </c>
      <c r="C661" s="1" t="n">
        <v>46180</v>
      </c>
      <c r="D661" t="inlineStr">
        <is>
          <t>GÄVLEBORGS LÄN</t>
        </is>
      </c>
      <c r="E661" t="inlineStr">
        <is>
          <t>BOLLNÄS</t>
        </is>
      </c>
      <c r="F661" t="inlineStr">
        <is>
          <t>Kyrkan</t>
        </is>
      </c>
      <c r="G661" t="n">
        <v>9.1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5458-2026</t>
        </is>
      </c>
      <c r="B662" s="1" t="n">
        <v>46050.58952546296</v>
      </c>
      <c r="C662" s="1" t="n">
        <v>46180</v>
      </c>
      <c r="D662" t="inlineStr">
        <is>
          <t>GÄVLEBORGS LÄN</t>
        </is>
      </c>
      <c r="E662" t="inlineStr">
        <is>
          <t>BOLLNÄS</t>
        </is>
      </c>
      <c r="F662" t="inlineStr">
        <is>
          <t>Bergvik skog väst AB</t>
        </is>
      </c>
      <c r="G662" t="n">
        <v>28.3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5154-2026</t>
        </is>
      </c>
      <c r="B663" s="1" t="n">
        <v>46049.61527777778</v>
      </c>
      <c r="C663" s="1" t="n">
        <v>46180</v>
      </c>
      <c r="D663" t="inlineStr">
        <is>
          <t>GÄVLEBORGS LÄN</t>
        </is>
      </c>
      <c r="E663" t="inlineStr">
        <is>
          <t>BOLLNÄS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5208-2026</t>
        </is>
      </c>
      <c r="B664" s="1" t="n">
        <v>46049.68070601852</v>
      </c>
      <c r="C664" s="1" t="n">
        <v>46180</v>
      </c>
      <c r="D664" t="inlineStr">
        <is>
          <t>GÄVLEBORGS LÄN</t>
        </is>
      </c>
      <c r="E664" t="inlineStr">
        <is>
          <t>BOLLNÄS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44136-2025</t>
        </is>
      </c>
      <c r="B665" s="1" t="n">
        <v>45915.58728009259</v>
      </c>
      <c r="C665" s="1" t="n">
        <v>46180</v>
      </c>
      <c r="D665" t="inlineStr">
        <is>
          <t>GÄVLEBORGS LÄN</t>
        </is>
      </c>
      <c r="E665" t="inlineStr">
        <is>
          <t>BOLLNÄS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5396-2026</t>
        </is>
      </c>
      <c r="B666" s="1" t="n">
        <v>46050</v>
      </c>
      <c r="C666" s="1" t="n">
        <v>46180</v>
      </c>
      <c r="D666" t="inlineStr">
        <is>
          <t>GÄVLEBORGS LÄN</t>
        </is>
      </c>
      <c r="E666" t="inlineStr">
        <is>
          <t>BOLLNÄS</t>
        </is>
      </c>
      <c r="F666" t="inlineStr">
        <is>
          <t>Bergvik skog väst AB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5419-2026</t>
        </is>
      </c>
      <c r="B667" s="1" t="n">
        <v>46050</v>
      </c>
      <c r="C667" s="1" t="n">
        <v>46180</v>
      </c>
      <c r="D667" t="inlineStr">
        <is>
          <t>GÄVLEBORGS LÄN</t>
        </is>
      </c>
      <c r="E667" t="inlineStr">
        <is>
          <t>BOLLNÄS</t>
        </is>
      </c>
      <c r="F667" t="inlineStr">
        <is>
          <t>Bergvik skog väst AB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5515-2026</t>
        </is>
      </c>
      <c r="B668" s="1" t="n">
        <v>46050</v>
      </c>
      <c r="C668" s="1" t="n">
        <v>46180</v>
      </c>
      <c r="D668" t="inlineStr">
        <is>
          <t>GÄVLEBORGS LÄN</t>
        </is>
      </c>
      <c r="E668" t="inlineStr">
        <is>
          <t>BOLLNÄS</t>
        </is>
      </c>
      <c r="F668" t="inlineStr">
        <is>
          <t>Bergvik skog väst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5443-2026</t>
        </is>
      </c>
      <c r="B669" s="1" t="n">
        <v>46050</v>
      </c>
      <c r="C669" s="1" t="n">
        <v>46180</v>
      </c>
      <c r="D669" t="inlineStr">
        <is>
          <t>GÄVLEBORGS LÄN</t>
        </is>
      </c>
      <c r="E669" t="inlineStr">
        <is>
          <t>BOLLNÄS</t>
        </is>
      </c>
      <c r="F669" t="inlineStr">
        <is>
          <t>Bergvik skog väst AB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5126-2026</t>
        </is>
      </c>
      <c r="B670" s="1" t="n">
        <v>46049</v>
      </c>
      <c r="C670" s="1" t="n">
        <v>46180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5527-2026</t>
        </is>
      </c>
      <c r="B671" s="1" t="n">
        <v>46050.65401620371</v>
      </c>
      <c r="C671" s="1" t="n">
        <v>46180</v>
      </c>
      <c r="D671" t="inlineStr">
        <is>
          <t>GÄVLEBORGS LÄN</t>
        </is>
      </c>
      <c r="E671" t="inlineStr">
        <is>
          <t>BOLLNÄS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5355-2026</t>
        </is>
      </c>
      <c r="B672" s="1" t="n">
        <v>46050.44456018518</v>
      </c>
      <c r="C672" s="1" t="n">
        <v>46180</v>
      </c>
      <c r="D672" t="inlineStr">
        <is>
          <t>GÄVLEBORGS LÄN</t>
        </is>
      </c>
      <c r="E672" t="inlineStr">
        <is>
          <t>BOLLNÄS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5367-2026</t>
        </is>
      </c>
      <c r="B673" s="1" t="n">
        <v>46050</v>
      </c>
      <c r="C673" s="1" t="n">
        <v>46180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5338-2026</t>
        </is>
      </c>
      <c r="B674" s="1" t="n">
        <v>46050</v>
      </c>
      <c r="C674" s="1" t="n">
        <v>46180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5346-2026</t>
        </is>
      </c>
      <c r="B675" s="1" t="n">
        <v>46050</v>
      </c>
      <c r="C675" s="1" t="n">
        <v>46180</v>
      </c>
      <c r="D675" t="inlineStr">
        <is>
          <t>GÄVLEBORGS LÄN</t>
        </is>
      </c>
      <c r="E675" t="inlineStr">
        <is>
          <t>BOLLNÄS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5035-2026</t>
        </is>
      </c>
      <c r="B676" s="1" t="n">
        <v>46049</v>
      </c>
      <c r="C676" s="1" t="n">
        <v>46180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20.5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5085-2026</t>
        </is>
      </c>
      <c r="B677" s="1" t="n">
        <v>46049</v>
      </c>
      <c r="C677" s="1" t="n">
        <v>46180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5086-2026</t>
        </is>
      </c>
      <c r="B678" s="1" t="n">
        <v>46049</v>
      </c>
      <c r="C678" s="1" t="n">
        <v>46180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4966-2026</t>
        </is>
      </c>
      <c r="B679" s="1" t="n">
        <v>46049.33083333333</v>
      </c>
      <c r="C679" s="1" t="n">
        <v>46180</v>
      </c>
      <c r="D679" t="inlineStr">
        <is>
          <t>GÄVLEBORGS LÄN</t>
        </is>
      </c>
      <c r="E679" t="inlineStr">
        <is>
          <t>BOLLNÄS</t>
        </is>
      </c>
      <c r="G679" t="n">
        <v>22.3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5440-2026</t>
        </is>
      </c>
      <c r="B680" s="1" t="n">
        <v>46050</v>
      </c>
      <c r="C680" s="1" t="n">
        <v>46180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5047-2026</t>
        </is>
      </c>
      <c r="B681" s="1" t="n">
        <v>46049.46917824074</v>
      </c>
      <c r="C681" s="1" t="n">
        <v>46180</v>
      </c>
      <c r="D681" t="inlineStr">
        <is>
          <t>GÄVLEBORGS LÄN</t>
        </is>
      </c>
      <c r="E681" t="inlineStr">
        <is>
          <t>BOLLNÄS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5098-2026</t>
        </is>
      </c>
      <c r="B682" s="1" t="n">
        <v>46049</v>
      </c>
      <c r="C682" s="1" t="n">
        <v>46180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5147-2026</t>
        </is>
      </c>
      <c r="B683" s="1" t="n">
        <v>46049.61094907407</v>
      </c>
      <c r="C683" s="1" t="n">
        <v>46180</v>
      </c>
      <c r="D683" t="inlineStr">
        <is>
          <t>GÄVLEBORGS LÄN</t>
        </is>
      </c>
      <c r="E683" t="inlineStr">
        <is>
          <t>BOLLNÄS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5262-2026</t>
        </is>
      </c>
      <c r="B684" s="1" t="n">
        <v>46050.30271990741</v>
      </c>
      <c r="C684" s="1" t="n">
        <v>46180</v>
      </c>
      <c r="D684" t="inlineStr">
        <is>
          <t>GÄVLEBORGS LÄN</t>
        </is>
      </c>
      <c r="E684" t="inlineStr">
        <is>
          <t>BOLLNÄS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5522-2026</t>
        </is>
      </c>
      <c r="B685" s="1" t="n">
        <v>46050.64880787037</v>
      </c>
      <c r="C685" s="1" t="n">
        <v>46180</v>
      </c>
      <c r="D685" t="inlineStr">
        <is>
          <t>GÄVLEBORGS LÄN</t>
        </is>
      </c>
      <c r="E685" t="inlineStr">
        <is>
          <t>BOLLNÄS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5074-2026</t>
        </is>
      </c>
      <c r="B686" s="1" t="n">
        <v>46049</v>
      </c>
      <c r="C686" s="1" t="n">
        <v>46180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5054-2026</t>
        </is>
      </c>
      <c r="B687" s="1" t="n">
        <v>46049.47399305556</v>
      </c>
      <c r="C687" s="1" t="n">
        <v>46180</v>
      </c>
      <c r="D687" t="inlineStr">
        <is>
          <t>GÄVLEBORGS LÄN</t>
        </is>
      </c>
      <c r="E687" t="inlineStr">
        <is>
          <t>BOLLNÄS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5137-2026</t>
        </is>
      </c>
      <c r="B688" s="1" t="n">
        <v>46049</v>
      </c>
      <c r="C688" s="1" t="n">
        <v>46180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5161-2026</t>
        </is>
      </c>
      <c r="B689" s="1" t="n">
        <v>46049.62087962963</v>
      </c>
      <c r="C689" s="1" t="n">
        <v>46180</v>
      </c>
      <c r="D689" t="inlineStr">
        <is>
          <t>GÄVLEBORGS LÄN</t>
        </is>
      </c>
      <c r="E689" t="inlineStr">
        <is>
          <t>BOLLNÄS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5372-2026</t>
        </is>
      </c>
      <c r="B690" s="1" t="n">
        <v>46050</v>
      </c>
      <c r="C690" s="1" t="n">
        <v>46180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2993-2026</t>
        </is>
      </c>
      <c r="B691" s="1" t="n">
        <v>46038</v>
      </c>
      <c r="C691" s="1" t="n">
        <v>46180</v>
      </c>
      <c r="D691" t="inlineStr">
        <is>
          <t>GÄVLEBORGS LÄN</t>
        </is>
      </c>
      <c r="E691" t="inlineStr">
        <is>
          <t>BOLLNÄS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5571-2026</t>
        </is>
      </c>
      <c r="B692" s="1" t="n">
        <v>46050</v>
      </c>
      <c r="C692" s="1" t="n">
        <v>46180</v>
      </c>
      <c r="D692" t="inlineStr">
        <is>
          <t>GÄVLEBORGS LÄN</t>
        </is>
      </c>
      <c r="E692" t="inlineStr">
        <is>
          <t>BOLLNÄS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5267-2026</t>
        </is>
      </c>
      <c r="B693" s="1" t="n">
        <v>46050.31341435185</v>
      </c>
      <c r="C693" s="1" t="n">
        <v>46180</v>
      </c>
      <c r="D693" t="inlineStr">
        <is>
          <t>GÄVLEBORGS LÄN</t>
        </is>
      </c>
      <c r="E693" t="inlineStr">
        <is>
          <t>BOLLNÄS</t>
        </is>
      </c>
      <c r="F693" t="inlineStr">
        <is>
          <t>Kommuner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5277-2026</t>
        </is>
      </c>
      <c r="B694" s="1" t="n">
        <v>46050</v>
      </c>
      <c r="C694" s="1" t="n">
        <v>46180</v>
      </c>
      <c r="D694" t="inlineStr">
        <is>
          <t>GÄVLEBORGS LÄN</t>
        </is>
      </c>
      <c r="E694" t="inlineStr">
        <is>
          <t>BOLLNÄS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5519-2026</t>
        </is>
      </c>
      <c r="B695" s="1" t="n">
        <v>46050</v>
      </c>
      <c r="C695" s="1" t="n">
        <v>46180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5551-2026</t>
        </is>
      </c>
      <c r="B696" s="1" t="n">
        <v>46050.72208333333</v>
      </c>
      <c r="C696" s="1" t="n">
        <v>46180</v>
      </c>
      <c r="D696" t="inlineStr">
        <is>
          <t>GÄVLEBORGS LÄN</t>
        </is>
      </c>
      <c r="E696" t="inlineStr">
        <is>
          <t>BOLLNÄS</t>
        </is>
      </c>
      <c r="F696" t="inlineStr">
        <is>
          <t>Kyrkan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30749-2025</t>
        </is>
      </c>
      <c r="B697" s="1" t="n">
        <v>45831.58878472223</v>
      </c>
      <c r="C697" s="1" t="n">
        <v>46180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10.1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43384-2024</t>
        </is>
      </c>
      <c r="B698" s="1" t="n">
        <v>45568.5949537037</v>
      </c>
      <c r="C698" s="1" t="n">
        <v>46180</v>
      </c>
      <c r="D698" t="inlineStr">
        <is>
          <t>GÄVLEBORGS LÄN</t>
        </is>
      </c>
      <c r="E698" t="inlineStr">
        <is>
          <t>BOLLNÄS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5449-2026</t>
        </is>
      </c>
      <c r="B699" s="1" t="n">
        <v>46050</v>
      </c>
      <c r="C699" s="1" t="n">
        <v>46180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5356-2026</t>
        </is>
      </c>
      <c r="B700" s="1" t="n">
        <v>46050</v>
      </c>
      <c r="C700" s="1" t="n">
        <v>46180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5364-2026</t>
        </is>
      </c>
      <c r="B701" s="1" t="n">
        <v>46050</v>
      </c>
      <c r="C701" s="1" t="n">
        <v>46180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5365-2026</t>
        </is>
      </c>
      <c r="B702" s="1" t="n">
        <v>46050</v>
      </c>
      <c r="C702" s="1" t="n">
        <v>46180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5255-2026</t>
        </is>
      </c>
      <c r="B703" s="1" t="n">
        <v>46050.2746875</v>
      </c>
      <c r="C703" s="1" t="n">
        <v>46180</v>
      </c>
      <c r="D703" t="inlineStr">
        <is>
          <t>GÄVLEBORGS LÄN</t>
        </is>
      </c>
      <c r="E703" t="inlineStr">
        <is>
          <t>BOLLNÄS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5261-2026</t>
        </is>
      </c>
      <c r="B704" s="1" t="n">
        <v>46050.30144675926</v>
      </c>
      <c r="C704" s="1" t="n">
        <v>46180</v>
      </c>
      <c r="D704" t="inlineStr">
        <is>
          <t>GÄVLEBORGS LÄN</t>
        </is>
      </c>
      <c r="E704" t="inlineStr">
        <is>
          <t>BOLLNÄS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5286-2026</t>
        </is>
      </c>
      <c r="B705" s="1" t="n">
        <v>46050</v>
      </c>
      <c r="C705" s="1" t="n">
        <v>46180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5056-2026</t>
        </is>
      </c>
      <c r="B706" s="1" t="n">
        <v>46049.47729166667</v>
      </c>
      <c r="C706" s="1" t="n">
        <v>46180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5170-2026</t>
        </is>
      </c>
      <c r="B707" s="1" t="n">
        <v>46049</v>
      </c>
      <c r="C707" s="1" t="n">
        <v>46180</v>
      </c>
      <c r="D707" t="inlineStr">
        <is>
          <t>GÄVLEBORGS LÄN</t>
        </is>
      </c>
      <c r="E707" t="inlineStr">
        <is>
          <t>BOLLNÄS</t>
        </is>
      </c>
      <c r="G707" t="n">
        <v>8.1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6063-2026</t>
        </is>
      </c>
      <c r="B708" s="1" t="n">
        <v>46052.64888888889</v>
      </c>
      <c r="C708" s="1" t="n">
        <v>46180</v>
      </c>
      <c r="D708" t="inlineStr">
        <is>
          <t>GÄVLEBORGS LÄN</t>
        </is>
      </c>
      <c r="E708" t="inlineStr">
        <is>
          <t>BOLLNÄS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6064-2026</t>
        </is>
      </c>
      <c r="B709" s="1" t="n">
        <v>46052.64956018519</v>
      </c>
      <c r="C709" s="1" t="n">
        <v>46180</v>
      </c>
      <c r="D709" t="inlineStr">
        <is>
          <t>GÄVLEBORGS LÄN</t>
        </is>
      </c>
      <c r="E709" t="inlineStr">
        <is>
          <t>BOLLNÄS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5968-2026</t>
        </is>
      </c>
      <c r="B710" s="1" t="n">
        <v>46052.54215277778</v>
      </c>
      <c r="C710" s="1" t="n">
        <v>46180</v>
      </c>
      <c r="D710" t="inlineStr">
        <is>
          <t>GÄVLEBORGS LÄN</t>
        </is>
      </c>
      <c r="E710" t="inlineStr">
        <is>
          <t>BOLLNÄS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6009-2026</t>
        </is>
      </c>
      <c r="B711" s="1" t="n">
        <v>46052.59601851852</v>
      </c>
      <c r="C711" s="1" t="n">
        <v>46180</v>
      </c>
      <c r="D711" t="inlineStr">
        <is>
          <t>GÄVLEBORGS LÄN</t>
        </is>
      </c>
      <c r="E711" t="inlineStr">
        <is>
          <t>BOLLNÄS</t>
        </is>
      </c>
      <c r="G711" t="n">
        <v>9.800000000000001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6017-2026</t>
        </is>
      </c>
      <c r="B712" s="1" t="n">
        <v>46052.60104166667</v>
      </c>
      <c r="C712" s="1" t="n">
        <v>46180</v>
      </c>
      <c r="D712" t="inlineStr">
        <is>
          <t>GÄVLEBORGS LÄN</t>
        </is>
      </c>
      <c r="E712" t="inlineStr">
        <is>
          <t>BOLLNÄS</t>
        </is>
      </c>
      <c r="G712" t="n">
        <v>28.2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5660-2026</t>
        </is>
      </c>
      <c r="B713" s="1" t="n">
        <v>46051</v>
      </c>
      <c r="C713" s="1" t="n">
        <v>46180</v>
      </c>
      <c r="D713" t="inlineStr">
        <is>
          <t>GÄVLEBORGS LÄN</t>
        </is>
      </c>
      <c r="E713" t="inlineStr">
        <is>
          <t>BOLLNÄS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5776-2026</t>
        </is>
      </c>
      <c r="B714" s="1" t="n">
        <v>46051.65353009259</v>
      </c>
      <c r="C714" s="1" t="n">
        <v>46180</v>
      </c>
      <c r="D714" t="inlineStr">
        <is>
          <t>GÄVLEBORGS LÄN</t>
        </is>
      </c>
      <c r="E714" t="inlineStr">
        <is>
          <t>BOLLNÄS</t>
        </is>
      </c>
      <c r="G714" t="n">
        <v>15.9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5807-2026</t>
        </is>
      </c>
      <c r="B715" s="1" t="n">
        <v>46051.82032407408</v>
      </c>
      <c r="C715" s="1" t="n">
        <v>46180</v>
      </c>
      <c r="D715" t="inlineStr">
        <is>
          <t>GÄVLEBORGS LÄN</t>
        </is>
      </c>
      <c r="E715" t="inlineStr">
        <is>
          <t>BOLLNÄS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5830-2026</t>
        </is>
      </c>
      <c r="B716" s="1" t="n">
        <v>46052.32393518519</v>
      </c>
      <c r="C716" s="1" t="n">
        <v>46180</v>
      </c>
      <c r="D716" t="inlineStr">
        <is>
          <t>GÄVLEBORGS LÄN</t>
        </is>
      </c>
      <c r="E716" t="inlineStr">
        <is>
          <t>BOLLNÄS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5856-2026</t>
        </is>
      </c>
      <c r="B717" s="1" t="n">
        <v>46052.36490740741</v>
      </c>
      <c r="C717" s="1" t="n">
        <v>46180</v>
      </c>
      <c r="D717" t="inlineStr">
        <is>
          <t>GÄVLEBORGS LÄN</t>
        </is>
      </c>
      <c r="E717" t="inlineStr">
        <is>
          <t>BOLLNÄS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6056-2026</t>
        </is>
      </c>
      <c r="B718" s="1" t="n">
        <v>46052.63952546296</v>
      </c>
      <c r="C718" s="1" t="n">
        <v>46180</v>
      </c>
      <c r="D718" t="inlineStr">
        <is>
          <t>GÄVLEBORGS LÄN</t>
        </is>
      </c>
      <c r="E718" t="inlineStr">
        <is>
          <t>BOLLNÄS</t>
        </is>
      </c>
      <c r="G718" t="n">
        <v>14.6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29930-2025</t>
        </is>
      </c>
      <c r="B719" s="1" t="n">
        <v>45826.43805555555</v>
      </c>
      <c r="C719" s="1" t="n">
        <v>46180</v>
      </c>
      <c r="D719" t="inlineStr">
        <is>
          <t>GÄVLEBORGS LÄN</t>
        </is>
      </c>
      <c r="E719" t="inlineStr">
        <is>
          <t>BOLLNÄS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6058-2026</t>
        </is>
      </c>
      <c r="B720" s="1" t="n">
        <v>46052.64144675926</v>
      </c>
      <c r="C720" s="1" t="n">
        <v>46180</v>
      </c>
      <c r="D720" t="inlineStr">
        <is>
          <t>GÄVLEBORGS LÄN</t>
        </is>
      </c>
      <c r="E720" t="inlineStr">
        <is>
          <t>BOLLNÄS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6000-2026</t>
        </is>
      </c>
      <c r="B721" s="1" t="n">
        <v>46052.5828125</v>
      </c>
      <c r="C721" s="1" t="n">
        <v>46180</v>
      </c>
      <c r="D721" t="inlineStr">
        <is>
          <t>GÄVLEBORGS LÄN</t>
        </is>
      </c>
      <c r="E721" t="inlineStr">
        <is>
          <t>BOLLNÄS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6050-2026</t>
        </is>
      </c>
      <c r="B722" s="1" t="n">
        <v>46052.63167824074</v>
      </c>
      <c r="C722" s="1" t="n">
        <v>46180</v>
      </c>
      <c r="D722" t="inlineStr">
        <is>
          <t>GÄVLEBORGS LÄN</t>
        </is>
      </c>
      <c r="E722" t="inlineStr">
        <is>
          <t>BOLLNÄS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6087-2026</t>
        </is>
      </c>
      <c r="B723" s="1" t="n">
        <v>46052.70216435185</v>
      </c>
      <c r="C723" s="1" t="n">
        <v>46180</v>
      </c>
      <c r="D723" t="inlineStr">
        <is>
          <t>GÄVLEBORGS LÄN</t>
        </is>
      </c>
      <c r="E723" t="inlineStr">
        <is>
          <t>BOLLNÄS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44643-2025</t>
        </is>
      </c>
      <c r="B724" s="1" t="n">
        <v>45917</v>
      </c>
      <c r="C724" s="1" t="n">
        <v>46180</v>
      </c>
      <c r="D724" t="inlineStr">
        <is>
          <t>GÄVLEBORGS LÄN</t>
        </is>
      </c>
      <c r="E724" t="inlineStr">
        <is>
          <t>BOLLNÄS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30650-2025</t>
        </is>
      </c>
      <c r="B725" s="1" t="n">
        <v>45831.50133101852</v>
      </c>
      <c r="C725" s="1" t="n">
        <v>46180</v>
      </c>
      <c r="D725" t="inlineStr">
        <is>
          <t>GÄVLEBORGS LÄN</t>
        </is>
      </c>
      <c r="E725" t="inlineStr">
        <is>
          <t>BOLLNÄS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21061-2023</t>
        </is>
      </c>
      <c r="B726" s="1" t="n">
        <v>45061</v>
      </c>
      <c r="C726" s="1" t="n">
        <v>46180</v>
      </c>
      <c r="D726" t="inlineStr">
        <is>
          <t>GÄVLEBORGS LÄN</t>
        </is>
      </c>
      <c r="E726" t="inlineStr">
        <is>
          <t>BOLLNÄS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5692-2026</t>
        </is>
      </c>
      <c r="B727" s="1" t="n">
        <v>46051</v>
      </c>
      <c r="C727" s="1" t="n">
        <v>46180</v>
      </c>
      <c r="D727" t="inlineStr">
        <is>
          <t>GÄVLEBORGS LÄN</t>
        </is>
      </c>
      <c r="E727" t="inlineStr">
        <is>
          <t>BOLLNÄS</t>
        </is>
      </c>
      <c r="G727" t="n">
        <v>18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5585-2026</t>
        </is>
      </c>
      <c r="B728" s="1" t="n">
        <v>46051</v>
      </c>
      <c r="C728" s="1" t="n">
        <v>46180</v>
      </c>
      <c r="D728" t="inlineStr">
        <is>
          <t>GÄVLEBORGS LÄN</t>
        </is>
      </c>
      <c r="E728" t="inlineStr">
        <is>
          <t>BOLLNÄS</t>
        </is>
      </c>
      <c r="F728" t="inlineStr">
        <is>
          <t>Bergvik skog väst AB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6059-2026</t>
        </is>
      </c>
      <c r="B729" s="1" t="n">
        <v>46052.64163194445</v>
      </c>
      <c r="C729" s="1" t="n">
        <v>46180</v>
      </c>
      <c r="D729" t="inlineStr">
        <is>
          <t>GÄVLEBORGS LÄN</t>
        </is>
      </c>
      <c r="E729" t="inlineStr">
        <is>
          <t>BOLLNÄS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6082-2026</t>
        </is>
      </c>
      <c r="B730" s="1" t="n">
        <v>46052.67954861111</v>
      </c>
      <c r="C730" s="1" t="n">
        <v>46180</v>
      </c>
      <c r="D730" t="inlineStr">
        <is>
          <t>GÄVLEBORGS LÄN</t>
        </is>
      </c>
      <c r="E730" t="inlineStr">
        <is>
          <t>BOLLNÄS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30653-2025</t>
        </is>
      </c>
      <c r="B731" s="1" t="n">
        <v>45831.50354166667</v>
      </c>
      <c r="C731" s="1" t="n">
        <v>46180</v>
      </c>
      <c r="D731" t="inlineStr">
        <is>
          <t>GÄVLEBORGS LÄN</t>
        </is>
      </c>
      <c r="E731" t="inlineStr">
        <is>
          <t>BOLLNÄS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5820-2026</t>
        </is>
      </c>
      <c r="B732" s="1" t="n">
        <v>46052.27096064815</v>
      </c>
      <c r="C732" s="1" t="n">
        <v>46180</v>
      </c>
      <c r="D732" t="inlineStr">
        <is>
          <t>GÄVLEBORGS LÄN</t>
        </is>
      </c>
      <c r="E732" t="inlineStr">
        <is>
          <t>BOLLNÄS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5822-2026</t>
        </is>
      </c>
      <c r="B733" s="1" t="n">
        <v>46052.28101851852</v>
      </c>
      <c r="C733" s="1" t="n">
        <v>46180</v>
      </c>
      <c r="D733" t="inlineStr">
        <is>
          <t>GÄVLEBORGS LÄN</t>
        </is>
      </c>
      <c r="E733" t="inlineStr">
        <is>
          <t>BOLLNÄS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5864-2026</t>
        </is>
      </c>
      <c r="B734" s="1" t="n">
        <v>46052.36734953704</v>
      </c>
      <c r="C734" s="1" t="n">
        <v>46180</v>
      </c>
      <c r="D734" t="inlineStr">
        <is>
          <t>GÄVLEBORGS LÄN</t>
        </is>
      </c>
      <c r="E734" t="inlineStr">
        <is>
          <t>BOLLNÄS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5996-2026</t>
        </is>
      </c>
      <c r="B735" s="1" t="n">
        <v>46052.57585648148</v>
      </c>
      <c r="C735" s="1" t="n">
        <v>46180</v>
      </c>
      <c r="D735" t="inlineStr">
        <is>
          <t>GÄVLEBORGS LÄN</t>
        </is>
      </c>
      <c r="E735" t="inlineStr">
        <is>
          <t>BOLLNÄS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6005-2026</t>
        </is>
      </c>
      <c r="B736" s="1" t="n">
        <v>46052.58637731482</v>
      </c>
      <c r="C736" s="1" t="n">
        <v>46180</v>
      </c>
      <c r="D736" t="inlineStr">
        <is>
          <t>GÄVLEBORGS LÄN</t>
        </is>
      </c>
      <c r="E736" t="inlineStr">
        <is>
          <t>BOLLNÄS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5577-2026</t>
        </is>
      </c>
      <c r="B737" s="1" t="n">
        <v>46051.28708333334</v>
      </c>
      <c r="C737" s="1" t="n">
        <v>46180</v>
      </c>
      <c r="D737" t="inlineStr">
        <is>
          <t>GÄVLEBORGS LÄN</t>
        </is>
      </c>
      <c r="E737" t="inlineStr">
        <is>
          <t>BOLLNÄS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5584-2026</t>
        </is>
      </c>
      <c r="B738" s="1" t="n">
        <v>46051</v>
      </c>
      <c r="C738" s="1" t="n">
        <v>46180</v>
      </c>
      <c r="D738" t="inlineStr">
        <is>
          <t>GÄVLEBORGS LÄN</t>
        </is>
      </c>
      <c r="E738" t="inlineStr">
        <is>
          <t>BOLLNÄS</t>
        </is>
      </c>
      <c r="F738" t="inlineStr">
        <is>
          <t>Bergvik skog väst AB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23440-2024</t>
        </is>
      </c>
      <c r="B739" s="1" t="n">
        <v>45453</v>
      </c>
      <c r="C739" s="1" t="n">
        <v>46180</v>
      </c>
      <c r="D739" t="inlineStr">
        <is>
          <t>GÄVLEBORGS LÄN</t>
        </is>
      </c>
      <c r="E739" t="inlineStr">
        <is>
          <t>BOLLNÄS</t>
        </is>
      </c>
      <c r="F739" t="inlineStr">
        <is>
          <t>Bergvik skog väst AB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5869-2026</t>
        </is>
      </c>
      <c r="B740" s="1" t="n">
        <v>46052.36837962963</v>
      </c>
      <c r="C740" s="1" t="n">
        <v>46180</v>
      </c>
      <c r="D740" t="inlineStr">
        <is>
          <t>GÄVLEBORGS LÄN</t>
        </is>
      </c>
      <c r="E740" t="inlineStr">
        <is>
          <t>BOLLNÄS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5699-2026</t>
        </is>
      </c>
      <c r="B741" s="1" t="n">
        <v>46051</v>
      </c>
      <c r="C741" s="1" t="n">
        <v>46180</v>
      </c>
      <c r="D741" t="inlineStr">
        <is>
          <t>GÄVLEBORGS LÄN</t>
        </is>
      </c>
      <c r="E741" t="inlineStr">
        <is>
          <t>BOLLNÄS</t>
        </is>
      </c>
      <c r="F741" t="inlineStr">
        <is>
          <t>Bergvik skog väst AB</t>
        </is>
      </c>
      <c r="G741" t="n">
        <v>53.4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45239-2025</t>
        </is>
      </c>
      <c r="B742" s="1" t="n">
        <v>45919.59678240741</v>
      </c>
      <c r="C742" s="1" t="n">
        <v>46180</v>
      </c>
      <c r="D742" t="inlineStr">
        <is>
          <t>GÄVLEBORGS LÄN</t>
        </is>
      </c>
      <c r="E742" t="inlineStr">
        <is>
          <t>BOLLNÄS</t>
        </is>
      </c>
      <c r="F742" t="inlineStr">
        <is>
          <t>Bergvik skog väst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55367-2023</t>
        </is>
      </c>
      <c r="B743" s="1" t="n">
        <v>45238.34386574074</v>
      </c>
      <c r="C743" s="1" t="n">
        <v>46180</v>
      </c>
      <c r="D743" t="inlineStr">
        <is>
          <t>GÄVLEBORGS LÄN</t>
        </is>
      </c>
      <c r="E743" t="inlineStr">
        <is>
          <t>BOLLNÄS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45327-2025</t>
        </is>
      </c>
      <c r="B744" s="1" t="n">
        <v>45922.32622685185</v>
      </c>
      <c r="C744" s="1" t="n">
        <v>46180</v>
      </c>
      <c r="D744" t="inlineStr">
        <is>
          <t>GÄVLEBORGS LÄN</t>
        </is>
      </c>
      <c r="E744" t="inlineStr">
        <is>
          <t>BOLLNÄS</t>
        </is>
      </c>
      <c r="F744" t="inlineStr">
        <is>
          <t>Sveaskog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31851-2025</t>
        </is>
      </c>
      <c r="B745" s="1" t="n">
        <v>45834.60839120371</v>
      </c>
      <c r="C745" s="1" t="n">
        <v>46180</v>
      </c>
      <c r="D745" t="inlineStr">
        <is>
          <t>GÄVLEBORGS LÄN</t>
        </is>
      </c>
      <c r="E745" t="inlineStr">
        <is>
          <t>BOLLNÄS</t>
        </is>
      </c>
      <c r="G745" t="n">
        <v>10.2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51149-2023</t>
        </is>
      </c>
      <c r="B746" s="1" t="n">
        <v>45212</v>
      </c>
      <c r="C746" s="1" t="n">
        <v>46180</v>
      </c>
      <c r="D746" t="inlineStr">
        <is>
          <t>GÄVLEBORGS LÄN</t>
        </is>
      </c>
      <c r="E746" t="inlineStr">
        <is>
          <t>BOLLNÄS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12023-2024</t>
        </is>
      </c>
      <c r="B747" s="1" t="n">
        <v>45377.3715625</v>
      </c>
      <c r="C747" s="1" t="n">
        <v>46180</v>
      </c>
      <c r="D747" t="inlineStr">
        <is>
          <t>GÄVLEBORGS LÄN</t>
        </is>
      </c>
      <c r="E747" t="inlineStr">
        <is>
          <t>BOLLNÄS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45224-2025</t>
        </is>
      </c>
      <c r="B748" s="1" t="n">
        <v>45919.58016203704</v>
      </c>
      <c r="C748" s="1" t="n">
        <v>46180</v>
      </c>
      <c r="D748" t="inlineStr">
        <is>
          <t>GÄVLEBORGS LÄN</t>
        </is>
      </c>
      <c r="E748" t="inlineStr">
        <is>
          <t>BOLLNÄS</t>
        </is>
      </c>
      <c r="F748" t="inlineStr">
        <is>
          <t>Bergvik skog väst AB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45334-2025</t>
        </is>
      </c>
      <c r="B749" s="1" t="n">
        <v>45922.34092592593</v>
      </c>
      <c r="C749" s="1" t="n">
        <v>46180</v>
      </c>
      <c r="D749" t="inlineStr">
        <is>
          <t>GÄVLEBORGS LÄN</t>
        </is>
      </c>
      <c r="E749" t="inlineStr">
        <is>
          <t>BOLLNÄS</t>
        </is>
      </c>
      <c r="F749" t="inlineStr">
        <is>
          <t>Sveaskog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45044-2025</t>
        </is>
      </c>
      <c r="B750" s="1" t="n">
        <v>45919.23412037037</v>
      </c>
      <c r="C750" s="1" t="n">
        <v>46180</v>
      </c>
      <c r="D750" t="inlineStr">
        <is>
          <t>GÄVLEBORGS LÄN</t>
        </is>
      </c>
      <c r="E750" t="inlineStr">
        <is>
          <t>BOLLNÄS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45050-2025</t>
        </is>
      </c>
      <c r="B751" s="1" t="n">
        <v>45919.29921296296</v>
      </c>
      <c r="C751" s="1" t="n">
        <v>46180</v>
      </c>
      <c r="D751" t="inlineStr">
        <is>
          <t>GÄVLEBORGS LÄN</t>
        </is>
      </c>
      <c r="E751" t="inlineStr">
        <is>
          <t>BOLLNÄS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45830-2025</t>
        </is>
      </c>
      <c r="B752" s="1" t="n">
        <v>45923</v>
      </c>
      <c r="C752" s="1" t="n">
        <v>46180</v>
      </c>
      <c r="D752" t="inlineStr">
        <is>
          <t>GÄVLEBORGS LÄN</t>
        </is>
      </c>
      <c r="E752" t="inlineStr">
        <is>
          <t>BOLLNÄS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45838-2025</t>
        </is>
      </c>
      <c r="B753" s="1" t="n">
        <v>45923</v>
      </c>
      <c r="C753" s="1" t="n">
        <v>46180</v>
      </c>
      <c r="D753" t="inlineStr">
        <is>
          <t>GÄVLEBORGS LÄN</t>
        </is>
      </c>
      <c r="E753" t="inlineStr">
        <is>
          <t>BOLLNÄS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45951-2025</t>
        </is>
      </c>
      <c r="B754" s="1" t="n">
        <v>45924</v>
      </c>
      <c r="C754" s="1" t="n">
        <v>46180</v>
      </c>
      <c r="D754" t="inlineStr">
        <is>
          <t>GÄVLEBORGS LÄN</t>
        </is>
      </c>
      <c r="E754" t="inlineStr">
        <is>
          <t>BOLLNÄS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45832-2025</t>
        </is>
      </c>
      <c r="B755" s="1" t="n">
        <v>45923</v>
      </c>
      <c r="C755" s="1" t="n">
        <v>46180</v>
      </c>
      <c r="D755" t="inlineStr">
        <is>
          <t>GÄVLEBORGS LÄN</t>
        </is>
      </c>
      <c r="E755" t="inlineStr">
        <is>
          <t>BOLLNÄS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5821-2026</t>
        </is>
      </c>
      <c r="B756" s="1" t="n">
        <v>46052.27571759259</v>
      </c>
      <c r="C756" s="1" t="n">
        <v>46180</v>
      </c>
      <c r="D756" t="inlineStr">
        <is>
          <t>GÄVLEBORGS LÄN</t>
        </is>
      </c>
      <c r="E756" t="inlineStr">
        <is>
          <t>BOLLNÄS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6067-2026</t>
        </is>
      </c>
      <c r="B757" s="1" t="n">
        <v>46052.65503472222</v>
      </c>
      <c r="C757" s="1" t="n">
        <v>46180</v>
      </c>
      <c r="D757" t="inlineStr">
        <is>
          <t>GÄVLEBORGS LÄN</t>
        </is>
      </c>
      <c r="E757" t="inlineStr">
        <is>
          <t>BOLLNÄS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6002-2026</t>
        </is>
      </c>
      <c r="B758" s="1" t="n">
        <v>46052.58496527778</v>
      </c>
      <c r="C758" s="1" t="n">
        <v>46180</v>
      </c>
      <c r="D758" t="inlineStr">
        <is>
          <t>GÄVLEBORGS LÄN</t>
        </is>
      </c>
      <c r="E758" t="inlineStr">
        <is>
          <t>BOLLNÄS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31719-2025</t>
        </is>
      </c>
      <c r="B759" s="1" t="n">
        <v>45834.46130787037</v>
      </c>
      <c r="C759" s="1" t="n">
        <v>46180</v>
      </c>
      <c r="D759" t="inlineStr">
        <is>
          <t>GÄVLEBORGS LÄN</t>
        </is>
      </c>
      <c r="E759" t="inlineStr">
        <is>
          <t>BOLLNÄS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6026-2026</t>
        </is>
      </c>
      <c r="B760" s="1" t="n">
        <v>46052.60679398148</v>
      </c>
      <c r="C760" s="1" t="n">
        <v>46180</v>
      </c>
      <c r="D760" t="inlineStr">
        <is>
          <t>GÄVLEBORGS LÄN</t>
        </is>
      </c>
      <c r="E760" t="inlineStr">
        <is>
          <t>BOLLNÄS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6052-2026</t>
        </is>
      </c>
      <c r="B761" s="1" t="n">
        <v>46052.63516203704</v>
      </c>
      <c r="C761" s="1" t="n">
        <v>46180</v>
      </c>
      <c r="D761" t="inlineStr">
        <is>
          <t>GÄVLEBORGS LÄN</t>
        </is>
      </c>
      <c r="E761" t="inlineStr">
        <is>
          <t>BOLLNÄS</t>
        </is>
      </c>
      <c r="G761" t="n">
        <v>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5651-2026</t>
        </is>
      </c>
      <c r="B762" s="1" t="n">
        <v>46051.43083333333</v>
      </c>
      <c r="C762" s="1" t="n">
        <v>46180</v>
      </c>
      <c r="D762" t="inlineStr">
        <is>
          <t>GÄVLEBORGS LÄN</t>
        </is>
      </c>
      <c r="E762" t="inlineStr">
        <is>
          <t>BOLLNÄS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5653-2026</t>
        </is>
      </c>
      <c r="B763" s="1" t="n">
        <v>46051.43722222222</v>
      </c>
      <c r="C763" s="1" t="n">
        <v>46180</v>
      </c>
      <c r="D763" t="inlineStr">
        <is>
          <t>GÄVLEBORGS LÄN</t>
        </is>
      </c>
      <c r="E763" t="inlineStr">
        <is>
          <t>BOLLNÄS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6006-2026</t>
        </is>
      </c>
      <c r="B764" s="1" t="n">
        <v>46052.58733796296</v>
      </c>
      <c r="C764" s="1" t="n">
        <v>46180</v>
      </c>
      <c r="D764" t="inlineStr">
        <is>
          <t>GÄVLEBORGS LÄN</t>
        </is>
      </c>
      <c r="E764" t="inlineStr">
        <is>
          <t>BOLLNÄS</t>
        </is>
      </c>
      <c r="G764" t="n">
        <v>8.699999999999999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6008-2026</t>
        </is>
      </c>
      <c r="B765" s="1" t="n">
        <v>46052</v>
      </c>
      <c r="C765" s="1" t="n">
        <v>46180</v>
      </c>
      <c r="D765" t="inlineStr">
        <is>
          <t>GÄVLEBORGS LÄN</t>
        </is>
      </c>
      <c r="E765" t="inlineStr">
        <is>
          <t>BOLLNÄS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5777-2026</t>
        </is>
      </c>
      <c r="B766" s="1" t="n">
        <v>46051.65467592593</v>
      </c>
      <c r="C766" s="1" t="n">
        <v>46180</v>
      </c>
      <c r="D766" t="inlineStr">
        <is>
          <t>GÄVLEBORGS LÄN</t>
        </is>
      </c>
      <c r="E766" t="inlineStr">
        <is>
          <t>BOLLNÄS</t>
        </is>
      </c>
      <c r="G766" t="n">
        <v>12.3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45280-2025</t>
        </is>
      </c>
      <c r="B767" s="1" t="n">
        <v>45919</v>
      </c>
      <c r="C767" s="1" t="n">
        <v>46180</v>
      </c>
      <c r="D767" t="inlineStr">
        <is>
          <t>GÄVLEBORGS LÄN</t>
        </is>
      </c>
      <c r="E767" t="inlineStr">
        <is>
          <t>BOLLNÄS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5581-2026</t>
        </is>
      </c>
      <c r="B768" s="1" t="n">
        <v>46051.3055787037</v>
      </c>
      <c r="C768" s="1" t="n">
        <v>46180</v>
      </c>
      <c r="D768" t="inlineStr">
        <is>
          <t>GÄVLEBORGS LÄN</t>
        </is>
      </c>
      <c r="E768" t="inlineStr">
        <is>
          <t>BOLLNÄS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5678-2026</t>
        </is>
      </c>
      <c r="B769" s="1" t="n">
        <v>46051.47546296296</v>
      </c>
      <c r="C769" s="1" t="n">
        <v>46180</v>
      </c>
      <c r="D769" t="inlineStr">
        <is>
          <t>GÄVLEBORGS LÄN</t>
        </is>
      </c>
      <c r="E769" t="inlineStr">
        <is>
          <t>BOLLNÄS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22835-2024</t>
        </is>
      </c>
      <c r="B770" s="1" t="n">
        <v>45448</v>
      </c>
      <c r="C770" s="1" t="n">
        <v>46180</v>
      </c>
      <c r="D770" t="inlineStr">
        <is>
          <t>GÄVLEBORGS LÄN</t>
        </is>
      </c>
      <c r="E770" t="inlineStr">
        <is>
          <t>BOLLNÄS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5973-2026</t>
        </is>
      </c>
      <c r="B771" s="1" t="n">
        <v>46052.54758101852</v>
      </c>
      <c r="C771" s="1" t="n">
        <v>46180</v>
      </c>
      <c r="D771" t="inlineStr">
        <is>
          <t>GÄVLEBORGS LÄN</t>
        </is>
      </c>
      <c r="E771" t="inlineStr">
        <is>
          <t>BOLLNÄS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5796-2026</t>
        </is>
      </c>
      <c r="B772" s="1" t="n">
        <v>46051.71178240741</v>
      </c>
      <c r="C772" s="1" t="n">
        <v>46180</v>
      </c>
      <c r="D772" t="inlineStr">
        <is>
          <t>GÄVLEBORGS LÄN</t>
        </is>
      </c>
      <c r="E772" t="inlineStr">
        <is>
          <t>BOLLNÄS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45947-2025</t>
        </is>
      </c>
      <c r="B773" s="1" t="n">
        <v>45924.33660879629</v>
      </c>
      <c r="C773" s="1" t="n">
        <v>46180</v>
      </c>
      <c r="D773" t="inlineStr">
        <is>
          <t>GÄVLEBORGS LÄN</t>
        </is>
      </c>
      <c r="E773" t="inlineStr">
        <is>
          <t>BOLLNÄS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46185-2025</t>
        </is>
      </c>
      <c r="B774" s="1" t="n">
        <v>45924.6600462963</v>
      </c>
      <c r="C774" s="1" t="n">
        <v>46180</v>
      </c>
      <c r="D774" t="inlineStr">
        <is>
          <t>GÄVLEBORGS LÄN</t>
        </is>
      </c>
      <c r="E774" t="inlineStr">
        <is>
          <t>BOLLNÄS</t>
        </is>
      </c>
      <c r="G774" t="n">
        <v>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34941-2024</t>
        </is>
      </c>
      <c r="B775" s="1" t="n">
        <v>45527.46644675926</v>
      </c>
      <c r="C775" s="1" t="n">
        <v>46180</v>
      </c>
      <c r="D775" t="inlineStr">
        <is>
          <t>GÄVLEBORGS LÄN</t>
        </is>
      </c>
      <c r="E775" t="inlineStr">
        <is>
          <t>BOLLNÄS</t>
        </is>
      </c>
      <c r="F775" t="inlineStr">
        <is>
          <t>Bergvik skog väst AB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31374-2025</t>
        </is>
      </c>
      <c r="B776" s="1" t="n">
        <v>45833.44599537037</v>
      </c>
      <c r="C776" s="1" t="n">
        <v>46180</v>
      </c>
      <c r="D776" t="inlineStr">
        <is>
          <t>GÄVLEBORGS LÄN</t>
        </is>
      </c>
      <c r="E776" t="inlineStr">
        <is>
          <t>BOLLNÄS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45901-2025</t>
        </is>
      </c>
      <c r="B777" s="1" t="n">
        <v>45923.68782407408</v>
      </c>
      <c r="C777" s="1" t="n">
        <v>46180</v>
      </c>
      <c r="D777" t="inlineStr">
        <is>
          <t>GÄVLEBORGS LÄN</t>
        </is>
      </c>
      <c r="E777" t="inlineStr">
        <is>
          <t>BOLLNÄS</t>
        </is>
      </c>
      <c r="F777" t="inlineStr">
        <is>
          <t>Bergvik skog väst AB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45889-2025</t>
        </is>
      </c>
      <c r="B778" s="1" t="n">
        <v>45923.67244212963</v>
      </c>
      <c r="C778" s="1" t="n">
        <v>46180</v>
      </c>
      <c r="D778" t="inlineStr">
        <is>
          <t>GÄVLEBORGS LÄN</t>
        </is>
      </c>
      <c r="E778" t="inlineStr">
        <is>
          <t>BOLLNÄS</t>
        </is>
      </c>
      <c r="F778" t="inlineStr">
        <is>
          <t>Bergvik skog väst AB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31711-2025</t>
        </is>
      </c>
      <c r="B779" s="1" t="n">
        <v>45834.44530092592</v>
      </c>
      <c r="C779" s="1" t="n">
        <v>46180</v>
      </c>
      <c r="D779" t="inlineStr">
        <is>
          <t>GÄVLEBORGS LÄN</t>
        </is>
      </c>
      <c r="E779" t="inlineStr">
        <is>
          <t>BOLLNÄS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5798-2026</t>
        </is>
      </c>
      <c r="B780" s="1" t="n">
        <v>46051</v>
      </c>
      <c r="C780" s="1" t="n">
        <v>46180</v>
      </c>
      <c r="D780" t="inlineStr">
        <is>
          <t>GÄVLEBORGS LÄN</t>
        </is>
      </c>
      <c r="E780" t="inlineStr">
        <is>
          <t>BOLLNÄS</t>
        </is>
      </c>
      <c r="F780" t="inlineStr">
        <is>
          <t>Bergvik skog väst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5813-2026</t>
        </is>
      </c>
      <c r="B781" s="1" t="n">
        <v>46051</v>
      </c>
      <c r="C781" s="1" t="n">
        <v>46180</v>
      </c>
      <c r="D781" t="inlineStr">
        <is>
          <t>GÄVLEBORGS LÄN</t>
        </is>
      </c>
      <c r="E781" t="inlineStr">
        <is>
          <t>BOLLNÄS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5819-2026</t>
        </is>
      </c>
      <c r="B782" s="1" t="n">
        <v>46052.26390046296</v>
      </c>
      <c r="C782" s="1" t="n">
        <v>46180</v>
      </c>
      <c r="D782" t="inlineStr">
        <is>
          <t>GÄVLEBORGS LÄN</t>
        </is>
      </c>
      <c r="E782" t="inlineStr">
        <is>
          <t>BOLLNÄS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5824-2026</t>
        </is>
      </c>
      <c r="B783" s="1" t="n">
        <v>46052.28528935185</v>
      </c>
      <c r="C783" s="1" t="n">
        <v>46180</v>
      </c>
      <c r="D783" t="inlineStr">
        <is>
          <t>GÄVLEBORGS LÄN</t>
        </is>
      </c>
      <c r="E783" t="inlineStr">
        <is>
          <t>BOLLNÄS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5806-2026</t>
        </is>
      </c>
      <c r="B784" s="1" t="n">
        <v>46051.81873842593</v>
      </c>
      <c r="C784" s="1" t="n">
        <v>46180</v>
      </c>
      <c r="D784" t="inlineStr">
        <is>
          <t>GÄVLEBORGS LÄN</t>
        </is>
      </c>
      <c r="E784" t="inlineStr">
        <is>
          <t>BOLLNÄS</t>
        </is>
      </c>
      <c r="G784" t="n">
        <v>5.9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5995-2026</t>
        </is>
      </c>
      <c r="B785" s="1" t="n">
        <v>46052.5744212963</v>
      </c>
      <c r="C785" s="1" t="n">
        <v>46180</v>
      </c>
      <c r="D785" t="inlineStr">
        <is>
          <t>GÄVLEBORGS LÄN</t>
        </is>
      </c>
      <c r="E785" t="inlineStr">
        <is>
          <t>BOLLNÄS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6001-2026</t>
        </is>
      </c>
      <c r="B786" s="1" t="n">
        <v>46052</v>
      </c>
      <c r="C786" s="1" t="n">
        <v>46180</v>
      </c>
      <c r="D786" t="inlineStr">
        <is>
          <t>GÄVLEBORGS LÄN</t>
        </is>
      </c>
      <c r="E786" t="inlineStr">
        <is>
          <t>BOLLNÄS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5817-2026</t>
        </is>
      </c>
      <c r="B787" s="1" t="n">
        <v>46052.25924768519</v>
      </c>
      <c r="C787" s="1" t="n">
        <v>46180</v>
      </c>
      <c r="D787" t="inlineStr">
        <is>
          <t>GÄVLEBORGS LÄN</t>
        </is>
      </c>
      <c r="E787" t="inlineStr">
        <is>
          <t>BOLLNÄS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5825-2026</t>
        </is>
      </c>
      <c r="B788" s="1" t="n">
        <v>46052.28958333333</v>
      </c>
      <c r="C788" s="1" t="n">
        <v>46180</v>
      </c>
      <c r="D788" t="inlineStr">
        <is>
          <t>GÄVLEBORGS LÄN</t>
        </is>
      </c>
      <c r="E788" t="inlineStr">
        <is>
          <t>BOLLNÄS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6003-2026</t>
        </is>
      </c>
      <c r="B789" s="1" t="n">
        <v>46052.58552083333</v>
      </c>
      <c r="C789" s="1" t="n">
        <v>46180</v>
      </c>
      <c r="D789" t="inlineStr">
        <is>
          <t>GÄVLEBORGS LÄN</t>
        </is>
      </c>
      <c r="E789" t="inlineStr">
        <is>
          <t>BOLLNÄS</t>
        </is>
      </c>
      <c r="G789" t="n">
        <v>8.1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6012-2026</t>
        </is>
      </c>
      <c r="B790" s="1" t="n">
        <v>46052.5969675926</v>
      </c>
      <c r="C790" s="1" t="n">
        <v>46180</v>
      </c>
      <c r="D790" t="inlineStr">
        <is>
          <t>GÄVLEBORGS LÄN</t>
        </is>
      </c>
      <c r="E790" t="inlineStr">
        <is>
          <t>BOLLNÄS</t>
        </is>
      </c>
      <c r="G790" t="n">
        <v>10.2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5626-2026</t>
        </is>
      </c>
      <c r="B791" s="1" t="n">
        <v>46051.39127314815</v>
      </c>
      <c r="C791" s="1" t="n">
        <v>46180</v>
      </c>
      <c r="D791" t="inlineStr">
        <is>
          <t>GÄVLEBORGS LÄN</t>
        </is>
      </c>
      <c r="E791" t="inlineStr">
        <is>
          <t>BOLLNÄS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6020-2026</t>
        </is>
      </c>
      <c r="B792" s="1" t="n">
        <v>46052.60188657408</v>
      </c>
      <c r="C792" s="1" t="n">
        <v>46180</v>
      </c>
      <c r="D792" t="inlineStr">
        <is>
          <t>GÄVLEBORGS LÄN</t>
        </is>
      </c>
      <c r="E792" t="inlineStr">
        <is>
          <t>BOLLNÄS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31971-2025</t>
        </is>
      </c>
      <c r="B793" s="1" t="n">
        <v>45835.34876157407</v>
      </c>
      <c r="C793" s="1" t="n">
        <v>46180</v>
      </c>
      <c r="D793" t="inlineStr">
        <is>
          <t>GÄVLEBORGS LÄN</t>
        </is>
      </c>
      <c r="E793" t="inlineStr">
        <is>
          <t>BOLLNÄS</t>
        </is>
      </c>
      <c r="F793" t="inlineStr">
        <is>
          <t>Bergvik skog väst AB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45713-2025</t>
        </is>
      </c>
      <c r="B794" s="1" t="n">
        <v>45923.43292824074</v>
      </c>
      <c r="C794" s="1" t="n">
        <v>46180</v>
      </c>
      <c r="D794" t="inlineStr">
        <is>
          <t>GÄVLEBORGS LÄN</t>
        </is>
      </c>
      <c r="E794" t="inlineStr">
        <is>
          <t>BOLLNÄS</t>
        </is>
      </c>
      <c r="F794" t="inlineStr">
        <is>
          <t>Kyrkan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45737-2025</t>
        </is>
      </c>
      <c r="B795" s="1" t="n">
        <v>45923.46788194445</v>
      </c>
      <c r="C795" s="1" t="n">
        <v>46180</v>
      </c>
      <c r="D795" t="inlineStr">
        <is>
          <t>GÄVLEBORGS LÄN</t>
        </is>
      </c>
      <c r="E795" t="inlineStr">
        <is>
          <t>BOLLNÄS</t>
        </is>
      </c>
      <c r="F795" t="inlineStr">
        <is>
          <t>Kyrkan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5674-2026</t>
        </is>
      </c>
      <c r="B796" s="1" t="n">
        <v>46051.47123842593</v>
      </c>
      <c r="C796" s="1" t="n">
        <v>46180</v>
      </c>
      <c r="D796" t="inlineStr">
        <is>
          <t>GÄVLEBORGS LÄN</t>
        </is>
      </c>
      <c r="E796" t="inlineStr">
        <is>
          <t>BOLLNÄS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5676-2026</t>
        </is>
      </c>
      <c r="B797" s="1" t="n">
        <v>46051.47204861111</v>
      </c>
      <c r="C797" s="1" t="n">
        <v>46180</v>
      </c>
      <c r="D797" t="inlineStr">
        <is>
          <t>GÄVLEBORGS LÄN</t>
        </is>
      </c>
      <c r="E797" t="inlineStr">
        <is>
          <t>BOLLNÄS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5879-2026</t>
        </is>
      </c>
      <c r="B798" s="1" t="n">
        <v>46052</v>
      </c>
      <c r="C798" s="1" t="n">
        <v>46180</v>
      </c>
      <c r="D798" t="inlineStr">
        <is>
          <t>GÄVLEBORGS LÄN</t>
        </is>
      </c>
      <c r="E798" t="inlineStr">
        <is>
          <t>BOLLNÄS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59740-2023</t>
        </is>
      </c>
      <c r="B799" s="1" t="n">
        <v>45257</v>
      </c>
      <c r="C799" s="1" t="n">
        <v>46180</v>
      </c>
      <c r="D799" t="inlineStr">
        <is>
          <t>GÄVLEBORGS LÄN</t>
        </is>
      </c>
      <c r="E799" t="inlineStr">
        <is>
          <t>BOLLNÄS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57689-2022</t>
        </is>
      </c>
      <c r="B800" s="1" t="n">
        <v>44897</v>
      </c>
      <c r="C800" s="1" t="n">
        <v>46180</v>
      </c>
      <c r="D800" t="inlineStr">
        <is>
          <t>GÄVLEBORGS LÄN</t>
        </is>
      </c>
      <c r="E800" t="inlineStr">
        <is>
          <t>BOLLNÄS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46675-2025</t>
        </is>
      </c>
      <c r="B801" s="1" t="n">
        <v>45926.54326388889</v>
      </c>
      <c r="C801" s="1" t="n">
        <v>46180</v>
      </c>
      <c r="D801" t="inlineStr">
        <is>
          <t>GÄVLEBORGS LÄN</t>
        </is>
      </c>
      <c r="E801" t="inlineStr">
        <is>
          <t>BOLLNÄS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32603-2025</t>
        </is>
      </c>
      <c r="B802" s="1" t="n">
        <v>45838.62444444445</v>
      </c>
      <c r="C802" s="1" t="n">
        <v>46180</v>
      </c>
      <c r="D802" t="inlineStr">
        <is>
          <t>GÄVLEBORGS LÄN</t>
        </is>
      </c>
      <c r="E802" t="inlineStr">
        <is>
          <t>BOLLNÄS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5926-2026</t>
        </is>
      </c>
      <c r="B803" s="1" t="n">
        <v>46052.46386574074</v>
      </c>
      <c r="C803" s="1" t="n">
        <v>46180</v>
      </c>
      <c r="D803" t="inlineStr">
        <is>
          <t>GÄVLEBORGS LÄN</t>
        </is>
      </c>
      <c r="E803" t="inlineStr">
        <is>
          <t>BOLLNÄS</t>
        </is>
      </c>
      <c r="G803" t="n">
        <v>16.9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32587-2025</t>
        </is>
      </c>
      <c r="B804" s="1" t="n">
        <v>45838.60077546296</v>
      </c>
      <c r="C804" s="1" t="n">
        <v>46180</v>
      </c>
      <c r="D804" t="inlineStr">
        <is>
          <t>GÄVLEBORGS LÄN</t>
        </is>
      </c>
      <c r="E804" t="inlineStr">
        <is>
          <t>BOLLNÄS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644-2026</t>
        </is>
      </c>
      <c r="B805" s="1" t="n">
        <v>46029</v>
      </c>
      <c r="C805" s="1" t="n">
        <v>46180</v>
      </c>
      <c r="D805" t="inlineStr">
        <is>
          <t>GÄVLEBORGS LÄN</t>
        </is>
      </c>
      <c r="E805" t="inlineStr">
        <is>
          <t>BOLLNÄS</t>
        </is>
      </c>
      <c r="G805" t="n">
        <v>24.2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651-2026</t>
        </is>
      </c>
      <c r="B806" s="1" t="n">
        <v>46029</v>
      </c>
      <c r="C806" s="1" t="n">
        <v>46180</v>
      </c>
      <c r="D806" t="inlineStr">
        <is>
          <t>GÄVLEBORGS LÄN</t>
        </is>
      </c>
      <c r="E806" t="inlineStr">
        <is>
          <t>BOLLNÄS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1515-2026</t>
        </is>
      </c>
      <c r="B807" s="1" t="n">
        <v>46034</v>
      </c>
      <c r="C807" s="1" t="n">
        <v>46180</v>
      </c>
      <c r="D807" t="inlineStr">
        <is>
          <t>GÄVLEBORGS LÄN</t>
        </is>
      </c>
      <c r="E807" t="inlineStr">
        <is>
          <t>BOLLNÄS</t>
        </is>
      </c>
      <c r="G807" t="n">
        <v>16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6431-2026</t>
        </is>
      </c>
      <c r="B808" s="1" t="n">
        <v>46055.75021990741</v>
      </c>
      <c r="C808" s="1" t="n">
        <v>46180</v>
      </c>
      <c r="D808" t="inlineStr">
        <is>
          <t>GÄVLEBORGS LÄN</t>
        </is>
      </c>
      <c r="E808" t="inlineStr">
        <is>
          <t>BOLLNÄS</t>
        </is>
      </c>
      <c r="F808" t="inlineStr">
        <is>
          <t>Bergvik skog väst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6433-2026</t>
        </is>
      </c>
      <c r="B809" s="1" t="n">
        <v>46055.76931712963</v>
      </c>
      <c r="C809" s="1" t="n">
        <v>46180</v>
      </c>
      <c r="D809" t="inlineStr">
        <is>
          <t>GÄVLEBORGS LÄN</t>
        </is>
      </c>
      <c r="E809" t="inlineStr">
        <is>
          <t>BOLLNÄS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6740-2026</t>
        </is>
      </c>
      <c r="B810" s="1" t="n">
        <v>46056.7003125</v>
      </c>
      <c r="C810" s="1" t="n">
        <v>46180</v>
      </c>
      <c r="D810" t="inlineStr">
        <is>
          <t>GÄVLEBORGS LÄN</t>
        </is>
      </c>
      <c r="E810" t="inlineStr">
        <is>
          <t>BOLLNÄS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6744-2026</t>
        </is>
      </c>
      <c r="B811" s="1" t="n">
        <v>46056.72659722222</v>
      </c>
      <c r="C811" s="1" t="n">
        <v>46180</v>
      </c>
      <c r="D811" t="inlineStr">
        <is>
          <t>GÄVLEBORGS LÄN</t>
        </is>
      </c>
      <c r="E811" t="inlineStr">
        <is>
          <t>BOLLNÄS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6528-2026</t>
        </is>
      </c>
      <c r="B812" s="1" t="n">
        <v>46056.40777777778</v>
      </c>
      <c r="C812" s="1" t="n">
        <v>46180</v>
      </c>
      <c r="D812" t="inlineStr">
        <is>
          <t>GÄVLEBORGS LÄN</t>
        </is>
      </c>
      <c r="E812" t="inlineStr">
        <is>
          <t>BOLLNÄS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6546-2026</t>
        </is>
      </c>
      <c r="B813" s="1" t="n">
        <v>46056.42814814814</v>
      </c>
      <c r="C813" s="1" t="n">
        <v>46180</v>
      </c>
      <c r="D813" t="inlineStr">
        <is>
          <t>GÄVLEBORGS LÄN</t>
        </is>
      </c>
      <c r="E813" t="inlineStr">
        <is>
          <t>BOLLNÄS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6695-2026</t>
        </is>
      </c>
      <c r="B814" s="1" t="n">
        <v>46056</v>
      </c>
      <c r="C814" s="1" t="n">
        <v>46180</v>
      </c>
      <c r="D814" t="inlineStr">
        <is>
          <t>GÄVLEBORGS LÄN</t>
        </is>
      </c>
      <c r="E814" t="inlineStr">
        <is>
          <t>BOLLNÄS</t>
        </is>
      </c>
      <c r="F814" t="inlineStr">
        <is>
          <t>Bergvik skog väst AB</t>
        </is>
      </c>
      <c r="G814" t="n">
        <v>10.4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6248-2026</t>
        </is>
      </c>
      <c r="B815" s="1" t="n">
        <v>46055</v>
      </c>
      <c r="C815" s="1" t="n">
        <v>46180</v>
      </c>
      <c r="D815" t="inlineStr">
        <is>
          <t>GÄVLEBORGS LÄN</t>
        </is>
      </c>
      <c r="E815" t="inlineStr">
        <is>
          <t>BOLLNÄS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6317-2026</t>
        </is>
      </c>
      <c r="B816" s="1" t="n">
        <v>46055</v>
      </c>
      <c r="C816" s="1" t="n">
        <v>46180</v>
      </c>
      <c r="D816" t="inlineStr">
        <is>
          <t>GÄVLEBORGS LÄN</t>
        </is>
      </c>
      <c r="E816" t="inlineStr">
        <is>
          <t>BOLLNÄS</t>
        </is>
      </c>
      <c r="G816" t="n">
        <v>16.2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6461-2026</t>
        </is>
      </c>
      <c r="B817" s="1" t="n">
        <v>46056.30370370371</v>
      </c>
      <c r="C817" s="1" t="n">
        <v>46180</v>
      </c>
      <c r="D817" t="inlineStr">
        <is>
          <t>GÄVLEBORGS LÄN</t>
        </is>
      </c>
      <c r="E817" t="inlineStr">
        <is>
          <t>BOLLNÄS</t>
        </is>
      </c>
      <c r="F817" t="inlineStr">
        <is>
          <t>Kyrkan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6257-2026</t>
        </is>
      </c>
      <c r="B818" s="1" t="n">
        <v>46055.47626157408</v>
      </c>
      <c r="C818" s="1" t="n">
        <v>46180</v>
      </c>
      <c r="D818" t="inlineStr">
        <is>
          <t>GÄVLEBORGS LÄN</t>
        </is>
      </c>
      <c r="E818" t="inlineStr">
        <is>
          <t>BOLLNÄS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6371-2026</t>
        </is>
      </c>
      <c r="B819" s="1" t="n">
        <v>46055</v>
      </c>
      <c r="C819" s="1" t="n">
        <v>46180</v>
      </c>
      <c r="D819" t="inlineStr">
        <is>
          <t>GÄVLEBORGS LÄN</t>
        </is>
      </c>
      <c r="E819" t="inlineStr">
        <is>
          <t>BOLLNÄS</t>
        </is>
      </c>
      <c r="F819" t="inlineStr">
        <is>
          <t>Bergvik skog väst AB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21616-2022</t>
        </is>
      </c>
      <c r="B820" s="1" t="n">
        <v>44706</v>
      </c>
      <c r="C820" s="1" t="n">
        <v>46180</v>
      </c>
      <c r="D820" t="inlineStr">
        <is>
          <t>GÄVLEBORGS LÄN</t>
        </is>
      </c>
      <c r="E820" t="inlineStr">
        <is>
          <t>BOLLNÄS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31948-2025</t>
        </is>
      </c>
      <c r="B821" s="1" t="n">
        <v>45835.32489583334</v>
      </c>
      <c r="C821" s="1" t="n">
        <v>46180</v>
      </c>
      <c r="D821" t="inlineStr">
        <is>
          <t>GÄVLEBORGS LÄN</t>
        </is>
      </c>
      <c r="E821" t="inlineStr">
        <is>
          <t>BOLLNÄS</t>
        </is>
      </c>
      <c r="F821" t="inlineStr">
        <is>
          <t>Bergvik skog väst AB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6258-2026</t>
        </is>
      </c>
      <c r="B822" s="1" t="n">
        <v>46055.47865740741</v>
      </c>
      <c r="C822" s="1" t="n">
        <v>46180</v>
      </c>
      <c r="D822" t="inlineStr">
        <is>
          <t>GÄVLEBORGS LÄN</t>
        </is>
      </c>
      <c r="E822" t="inlineStr">
        <is>
          <t>BOLLNÄS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6387-2026</t>
        </is>
      </c>
      <c r="B823" s="1" t="n">
        <v>46055.643125</v>
      </c>
      <c r="C823" s="1" t="n">
        <v>46180</v>
      </c>
      <c r="D823" t="inlineStr">
        <is>
          <t>GÄVLEBORGS LÄN</t>
        </is>
      </c>
      <c r="E823" t="inlineStr">
        <is>
          <t>BOLLNÄS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6345-2026</t>
        </is>
      </c>
      <c r="B824" s="1" t="n">
        <v>46055.60775462963</v>
      </c>
      <c r="C824" s="1" t="n">
        <v>46180</v>
      </c>
      <c r="D824" t="inlineStr">
        <is>
          <t>GÄVLEBORGS LÄN</t>
        </is>
      </c>
      <c r="E824" t="inlineStr">
        <is>
          <t>BOLLNÄS</t>
        </is>
      </c>
      <c r="G824" t="n">
        <v>12.5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32411-2025</t>
        </is>
      </c>
      <c r="B825" s="1" t="n">
        <v>45838.33667824074</v>
      </c>
      <c r="C825" s="1" t="n">
        <v>46180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31954-2025</t>
        </is>
      </c>
      <c r="B826" s="1" t="n">
        <v>45835.34113425926</v>
      </c>
      <c r="C826" s="1" t="n">
        <v>46180</v>
      </c>
      <c r="D826" t="inlineStr">
        <is>
          <t>GÄVLEBORGS LÄN</t>
        </is>
      </c>
      <c r="E826" t="inlineStr">
        <is>
          <t>BOLLNÄS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6373-2026</t>
        </is>
      </c>
      <c r="B827" s="1" t="n">
        <v>46055.63201388889</v>
      </c>
      <c r="C827" s="1" t="n">
        <v>46180</v>
      </c>
      <c r="D827" t="inlineStr">
        <is>
          <t>GÄVLEBORGS LÄN</t>
        </is>
      </c>
      <c r="E827" t="inlineStr">
        <is>
          <t>BOLLNÄS</t>
        </is>
      </c>
      <c r="G827" t="n">
        <v>9.6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6376-2026</t>
        </is>
      </c>
      <c r="B828" s="1" t="n">
        <v>46055</v>
      </c>
      <c r="C828" s="1" t="n">
        <v>46180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8.699999999999999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55570-2024</t>
        </is>
      </c>
      <c r="B829" s="1" t="n">
        <v>45622.5512037037</v>
      </c>
      <c r="C829" s="1" t="n">
        <v>46180</v>
      </c>
      <c r="D829" t="inlineStr">
        <is>
          <t>GÄVLEBORGS LÄN</t>
        </is>
      </c>
      <c r="E829" t="inlineStr">
        <is>
          <t>BOLLNÄS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6380-2026</t>
        </is>
      </c>
      <c r="B830" s="1" t="n">
        <v>46055</v>
      </c>
      <c r="C830" s="1" t="n">
        <v>46180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6321-2026</t>
        </is>
      </c>
      <c r="B831" s="1" t="n">
        <v>46055</v>
      </c>
      <c r="C831" s="1" t="n">
        <v>46180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6292-2026</t>
        </is>
      </c>
      <c r="B832" s="1" t="n">
        <v>46055.55726851852</v>
      </c>
      <c r="C832" s="1" t="n">
        <v>46180</v>
      </c>
      <c r="D832" t="inlineStr">
        <is>
          <t>GÄVLEBORGS LÄN</t>
        </is>
      </c>
      <c r="E832" t="inlineStr">
        <is>
          <t>BOLLNÄS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6320-2026</t>
        </is>
      </c>
      <c r="B833" s="1" t="n">
        <v>46055</v>
      </c>
      <c r="C833" s="1" t="n">
        <v>46180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6323-2026</t>
        </is>
      </c>
      <c r="B834" s="1" t="n">
        <v>46055.58607638889</v>
      </c>
      <c r="C834" s="1" t="n">
        <v>46180</v>
      </c>
      <c r="D834" t="inlineStr">
        <is>
          <t>GÄVLEBORGS LÄN</t>
        </is>
      </c>
      <c r="E834" t="inlineStr">
        <is>
          <t>BOLLNÄS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6325-2026</t>
        </is>
      </c>
      <c r="B835" s="1" t="n">
        <v>46055.58699074074</v>
      </c>
      <c r="C835" s="1" t="n">
        <v>46180</v>
      </c>
      <c r="D835" t="inlineStr">
        <is>
          <t>GÄVLEBORGS LÄN</t>
        </is>
      </c>
      <c r="E835" t="inlineStr">
        <is>
          <t>BOLLNÄS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6491-2026</t>
        </is>
      </c>
      <c r="B836" s="1" t="n">
        <v>46056</v>
      </c>
      <c r="C836" s="1" t="n">
        <v>46180</v>
      </c>
      <c r="D836" t="inlineStr">
        <is>
          <t>GÄVLEBORGS LÄN</t>
        </is>
      </c>
      <c r="E836" t="inlineStr">
        <is>
          <t>BOLLNÄS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6537-2026</t>
        </is>
      </c>
      <c r="B837" s="1" t="n">
        <v>46056.4221412037</v>
      </c>
      <c r="C837" s="1" t="n">
        <v>46180</v>
      </c>
      <c r="D837" t="inlineStr">
        <is>
          <t>GÄVLEBORGS LÄN</t>
        </is>
      </c>
      <c r="E837" t="inlineStr">
        <is>
          <t>BOLLNÄS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6554-2026</t>
        </is>
      </c>
      <c r="B838" s="1" t="n">
        <v>46056.43068287037</v>
      </c>
      <c r="C838" s="1" t="n">
        <v>46180</v>
      </c>
      <c r="D838" t="inlineStr">
        <is>
          <t>GÄVLEBORGS LÄN</t>
        </is>
      </c>
      <c r="E838" t="inlineStr">
        <is>
          <t>BOLLNÄS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33137-2025</t>
        </is>
      </c>
      <c r="B839" s="1" t="n">
        <v>45840.5125</v>
      </c>
      <c r="C839" s="1" t="n">
        <v>46180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47322-2025</t>
        </is>
      </c>
      <c r="B840" s="1" t="n">
        <v>45930</v>
      </c>
      <c r="C840" s="1" t="n">
        <v>46180</v>
      </c>
      <c r="D840" t="inlineStr">
        <is>
          <t>GÄVLEBORGS LÄN</t>
        </is>
      </c>
      <c r="E840" t="inlineStr">
        <is>
          <t>BOLLNÄS</t>
        </is>
      </c>
      <c r="F840" t="inlineStr">
        <is>
          <t>Sveaskog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6419-2026</t>
        </is>
      </c>
      <c r="B841" s="1" t="n">
        <v>46055</v>
      </c>
      <c r="C841" s="1" t="n">
        <v>46180</v>
      </c>
      <c r="D841" t="inlineStr">
        <is>
          <t>GÄVLEBORGS LÄN</t>
        </is>
      </c>
      <c r="E841" t="inlineStr">
        <is>
          <t>BOLLNÄS</t>
        </is>
      </c>
      <c r="F841" t="inlineStr">
        <is>
          <t>Bergvik skog väst AB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6425-2026</t>
        </is>
      </c>
      <c r="B842" s="1" t="n">
        <v>46055</v>
      </c>
      <c r="C842" s="1" t="n">
        <v>46180</v>
      </c>
      <c r="D842" t="inlineStr">
        <is>
          <t>GÄVLEBORGS LÄN</t>
        </is>
      </c>
      <c r="E842" t="inlineStr">
        <is>
          <t>BOLLNÄS</t>
        </is>
      </c>
      <c r="G842" t="n">
        <v>14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6436-2026</t>
        </is>
      </c>
      <c r="B843" s="1" t="n">
        <v>46055.77675925926</v>
      </c>
      <c r="C843" s="1" t="n">
        <v>46180</v>
      </c>
      <c r="D843" t="inlineStr">
        <is>
          <t>GÄVLEBORGS LÄN</t>
        </is>
      </c>
      <c r="E843" t="inlineStr">
        <is>
          <t>BOLLNÄS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6438-2026</t>
        </is>
      </c>
      <c r="B844" s="1" t="n">
        <v>46055.80380787037</v>
      </c>
      <c r="C844" s="1" t="n">
        <v>46180</v>
      </c>
      <c r="D844" t="inlineStr">
        <is>
          <t>GÄVLEBORGS LÄN</t>
        </is>
      </c>
      <c r="E844" t="inlineStr">
        <is>
          <t>BOLLNÄS</t>
        </is>
      </c>
      <c r="F844" t="inlineStr">
        <is>
          <t>Kyrkan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6444-2026</t>
        </is>
      </c>
      <c r="B845" s="1" t="n">
        <v>46055.82902777778</v>
      </c>
      <c r="C845" s="1" t="n">
        <v>46180</v>
      </c>
      <c r="D845" t="inlineStr">
        <is>
          <t>GÄVLEBORGS LÄN</t>
        </is>
      </c>
      <c r="E845" t="inlineStr">
        <is>
          <t>BOLLNÄS</t>
        </is>
      </c>
      <c r="F845" t="inlineStr">
        <is>
          <t>Kyrkan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6457-2026</t>
        </is>
      </c>
      <c r="B846" s="1" t="n">
        <v>46056.26053240741</v>
      </c>
      <c r="C846" s="1" t="n">
        <v>46180</v>
      </c>
      <c r="D846" t="inlineStr">
        <is>
          <t>GÄVLEBORGS LÄN</t>
        </is>
      </c>
      <c r="E846" t="inlineStr">
        <is>
          <t>BOLLNÄS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6464-2026</t>
        </is>
      </c>
      <c r="B847" s="1" t="n">
        <v>46056.30787037037</v>
      </c>
      <c r="C847" s="1" t="n">
        <v>46180</v>
      </c>
      <c r="D847" t="inlineStr">
        <is>
          <t>GÄVLEBORGS LÄN</t>
        </is>
      </c>
      <c r="E847" t="inlineStr">
        <is>
          <t>BOLLNÄS</t>
        </is>
      </c>
      <c r="G847" t="n">
        <v>7.5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6421-2026</t>
        </is>
      </c>
      <c r="B848" s="1" t="n">
        <v>46055</v>
      </c>
      <c r="C848" s="1" t="n">
        <v>46180</v>
      </c>
      <c r="D848" t="inlineStr">
        <is>
          <t>GÄVLEBORGS LÄN</t>
        </is>
      </c>
      <c r="E848" t="inlineStr">
        <is>
          <t>BOLLNÄS</t>
        </is>
      </c>
      <c r="F848" t="inlineStr">
        <is>
          <t>Bergvik skog väst AB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23848-2025</t>
        </is>
      </c>
      <c r="B849" s="1" t="n">
        <v>45793</v>
      </c>
      <c r="C849" s="1" t="n">
        <v>46180</v>
      </c>
      <c r="D849" t="inlineStr">
        <is>
          <t>GÄVLEBORGS LÄN</t>
        </is>
      </c>
      <c r="E849" t="inlineStr">
        <is>
          <t>BOLLNÄS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6543-2026</t>
        </is>
      </c>
      <c r="B850" s="1" t="n">
        <v>46056.42787037037</v>
      </c>
      <c r="C850" s="1" t="n">
        <v>46180</v>
      </c>
      <c r="D850" t="inlineStr">
        <is>
          <t>GÄVLEBORGS LÄN</t>
        </is>
      </c>
      <c r="E850" t="inlineStr">
        <is>
          <t>BOLLNÄS</t>
        </is>
      </c>
      <c r="G850" t="n">
        <v>10.5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6171-2026</t>
        </is>
      </c>
      <c r="B851" s="1" t="n">
        <v>46055.33916666666</v>
      </c>
      <c r="C851" s="1" t="n">
        <v>46180</v>
      </c>
      <c r="D851" t="inlineStr">
        <is>
          <t>GÄVLEBORGS LÄN</t>
        </is>
      </c>
      <c r="E851" t="inlineStr">
        <is>
          <t>BOLLNÄS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6482-2026</t>
        </is>
      </c>
      <c r="B852" s="1" t="n">
        <v>46056.33789351852</v>
      </c>
      <c r="C852" s="1" t="n">
        <v>46180</v>
      </c>
      <c r="D852" t="inlineStr">
        <is>
          <t>GÄVLEBORGS LÄN</t>
        </is>
      </c>
      <c r="E852" t="inlineStr">
        <is>
          <t>BOLLNÄS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6643-2026</t>
        </is>
      </c>
      <c r="B853" s="1" t="n">
        <v>46056.53697916667</v>
      </c>
      <c r="C853" s="1" t="n">
        <v>46180</v>
      </c>
      <c r="D853" t="inlineStr">
        <is>
          <t>GÄVLEBORGS LÄN</t>
        </is>
      </c>
      <c r="E853" t="inlineStr">
        <is>
          <t>BOLLNÄS</t>
        </is>
      </c>
      <c r="G853" t="n">
        <v>18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47061-2025</t>
        </is>
      </c>
      <c r="B854" s="1" t="n">
        <v>45929.62881944444</v>
      </c>
      <c r="C854" s="1" t="n">
        <v>46180</v>
      </c>
      <c r="D854" t="inlineStr">
        <is>
          <t>GÄVLEBORGS LÄN</t>
        </is>
      </c>
      <c r="E854" t="inlineStr">
        <is>
          <t>BOLLNÄS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6370-2026</t>
        </is>
      </c>
      <c r="B855" s="1" t="n">
        <v>46055</v>
      </c>
      <c r="C855" s="1" t="n">
        <v>46180</v>
      </c>
      <c r="D855" t="inlineStr">
        <is>
          <t>GÄVLEBORGS LÄN</t>
        </is>
      </c>
      <c r="E855" t="inlineStr">
        <is>
          <t>BOLLNÄS</t>
        </is>
      </c>
      <c r="F855" t="inlineStr">
        <is>
          <t>Bergvik skog väst AB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46883-2025</t>
        </is>
      </c>
      <c r="B856" s="1" t="n">
        <v>45929.36471064815</v>
      </c>
      <c r="C856" s="1" t="n">
        <v>46180</v>
      </c>
      <c r="D856" t="inlineStr">
        <is>
          <t>GÄVLEBORGS LÄN</t>
        </is>
      </c>
      <c r="E856" t="inlineStr">
        <is>
          <t>BOLLNÄS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6326-2026</t>
        </is>
      </c>
      <c r="B857" s="1" t="n">
        <v>46055.58804398148</v>
      </c>
      <c r="C857" s="1" t="n">
        <v>46180</v>
      </c>
      <c r="D857" t="inlineStr">
        <is>
          <t>GÄVLEBORGS LÄN</t>
        </is>
      </c>
      <c r="E857" t="inlineStr">
        <is>
          <t>BOLLNÄS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46841-2025</t>
        </is>
      </c>
      <c r="B858" s="1" t="n">
        <v>45928.51072916666</v>
      </c>
      <c r="C858" s="1" t="n">
        <v>46180</v>
      </c>
      <c r="D858" t="inlineStr">
        <is>
          <t>GÄVLEBORGS LÄN</t>
        </is>
      </c>
      <c r="E858" t="inlineStr">
        <is>
          <t>BOLLNÄS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6153-2026</t>
        </is>
      </c>
      <c r="B859" s="1" t="n">
        <v>46055.2467824074</v>
      </c>
      <c r="C859" s="1" t="n">
        <v>46180</v>
      </c>
      <c r="D859" t="inlineStr">
        <is>
          <t>GÄVLEBORGS LÄN</t>
        </is>
      </c>
      <c r="E859" t="inlineStr">
        <is>
          <t>BOLLNÄS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6172-2026</t>
        </is>
      </c>
      <c r="B860" s="1" t="n">
        <v>46055.34146990741</v>
      </c>
      <c r="C860" s="1" t="n">
        <v>46180</v>
      </c>
      <c r="D860" t="inlineStr">
        <is>
          <t>GÄVLEBORGS LÄN</t>
        </is>
      </c>
      <c r="E860" t="inlineStr">
        <is>
          <t>BOLLNÄS</t>
        </is>
      </c>
      <c r="G860" t="n">
        <v>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47108-2025</t>
        </is>
      </c>
      <c r="B861" s="1" t="n">
        <v>45929.66302083333</v>
      </c>
      <c r="C861" s="1" t="n">
        <v>46180</v>
      </c>
      <c r="D861" t="inlineStr">
        <is>
          <t>GÄVLEBORGS LÄN</t>
        </is>
      </c>
      <c r="E861" t="inlineStr">
        <is>
          <t>BOLLNÄS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8665-2025</t>
        </is>
      </c>
      <c r="B862" s="1" t="n">
        <v>45712.40818287037</v>
      </c>
      <c r="C862" s="1" t="n">
        <v>46180</v>
      </c>
      <c r="D862" t="inlineStr">
        <is>
          <t>GÄVLEBORGS LÄN</t>
        </is>
      </c>
      <c r="E862" t="inlineStr">
        <is>
          <t>BOLLNÄS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38764-2025</t>
        </is>
      </c>
      <c r="B863" s="1" t="n">
        <v>45887.40658564815</v>
      </c>
      <c r="C863" s="1" t="n">
        <v>46180</v>
      </c>
      <c r="D863" t="inlineStr">
        <is>
          <t>GÄVLEBORGS LÄN</t>
        </is>
      </c>
      <c r="E863" t="inlineStr">
        <is>
          <t>BOLLNÄS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62685-2023</t>
        </is>
      </c>
      <c r="B864" s="1" t="n">
        <v>45271.49274305555</v>
      </c>
      <c r="C864" s="1" t="n">
        <v>46180</v>
      </c>
      <c r="D864" t="inlineStr">
        <is>
          <t>GÄVLEBORGS LÄN</t>
        </is>
      </c>
      <c r="E864" t="inlineStr">
        <is>
          <t>BOLLNÄS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64422-2023</t>
        </is>
      </c>
      <c r="B865" s="1" t="n">
        <v>45280.65898148148</v>
      </c>
      <c r="C865" s="1" t="n">
        <v>46180</v>
      </c>
      <c r="D865" t="inlineStr">
        <is>
          <t>GÄVLEBORGS LÄN</t>
        </is>
      </c>
      <c r="E865" t="inlineStr">
        <is>
          <t>BOLLNÄS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57384-2024</t>
        </is>
      </c>
      <c r="B866" s="1" t="n">
        <v>45629.68210648148</v>
      </c>
      <c r="C866" s="1" t="n">
        <v>46180</v>
      </c>
      <c r="D866" t="inlineStr">
        <is>
          <t>GÄVLEBORGS LÄN</t>
        </is>
      </c>
      <c r="E866" t="inlineStr">
        <is>
          <t>BOLLNÄS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35208-2025</t>
        </is>
      </c>
      <c r="B867" s="1" t="n">
        <v>45853</v>
      </c>
      <c r="C867" s="1" t="n">
        <v>46180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39526-2025</t>
        </is>
      </c>
      <c r="B868" s="1" t="n">
        <v>45890.44188657407</v>
      </c>
      <c r="C868" s="1" t="n">
        <v>46180</v>
      </c>
      <c r="D868" t="inlineStr">
        <is>
          <t>GÄVLEBORGS LÄN</t>
        </is>
      </c>
      <c r="E868" t="inlineStr">
        <is>
          <t>BOLLNÄS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17529-2024</t>
        </is>
      </c>
      <c r="B869" s="1" t="n">
        <v>45415</v>
      </c>
      <c r="C869" s="1" t="n">
        <v>46180</v>
      </c>
      <c r="D869" t="inlineStr">
        <is>
          <t>GÄVLEBORGS LÄN</t>
        </is>
      </c>
      <c r="E869" t="inlineStr">
        <is>
          <t>BOLLNÄS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33259-2025</t>
        </is>
      </c>
      <c r="B870" s="1" t="n">
        <v>45840.67278935185</v>
      </c>
      <c r="C870" s="1" t="n">
        <v>46180</v>
      </c>
      <c r="D870" t="inlineStr">
        <is>
          <t>GÄVLEBORGS LÄN</t>
        </is>
      </c>
      <c r="E870" t="inlineStr">
        <is>
          <t>BOLLNÄS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51952-2023</t>
        </is>
      </c>
      <c r="B871" s="1" t="n">
        <v>45223.53648148148</v>
      </c>
      <c r="C871" s="1" t="n">
        <v>46180</v>
      </c>
      <c r="D871" t="inlineStr">
        <is>
          <t>GÄVLEBORGS LÄN</t>
        </is>
      </c>
      <c r="E871" t="inlineStr">
        <is>
          <t>BOLLNÄS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32405-2025</t>
        </is>
      </c>
      <c r="B872" s="1" t="n">
        <v>45838.31546296296</v>
      </c>
      <c r="C872" s="1" t="n">
        <v>46180</v>
      </c>
      <c r="D872" t="inlineStr">
        <is>
          <t>GÄVLEBORGS LÄN</t>
        </is>
      </c>
      <c r="E872" t="inlineStr">
        <is>
          <t>BOLLNÄS</t>
        </is>
      </c>
      <c r="F872" t="inlineStr">
        <is>
          <t>Bergvik skog väst AB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63108-2021</t>
        </is>
      </c>
      <c r="B873" s="1" t="n">
        <v>44505</v>
      </c>
      <c r="C873" s="1" t="n">
        <v>46180</v>
      </c>
      <c r="D873" t="inlineStr">
        <is>
          <t>GÄVLEBORGS LÄN</t>
        </is>
      </c>
      <c r="E873" t="inlineStr">
        <is>
          <t>BOLLNÄS</t>
        </is>
      </c>
      <c r="F873" t="inlineStr">
        <is>
          <t>Bergvik skog väst AB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48336-2023</t>
        </is>
      </c>
      <c r="B874" s="1" t="n">
        <v>45205</v>
      </c>
      <c r="C874" s="1" t="n">
        <v>46180</v>
      </c>
      <c r="D874" t="inlineStr">
        <is>
          <t>GÄVLEBORGS LÄN</t>
        </is>
      </c>
      <c r="E874" t="inlineStr">
        <is>
          <t>BOLLNÄS</t>
        </is>
      </c>
      <c r="G874" t="n">
        <v>6.1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33422-2024</t>
        </is>
      </c>
      <c r="B875" s="1" t="n">
        <v>45519.50747685185</v>
      </c>
      <c r="C875" s="1" t="n">
        <v>46180</v>
      </c>
      <c r="D875" t="inlineStr">
        <is>
          <t>GÄVLEBORGS LÄN</t>
        </is>
      </c>
      <c r="E875" t="inlineStr">
        <is>
          <t>BOLLNÄS</t>
        </is>
      </c>
      <c r="F875" t="inlineStr">
        <is>
          <t>Bergvik skog väst AB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10030-2025</t>
        </is>
      </c>
      <c r="B876" s="1" t="n">
        <v>45719.49319444445</v>
      </c>
      <c r="C876" s="1" t="n">
        <v>46180</v>
      </c>
      <c r="D876" t="inlineStr">
        <is>
          <t>GÄVLEBORGS LÄN</t>
        </is>
      </c>
      <c r="E876" t="inlineStr">
        <is>
          <t>BOLLNÄS</t>
        </is>
      </c>
      <c r="F876" t="inlineStr">
        <is>
          <t>Bergvik skog väst AB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33944-2025</t>
        </is>
      </c>
      <c r="B877" s="1" t="n">
        <v>45842.64752314815</v>
      </c>
      <c r="C877" s="1" t="n">
        <v>46180</v>
      </c>
      <c r="D877" t="inlineStr">
        <is>
          <t>GÄVLEBORGS LÄN</t>
        </is>
      </c>
      <c r="E877" t="inlineStr">
        <is>
          <t>BOLLNÄS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47000-2025</t>
        </is>
      </c>
      <c r="B878" s="1" t="n">
        <v>45929.54972222223</v>
      </c>
      <c r="C878" s="1" t="n">
        <v>46180</v>
      </c>
      <c r="D878" t="inlineStr">
        <is>
          <t>GÄVLEBORGS LÄN</t>
        </is>
      </c>
      <c r="E878" t="inlineStr">
        <is>
          <t>BOLLNÄS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32754-2023</t>
        </is>
      </c>
      <c r="B879" s="1" t="n">
        <v>45123</v>
      </c>
      <c r="C879" s="1" t="n">
        <v>46180</v>
      </c>
      <c r="D879" t="inlineStr">
        <is>
          <t>GÄVLEBORGS LÄN</t>
        </is>
      </c>
      <c r="E879" t="inlineStr">
        <is>
          <t>BOLLNÄS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28645-2024</t>
        </is>
      </c>
      <c r="B880" s="1" t="n">
        <v>45478.46400462963</v>
      </c>
      <c r="C880" s="1" t="n">
        <v>46180</v>
      </c>
      <c r="D880" t="inlineStr">
        <is>
          <t>GÄVLEBORGS LÄN</t>
        </is>
      </c>
      <c r="E880" t="inlineStr">
        <is>
          <t>BOLLNÄS</t>
        </is>
      </c>
      <c r="F880" t="inlineStr">
        <is>
          <t>Bergvik skog väst AB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6882-2023</t>
        </is>
      </c>
      <c r="B881" s="1" t="n">
        <v>44967.48270833334</v>
      </c>
      <c r="C881" s="1" t="n">
        <v>46180</v>
      </c>
      <c r="D881" t="inlineStr">
        <is>
          <t>GÄVLEBORGS LÄN</t>
        </is>
      </c>
      <c r="E881" t="inlineStr">
        <is>
          <t>BOLLNÄS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6562-2026</t>
        </is>
      </c>
      <c r="B882" s="1" t="n">
        <v>46056.43694444445</v>
      </c>
      <c r="C882" s="1" t="n">
        <v>46180</v>
      </c>
      <c r="D882" t="inlineStr">
        <is>
          <t>GÄVLEBORGS LÄN</t>
        </is>
      </c>
      <c r="E882" t="inlineStr">
        <is>
          <t>BOLLNÄS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6564-2026</t>
        </is>
      </c>
      <c r="B883" s="1" t="n">
        <v>46056.43815972222</v>
      </c>
      <c r="C883" s="1" t="n">
        <v>46180</v>
      </c>
      <c r="D883" t="inlineStr">
        <is>
          <t>GÄVLEBORGS LÄN</t>
        </is>
      </c>
      <c r="E883" t="inlineStr">
        <is>
          <t>BOLLNÄS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47639-2025</t>
        </is>
      </c>
      <c r="B884" s="1" t="n">
        <v>45931.505625</v>
      </c>
      <c r="C884" s="1" t="n">
        <v>46180</v>
      </c>
      <c r="D884" t="inlineStr">
        <is>
          <t>GÄVLEBORGS LÄN</t>
        </is>
      </c>
      <c r="E884" t="inlineStr">
        <is>
          <t>BOLLNÄS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33630-2025</t>
        </is>
      </c>
      <c r="B885" s="1" t="n">
        <v>45841.63774305556</v>
      </c>
      <c r="C885" s="1" t="n">
        <v>46180</v>
      </c>
      <c r="D885" t="inlineStr">
        <is>
          <t>GÄVLEBORGS LÄN</t>
        </is>
      </c>
      <c r="E885" t="inlineStr">
        <is>
          <t>BOLLNÄS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6492-2026</t>
        </is>
      </c>
      <c r="B886" s="1" t="n">
        <v>46056</v>
      </c>
      <c r="C886" s="1" t="n">
        <v>46180</v>
      </c>
      <c r="D886" t="inlineStr">
        <is>
          <t>GÄVLEBORGS LÄN</t>
        </is>
      </c>
      <c r="E886" t="inlineStr">
        <is>
          <t>BOLLNÄS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6501-2026</t>
        </is>
      </c>
      <c r="B887" s="1" t="n">
        <v>46056.36847222222</v>
      </c>
      <c r="C887" s="1" t="n">
        <v>46180</v>
      </c>
      <c r="D887" t="inlineStr">
        <is>
          <t>GÄVLEBORGS LÄN</t>
        </is>
      </c>
      <c r="E887" t="inlineStr">
        <is>
          <t>BOLLNÄS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42575-2024</t>
        </is>
      </c>
      <c r="B888" s="1" t="n">
        <v>45565.64587962963</v>
      </c>
      <c r="C888" s="1" t="n">
        <v>46180</v>
      </c>
      <c r="D888" t="inlineStr">
        <is>
          <t>GÄVLEBORGS LÄN</t>
        </is>
      </c>
      <c r="E888" t="inlineStr">
        <is>
          <t>BOLLNÄS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33639-2025</t>
        </is>
      </c>
      <c r="B889" s="1" t="n">
        <v>45841.64856481482</v>
      </c>
      <c r="C889" s="1" t="n">
        <v>46180</v>
      </c>
      <c r="D889" t="inlineStr">
        <is>
          <t>GÄVLEBORGS LÄN</t>
        </is>
      </c>
      <c r="E889" t="inlineStr">
        <is>
          <t>BOLLNÄS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6443-2026</t>
        </is>
      </c>
      <c r="B890" s="1" t="n">
        <v>46055.81494212963</v>
      </c>
      <c r="C890" s="1" t="n">
        <v>46180</v>
      </c>
      <c r="D890" t="inlineStr">
        <is>
          <t>GÄVLEBORGS LÄN</t>
        </is>
      </c>
      <c r="E890" t="inlineStr">
        <is>
          <t>BOLLNÄS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6473-2026</t>
        </is>
      </c>
      <c r="B891" s="1" t="n">
        <v>46056</v>
      </c>
      <c r="C891" s="1" t="n">
        <v>46180</v>
      </c>
      <c r="D891" t="inlineStr">
        <is>
          <t>GÄVLEBORGS LÄN</t>
        </is>
      </c>
      <c r="E891" t="inlineStr">
        <is>
          <t>BOLLNÄS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6476-2026</t>
        </is>
      </c>
      <c r="B892" s="1" t="n">
        <v>46056</v>
      </c>
      <c r="C892" s="1" t="n">
        <v>46180</v>
      </c>
      <c r="D892" t="inlineStr">
        <is>
          <t>GÄVLEBORGS LÄN</t>
        </is>
      </c>
      <c r="E892" t="inlineStr">
        <is>
          <t>BOLLNÄS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6260-2026</t>
        </is>
      </c>
      <c r="B893" s="1" t="n">
        <v>46055.48059027778</v>
      </c>
      <c r="C893" s="1" t="n">
        <v>46180</v>
      </c>
      <c r="D893" t="inlineStr">
        <is>
          <t>GÄVLEBORGS LÄN</t>
        </is>
      </c>
      <c r="E893" t="inlineStr">
        <is>
          <t>BOLLNÄS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33642-2025</t>
        </is>
      </c>
      <c r="B894" s="1" t="n">
        <v>45841.65119212963</v>
      </c>
      <c r="C894" s="1" t="n">
        <v>46180</v>
      </c>
      <c r="D894" t="inlineStr">
        <is>
          <t>GÄVLEBORGS LÄN</t>
        </is>
      </c>
      <c r="E894" t="inlineStr">
        <is>
          <t>BOLLNÄS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6718-2026</t>
        </is>
      </c>
      <c r="B895" s="1" t="n">
        <v>46056</v>
      </c>
      <c r="C895" s="1" t="n">
        <v>46180</v>
      </c>
      <c r="D895" t="inlineStr">
        <is>
          <t>GÄVLEBORGS LÄN</t>
        </is>
      </c>
      <c r="E895" t="inlineStr">
        <is>
          <t>BOLLNÄS</t>
        </is>
      </c>
      <c r="F895" t="inlineStr">
        <is>
          <t>Bergvik skog väst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6296-2026</t>
        </is>
      </c>
      <c r="B896" s="1" t="n">
        <v>46055.56340277778</v>
      </c>
      <c r="C896" s="1" t="n">
        <v>46180</v>
      </c>
      <c r="D896" t="inlineStr">
        <is>
          <t>GÄVLEBORGS LÄN</t>
        </is>
      </c>
      <c r="E896" t="inlineStr">
        <is>
          <t>BOLLNÄS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6741-2026</t>
        </is>
      </c>
      <c r="B897" s="1" t="n">
        <v>46056.71391203703</v>
      </c>
      <c r="C897" s="1" t="n">
        <v>46180</v>
      </c>
      <c r="D897" t="inlineStr">
        <is>
          <t>GÄVLEBORGS LÄN</t>
        </is>
      </c>
      <c r="E897" t="inlineStr">
        <is>
          <t>BOLLNÄS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33624-2025</t>
        </is>
      </c>
      <c r="B898" s="1" t="n">
        <v>45841.63111111111</v>
      </c>
      <c r="C898" s="1" t="n">
        <v>46180</v>
      </c>
      <c r="D898" t="inlineStr">
        <is>
          <t>GÄVLEBORGS LÄN</t>
        </is>
      </c>
      <c r="E898" t="inlineStr">
        <is>
          <t>BOLLNÄS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3163-2026</t>
        </is>
      </c>
      <c r="B899" s="1" t="n">
        <v>46041</v>
      </c>
      <c r="C899" s="1" t="n">
        <v>46180</v>
      </c>
      <c r="D899" t="inlineStr">
        <is>
          <t>GÄVLEBORGS LÄN</t>
        </is>
      </c>
      <c r="E899" t="inlineStr">
        <is>
          <t>BOLLNÄS</t>
        </is>
      </c>
      <c r="G899" t="n">
        <v>6.7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5160-2026</t>
        </is>
      </c>
      <c r="B900" s="1" t="n">
        <v>46049.61762731482</v>
      </c>
      <c r="C900" s="1" t="n">
        <v>46180</v>
      </c>
      <c r="D900" t="inlineStr">
        <is>
          <t>GÄVLEBORGS LÄN</t>
        </is>
      </c>
      <c r="E900" t="inlineStr">
        <is>
          <t>BOLLNÄS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6749-2026</t>
        </is>
      </c>
      <c r="B901" s="1" t="n">
        <v>46056.73796296296</v>
      </c>
      <c r="C901" s="1" t="n">
        <v>46180</v>
      </c>
      <c r="D901" t="inlineStr">
        <is>
          <t>GÄVLEBORGS LÄN</t>
        </is>
      </c>
      <c r="E901" t="inlineStr">
        <is>
          <t>BOLLNÄS</t>
        </is>
      </c>
      <c r="G901" t="n">
        <v>27.8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6758-2026</t>
        </is>
      </c>
      <c r="B902" s="1" t="n">
        <v>46056</v>
      </c>
      <c r="C902" s="1" t="n">
        <v>46180</v>
      </c>
      <c r="D902" t="inlineStr">
        <is>
          <t>GÄVLEBORGS LÄN</t>
        </is>
      </c>
      <c r="E902" t="inlineStr">
        <is>
          <t>BOLLNÄS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6477-2026</t>
        </is>
      </c>
      <c r="B903" s="1" t="n">
        <v>46056</v>
      </c>
      <c r="C903" s="1" t="n">
        <v>46180</v>
      </c>
      <c r="D903" t="inlineStr">
        <is>
          <t>GÄVLEBORGS LÄN</t>
        </is>
      </c>
      <c r="E903" t="inlineStr">
        <is>
          <t>BOLLNÄS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6251-2026</t>
        </is>
      </c>
      <c r="B904" s="1" t="n">
        <v>46055.4719212963</v>
      </c>
      <c r="C904" s="1" t="n">
        <v>46180</v>
      </c>
      <c r="D904" t="inlineStr">
        <is>
          <t>GÄVLEBORGS LÄN</t>
        </is>
      </c>
      <c r="E904" t="inlineStr">
        <is>
          <t>BOLLNÄS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6430-2026</t>
        </is>
      </c>
      <c r="B905" s="1" t="n">
        <v>46055</v>
      </c>
      <c r="C905" s="1" t="n">
        <v>46180</v>
      </c>
      <c r="D905" t="inlineStr">
        <is>
          <t>GÄVLEBORGS LÄN</t>
        </is>
      </c>
      <c r="E905" t="inlineStr">
        <is>
          <t>BOLLNÄS</t>
        </is>
      </c>
      <c r="F905" t="inlineStr">
        <is>
          <t>Kyrkan</t>
        </is>
      </c>
      <c r="G905" t="n">
        <v>8.6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6432-2026</t>
        </is>
      </c>
      <c r="B906" s="1" t="n">
        <v>46055.75491898148</v>
      </c>
      <c r="C906" s="1" t="n">
        <v>46180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6441-2026</t>
        </is>
      </c>
      <c r="B907" s="1" t="n">
        <v>46055.80913194444</v>
      </c>
      <c r="C907" s="1" t="n">
        <v>46180</v>
      </c>
      <c r="D907" t="inlineStr">
        <is>
          <t>GÄVLEBORGS LÄN</t>
        </is>
      </c>
      <c r="E907" t="inlineStr">
        <is>
          <t>BOLLNÄS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6442-2026</t>
        </is>
      </c>
      <c r="B908" s="1" t="n">
        <v>46055.8122337963</v>
      </c>
      <c r="C908" s="1" t="n">
        <v>46180</v>
      </c>
      <c r="D908" t="inlineStr">
        <is>
          <t>GÄVLEBORGS LÄN</t>
        </is>
      </c>
      <c r="E908" t="inlineStr">
        <is>
          <t>BOLLNÄS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34202-2025</t>
        </is>
      </c>
      <c r="B909" s="1" t="n">
        <v>45845.63385416667</v>
      </c>
      <c r="C909" s="1" t="n">
        <v>46180</v>
      </c>
      <c r="D909" t="inlineStr">
        <is>
          <t>GÄVLEBORGS LÄN</t>
        </is>
      </c>
      <c r="E909" t="inlineStr">
        <is>
          <t>BOLLNÄS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63956-2025</t>
        </is>
      </c>
      <c r="B910" s="1" t="n">
        <v>46020</v>
      </c>
      <c r="C910" s="1" t="n">
        <v>46180</v>
      </c>
      <c r="D910" t="inlineStr">
        <is>
          <t>GÄVLEBORGS LÄN</t>
        </is>
      </c>
      <c r="E910" t="inlineStr">
        <is>
          <t>BOLLNÄS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6538-2026</t>
        </is>
      </c>
      <c r="B911" s="1" t="n">
        <v>46056.42302083333</v>
      </c>
      <c r="C911" s="1" t="n">
        <v>46180</v>
      </c>
      <c r="D911" t="inlineStr">
        <is>
          <t>GÄVLEBORGS LÄN</t>
        </is>
      </c>
      <c r="E911" t="inlineStr">
        <is>
          <t>BOLLNÄS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6557-2026</t>
        </is>
      </c>
      <c r="B912" s="1" t="n">
        <v>46056.43421296297</v>
      </c>
      <c r="C912" s="1" t="n">
        <v>46180</v>
      </c>
      <c r="D912" t="inlineStr">
        <is>
          <t>GÄVLEBORGS LÄN</t>
        </is>
      </c>
      <c r="E912" t="inlineStr">
        <is>
          <t>BOLLNÄS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6559-2026</t>
        </is>
      </c>
      <c r="B913" s="1" t="n">
        <v>46056.43454861111</v>
      </c>
      <c r="C913" s="1" t="n">
        <v>46180</v>
      </c>
      <c r="D913" t="inlineStr">
        <is>
          <t>GÄVLEBORGS LÄN</t>
        </is>
      </c>
      <c r="E913" t="inlineStr">
        <is>
          <t>BOLLNÄS</t>
        </is>
      </c>
      <c r="G913" t="n">
        <v>15.5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6571-2026</t>
        </is>
      </c>
      <c r="B914" s="1" t="n">
        <v>46056.44422453704</v>
      </c>
      <c r="C914" s="1" t="n">
        <v>46180</v>
      </c>
      <c r="D914" t="inlineStr">
        <is>
          <t>GÄVLEBORGS LÄN</t>
        </is>
      </c>
      <c r="E914" t="inlineStr">
        <is>
          <t>BOLLNÄS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6578-2026</t>
        </is>
      </c>
      <c r="B915" s="1" t="n">
        <v>46056.45182870371</v>
      </c>
      <c r="C915" s="1" t="n">
        <v>46180</v>
      </c>
      <c r="D915" t="inlineStr">
        <is>
          <t>GÄVLEBORGS LÄN</t>
        </is>
      </c>
      <c r="E915" t="inlineStr">
        <is>
          <t>BOLLNÄS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6682-2026</t>
        </is>
      </c>
      <c r="B916" s="1" t="n">
        <v>46056</v>
      </c>
      <c r="C916" s="1" t="n">
        <v>46180</v>
      </c>
      <c r="D916" t="inlineStr">
        <is>
          <t>GÄVLEBORGS LÄN</t>
        </is>
      </c>
      <c r="E916" t="inlineStr">
        <is>
          <t>BOLLNÄS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6666-2026</t>
        </is>
      </c>
      <c r="B917" s="1" t="n">
        <v>46056.58694444445</v>
      </c>
      <c r="C917" s="1" t="n">
        <v>46180</v>
      </c>
      <c r="D917" t="inlineStr">
        <is>
          <t>GÄVLEBORGS LÄN</t>
        </is>
      </c>
      <c r="E917" t="inlineStr">
        <is>
          <t>BOLLNÄS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6479-2026</t>
        </is>
      </c>
      <c r="B918" s="1" t="n">
        <v>46056</v>
      </c>
      <c r="C918" s="1" t="n">
        <v>46180</v>
      </c>
      <c r="D918" t="inlineStr">
        <is>
          <t>GÄVLEBORGS LÄN</t>
        </is>
      </c>
      <c r="E918" t="inlineStr">
        <is>
          <t>BOLLNÄS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34216-2025</t>
        </is>
      </c>
      <c r="B919" s="1" t="n">
        <v>45845.64680555555</v>
      </c>
      <c r="C919" s="1" t="n">
        <v>46180</v>
      </c>
      <c r="D919" t="inlineStr">
        <is>
          <t>GÄVLEBORGS LÄN</t>
        </is>
      </c>
      <c r="E919" t="inlineStr">
        <is>
          <t>BOLLNÄS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56120-2024</t>
        </is>
      </c>
      <c r="B920" s="1" t="n">
        <v>45624.46519675926</v>
      </c>
      <c r="C920" s="1" t="n">
        <v>46180</v>
      </c>
      <c r="D920" t="inlineStr">
        <is>
          <t>GÄVLEBORGS LÄN</t>
        </is>
      </c>
      <c r="E920" t="inlineStr">
        <is>
          <t>BOLLNÄS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53036-2024</t>
        </is>
      </c>
      <c r="B921" s="1" t="n">
        <v>45611.43383101852</v>
      </c>
      <c r="C921" s="1" t="n">
        <v>46180</v>
      </c>
      <c r="D921" t="inlineStr">
        <is>
          <t>GÄVLEBORGS LÄN</t>
        </is>
      </c>
      <c r="E921" t="inlineStr">
        <is>
          <t>BOLLNÄS</t>
        </is>
      </c>
      <c r="G921" t="n">
        <v>6.1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3976-2023</t>
        </is>
      </c>
      <c r="B922" s="1" t="n">
        <v>44952</v>
      </c>
      <c r="C922" s="1" t="n">
        <v>46180</v>
      </c>
      <c r="D922" t="inlineStr">
        <is>
          <t>GÄVLEBORGS LÄN</t>
        </is>
      </c>
      <c r="E922" t="inlineStr">
        <is>
          <t>BOLLNÄS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34224-2025</t>
        </is>
      </c>
      <c r="B923" s="1" t="n">
        <v>45845.65662037037</v>
      </c>
      <c r="C923" s="1" t="n">
        <v>46180</v>
      </c>
      <c r="D923" t="inlineStr">
        <is>
          <t>GÄVLEBORGS LÄN</t>
        </is>
      </c>
      <c r="E923" t="inlineStr">
        <is>
          <t>BOLLNÄS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6252-2026</t>
        </is>
      </c>
      <c r="B924" s="1" t="n">
        <v>46055.47265046297</v>
      </c>
      <c r="C924" s="1" t="n">
        <v>46180</v>
      </c>
      <c r="D924" t="inlineStr">
        <is>
          <t>GÄVLEBORGS LÄN</t>
        </is>
      </c>
      <c r="E924" t="inlineStr">
        <is>
          <t>BOLLNÄS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6784-2026</t>
        </is>
      </c>
      <c r="B925" s="1" t="n">
        <v>46057.31211805555</v>
      </c>
      <c r="C925" s="1" t="n">
        <v>46180</v>
      </c>
      <c r="D925" t="inlineStr">
        <is>
          <t>GÄVLEBORGS LÄN</t>
        </is>
      </c>
      <c r="E925" t="inlineStr">
        <is>
          <t>BOLLNÄS</t>
        </is>
      </c>
      <c r="G925" t="n">
        <v>21.8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6850-2026</t>
        </is>
      </c>
      <c r="B926" s="1" t="n">
        <v>46057.43195601852</v>
      </c>
      <c r="C926" s="1" t="n">
        <v>46180</v>
      </c>
      <c r="D926" t="inlineStr">
        <is>
          <t>GÄVLEBORGS LÄN</t>
        </is>
      </c>
      <c r="E926" t="inlineStr">
        <is>
          <t>BOLLNÄS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7261-2026</t>
        </is>
      </c>
      <c r="B927" s="1" t="n">
        <v>46058</v>
      </c>
      <c r="C927" s="1" t="n">
        <v>46180</v>
      </c>
      <c r="D927" t="inlineStr">
        <is>
          <t>GÄVLEBORGS LÄN</t>
        </is>
      </c>
      <c r="E927" t="inlineStr">
        <is>
          <t>BOLLNÄS</t>
        </is>
      </c>
      <c r="F927" t="inlineStr">
        <is>
          <t>Bergvik skog väst AB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7280-2026</t>
        </is>
      </c>
      <c r="B928" s="1" t="n">
        <v>46058.63459490741</v>
      </c>
      <c r="C928" s="1" t="n">
        <v>46180</v>
      </c>
      <c r="D928" t="inlineStr">
        <is>
          <t>GÄVLEBORGS LÄN</t>
        </is>
      </c>
      <c r="E928" t="inlineStr">
        <is>
          <t>BOLLNÄS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34239-2025</t>
        </is>
      </c>
      <c r="B929" s="1" t="n">
        <v>45845.67314814815</v>
      </c>
      <c r="C929" s="1" t="n">
        <v>46180</v>
      </c>
      <c r="D929" t="inlineStr">
        <is>
          <t>GÄVLEBORGS LÄN</t>
        </is>
      </c>
      <c r="E929" t="inlineStr">
        <is>
          <t>BOLLNÄS</t>
        </is>
      </c>
      <c r="G929" t="n">
        <v>4.7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7309-2026</t>
        </is>
      </c>
      <c r="B930" s="1" t="n">
        <v>46058.66096064815</v>
      </c>
      <c r="C930" s="1" t="n">
        <v>46180</v>
      </c>
      <c r="D930" t="inlineStr">
        <is>
          <t>GÄVLEBORGS LÄN</t>
        </is>
      </c>
      <c r="E930" t="inlineStr">
        <is>
          <t>BOLLNÄS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7068-2026</t>
        </is>
      </c>
      <c r="B931" s="1" t="n">
        <v>46058.29828703704</v>
      </c>
      <c r="C931" s="1" t="n">
        <v>46180</v>
      </c>
      <c r="D931" t="inlineStr">
        <is>
          <t>GÄVLEBORGS LÄN</t>
        </is>
      </c>
      <c r="E931" t="inlineStr">
        <is>
          <t>BOLLNÄS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7094-2026</t>
        </is>
      </c>
      <c r="B932" s="1" t="n">
        <v>46058.34699074074</v>
      </c>
      <c r="C932" s="1" t="n">
        <v>46180</v>
      </c>
      <c r="D932" t="inlineStr">
        <is>
          <t>GÄVLEBORGS LÄN</t>
        </is>
      </c>
      <c r="E932" t="inlineStr">
        <is>
          <t>BOLLNÄS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6842-2026</t>
        </is>
      </c>
      <c r="B933" s="1" t="n">
        <v>46057</v>
      </c>
      <c r="C933" s="1" t="n">
        <v>46180</v>
      </c>
      <c r="D933" t="inlineStr">
        <is>
          <t>GÄVLEBORGS LÄN</t>
        </is>
      </c>
      <c r="E933" t="inlineStr">
        <is>
          <t>BOLLNÄS</t>
        </is>
      </c>
      <c r="F933" t="inlineStr">
        <is>
          <t>Bergvik skog väst AB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6853-2026</t>
        </is>
      </c>
      <c r="B934" s="1" t="n">
        <v>46057</v>
      </c>
      <c r="C934" s="1" t="n">
        <v>46180</v>
      </c>
      <c r="D934" t="inlineStr">
        <is>
          <t>GÄVLEBORGS LÄN</t>
        </is>
      </c>
      <c r="E934" t="inlineStr">
        <is>
          <t>BOLLNÄS</t>
        </is>
      </c>
      <c r="F934" t="inlineStr">
        <is>
          <t>Bergvik skog väst AB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7264-2026</t>
        </is>
      </c>
      <c r="B935" s="1" t="n">
        <v>46058.60697916667</v>
      </c>
      <c r="C935" s="1" t="n">
        <v>46180</v>
      </c>
      <c r="D935" t="inlineStr">
        <is>
          <t>GÄVLEBORGS LÄN</t>
        </is>
      </c>
      <c r="E935" t="inlineStr">
        <is>
          <t>BOLLNÄS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6330-2026</t>
        </is>
      </c>
      <c r="B936" s="1" t="n">
        <v>46055</v>
      </c>
      <c r="C936" s="1" t="n">
        <v>46180</v>
      </c>
      <c r="D936" t="inlineStr">
        <is>
          <t>GÄVLEBORGS LÄN</t>
        </is>
      </c>
      <c r="E936" t="inlineStr">
        <is>
          <t>BOLLNÄS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7103-2026</t>
        </is>
      </c>
      <c r="B937" s="1" t="n">
        <v>46058</v>
      </c>
      <c r="C937" s="1" t="n">
        <v>46180</v>
      </c>
      <c r="D937" t="inlineStr">
        <is>
          <t>GÄVLEBORGS LÄN</t>
        </is>
      </c>
      <c r="E937" t="inlineStr">
        <is>
          <t>BOLLNÄS</t>
        </is>
      </c>
      <c r="F937" t="inlineStr">
        <is>
          <t>Bergvik skog väst AB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34233-2025</t>
        </is>
      </c>
      <c r="B938" s="1" t="n">
        <v>45845</v>
      </c>
      <c r="C938" s="1" t="n">
        <v>46180</v>
      </c>
      <c r="D938" t="inlineStr">
        <is>
          <t>GÄVLEBORGS LÄN</t>
        </is>
      </c>
      <c r="E938" t="inlineStr">
        <is>
          <t>BOLLNÄS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7091-2026</t>
        </is>
      </c>
      <c r="B939" s="1" t="n">
        <v>46058.34454861111</v>
      </c>
      <c r="C939" s="1" t="n">
        <v>46180</v>
      </c>
      <c r="D939" t="inlineStr">
        <is>
          <t>GÄVLEBORGS LÄN</t>
        </is>
      </c>
      <c r="E939" t="inlineStr">
        <is>
          <t>BOLLNÄS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7183-2026</t>
        </is>
      </c>
      <c r="B940" s="1" t="n">
        <v>46058</v>
      </c>
      <c r="C940" s="1" t="n">
        <v>46180</v>
      </c>
      <c r="D940" t="inlineStr">
        <is>
          <t>GÄVLEBORGS LÄN</t>
        </is>
      </c>
      <c r="E940" t="inlineStr">
        <is>
          <t>BOLLNÄS</t>
        </is>
      </c>
      <c r="F940" t="inlineStr">
        <is>
          <t>Bergvik skog väst AB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7231-2026</t>
        </is>
      </c>
      <c r="B941" s="1" t="n">
        <v>46058.57243055556</v>
      </c>
      <c r="C941" s="1" t="n">
        <v>46180</v>
      </c>
      <c r="D941" t="inlineStr">
        <is>
          <t>GÄVLEBORGS LÄN</t>
        </is>
      </c>
      <c r="E941" t="inlineStr">
        <is>
          <t>BOLLNÄS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11645-2022</t>
        </is>
      </c>
      <c r="B942" s="1" t="n">
        <v>44631</v>
      </c>
      <c r="C942" s="1" t="n">
        <v>46180</v>
      </c>
      <c r="D942" t="inlineStr">
        <is>
          <t>GÄVLEBORGS LÄN</t>
        </is>
      </c>
      <c r="E942" t="inlineStr">
        <is>
          <t>BOLLNÄS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34553-2025</t>
        </is>
      </c>
      <c r="B943" s="1" t="n">
        <v>45847.5684375</v>
      </c>
      <c r="C943" s="1" t="n">
        <v>46180</v>
      </c>
      <c r="D943" t="inlineStr">
        <is>
          <t>GÄVLEBORGS LÄN</t>
        </is>
      </c>
      <c r="E943" t="inlineStr">
        <is>
          <t>BOLLNÄS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11956-2023</t>
        </is>
      </c>
      <c r="B944" s="1" t="n">
        <v>44995.54887731482</v>
      </c>
      <c r="C944" s="1" t="n">
        <v>46180</v>
      </c>
      <c r="D944" t="inlineStr">
        <is>
          <t>GÄVLEBORGS LÄN</t>
        </is>
      </c>
      <c r="E944" t="inlineStr">
        <is>
          <t>BOLLNÄS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7144-2026</t>
        </is>
      </c>
      <c r="B945" s="1" t="n">
        <v>46058.42159722222</v>
      </c>
      <c r="C945" s="1" t="n">
        <v>46180</v>
      </c>
      <c r="D945" t="inlineStr">
        <is>
          <t>GÄVLEBORGS LÄN</t>
        </is>
      </c>
      <c r="E945" t="inlineStr">
        <is>
          <t>BOLLNÄS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7146-2026</t>
        </is>
      </c>
      <c r="B946" s="1" t="n">
        <v>46058</v>
      </c>
      <c r="C946" s="1" t="n">
        <v>46180</v>
      </c>
      <c r="D946" t="inlineStr">
        <is>
          <t>GÄVLEBORGS LÄN</t>
        </is>
      </c>
      <c r="E946" t="inlineStr">
        <is>
          <t>BOLLNÄS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34688-2025</t>
        </is>
      </c>
      <c r="B947" s="1" t="n">
        <v>45848</v>
      </c>
      <c r="C947" s="1" t="n">
        <v>46180</v>
      </c>
      <c r="D947" t="inlineStr">
        <is>
          <t>GÄVLEBORGS LÄN</t>
        </is>
      </c>
      <c r="E947" t="inlineStr">
        <is>
          <t>BOLLNÄS</t>
        </is>
      </c>
      <c r="F947" t="inlineStr">
        <is>
          <t>Holmen skog AB</t>
        </is>
      </c>
      <c r="G947" t="n">
        <v>32.6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58753-2021</t>
        </is>
      </c>
      <c r="B948" s="1" t="n">
        <v>44489</v>
      </c>
      <c r="C948" s="1" t="n">
        <v>46180</v>
      </c>
      <c r="D948" t="inlineStr">
        <is>
          <t>GÄVLEBORGS LÄN</t>
        </is>
      </c>
      <c r="E948" t="inlineStr">
        <is>
          <t>BOLLNÄS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61711-2023</t>
        </is>
      </c>
      <c r="B949" s="1" t="n">
        <v>45265.66679398148</v>
      </c>
      <c r="C949" s="1" t="n">
        <v>46180</v>
      </c>
      <c r="D949" t="inlineStr">
        <is>
          <t>GÄVLEBORGS LÄN</t>
        </is>
      </c>
      <c r="E949" t="inlineStr">
        <is>
          <t>BOLLNÄS</t>
        </is>
      </c>
      <c r="G949" t="n">
        <v>7.1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7032-2026</t>
        </is>
      </c>
      <c r="B950" s="1" t="n">
        <v>46057</v>
      </c>
      <c r="C950" s="1" t="n">
        <v>46180</v>
      </c>
      <c r="D950" t="inlineStr">
        <is>
          <t>GÄVLEBORGS LÄN</t>
        </is>
      </c>
      <c r="E950" t="inlineStr">
        <is>
          <t>BOLLNÄS</t>
        </is>
      </c>
      <c r="F950" t="inlineStr">
        <is>
          <t>Bergvik skog väst AB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7139-2026</t>
        </is>
      </c>
      <c r="B951" s="1" t="n">
        <v>46058.40991898148</v>
      </c>
      <c r="C951" s="1" t="n">
        <v>46180</v>
      </c>
      <c r="D951" t="inlineStr">
        <is>
          <t>GÄVLEBORGS LÄN</t>
        </is>
      </c>
      <c r="E951" t="inlineStr">
        <is>
          <t>BOLLNÄS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6770-2026</t>
        </is>
      </c>
      <c r="B952" s="1" t="n">
        <v>46057.27619212963</v>
      </c>
      <c r="C952" s="1" t="n">
        <v>46180</v>
      </c>
      <c r="D952" t="inlineStr">
        <is>
          <t>GÄVLEBORGS LÄN</t>
        </is>
      </c>
      <c r="E952" t="inlineStr">
        <is>
          <t>BOLLNÄS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7203-2026</t>
        </is>
      </c>
      <c r="B953" s="1" t="n">
        <v>46058.52929398148</v>
      </c>
      <c r="C953" s="1" t="n">
        <v>46180</v>
      </c>
      <c r="D953" t="inlineStr">
        <is>
          <t>GÄVLEBORGS LÄN</t>
        </is>
      </c>
      <c r="E953" t="inlineStr">
        <is>
          <t>BOLLNÄS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46664-2024</t>
        </is>
      </c>
      <c r="B954" s="1" t="n">
        <v>45583.36581018518</v>
      </c>
      <c r="C954" s="1" t="n">
        <v>46180</v>
      </c>
      <c r="D954" t="inlineStr">
        <is>
          <t>GÄVLEBORGS LÄN</t>
        </is>
      </c>
      <c r="E954" t="inlineStr">
        <is>
          <t>BOLLNÄS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63953-2025</t>
        </is>
      </c>
      <c r="B955" s="1" t="n">
        <v>46020</v>
      </c>
      <c r="C955" s="1" t="n">
        <v>46180</v>
      </c>
      <c r="D955" t="inlineStr">
        <is>
          <t>GÄVLEBORGS LÄN</t>
        </is>
      </c>
      <c r="E955" t="inlineStr">
        <is>
          <t>BOLLNÄS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7215-2026</t>
        </is>
      </c>
      <c r="B956" s="1" t="n">
        <v>46058.55074074074</v>
      </c>
      <c r="C956" s="1" t="n">
        <v>46180</v>
      </c>
      <c r="D956" t="inlineStr">
        <is>
          <t>GÄVLEBORGS LÄN</t>
        </is>
      </c>
      <c r="E956" t="inlineStr">
        <is>
          <t>BOLLNÄS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34481-2025</t>
        </is>
      </c>
      <c r="B957" s="1" t="n">
        <v>45847.37819444444</v>
      </c>
      <c r="C957" s="1" t="n">
        <v>46180</v>
      </c>
      <c r="D957" t="inlineStr">
        <is>
          <t>GÄVLEBORGS LÄN</t>
        </is>
      </c>
      <c r="E957" t="inlineStr">
        <is>
          <t>BOLLNÄS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7039-2026</t>
        </is>
      </c>
      <c r="B958" s="1" t="n">
        <v>46057</v>
      </c>
      <c r="C958" s="1" t="n">
        <v>46180</v>
      </c>
      <c r="D958" t="inlineStr">
        <is>
          <t>GÄVLEBORGS LÄN</t>
        </is>
      </c>
      <c r="E958" t="inlineStr">
        <is>
          <t>BOLLNÄS</t>
        </is>
      </c>
      <c r="F958" t="inlineStr">
        <is>
          <t>Bergvik skog väst AB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7067-2026</t>
        </is>
      </c>
      <c r="B959" s="1" t="n">
        <v>46058.284375</v>
      </c>
      <c r="C959" s="1" t="n">
        <v>46180</v>
      </c>
      <c r="D959" t="inlineStr">
        <is>
          <t>GÄVLEBORGS LÄN</t>
        </is>
      </c>
      <c r="E959" t="inlineStr">
        <is>
          <t>BOLLNÄS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7088-2026</t>
        </is>
      </c>
      <c r="B960" s="1" t="n">
        <v>46058.34273148148</v>
      </c>
      <c r="C960" s="1" t="n">
        <v>46180</v>
      </c>
      <c r="D960" t="inlineStr">
        <is>
          <t>GÄVLEBORGS LÄN</t>
        </is>
      </c>
      <c r="E960" t="inlineStr">
        <is>
          <t>BOLLNÄS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7095-2026</t>
        </is>
      </c>
      <c r="B961" s="1" t="n">
        <v>46058.34798611111</v>
      </c>
      <c r="C961" s="1" t="n">
        <v>46180</v>
      </c>
      <c r="D961" t="inlineStr">
        <is>
          <t>GÄVLEBORGS LÄN</t>
        </is>
      </c>
      <c r="E961" t="inlineStr">
        <is>
          <t>BOLLNÄS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7100-2026</t>
        </is>
      </c>
      <c r="B962" s="1" t="n">
        <v>46058</v>
      </c>
      <c r="C962" s="1" t="n">
        <v>46180</v>
      </c>
      <c r="D962" t="inlineStr">
        <is>
          <t>GÄVLEBORGS LÄN</t>
        </is>
      </c>
      <c r="E962" t="inlineStr">
        <is>
          <t>BOLLNÄS</t>
        </is>
      </c>
      <c r="F962" t="inlineStr">
        <is>
          <t>Bergvik skog väst AB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7112-2026</t>
        </is>
      </c>
      <c r="B963" s="1" t="n">
        <v>46058.37418981481</v>
      </c>
      <c r="C963" s="1" t="n">
        <v>46180</v>
      </c>
      <c r="D963" t="inlineStr">
        <is>
          <t>GÄVLEBORGS LÄN</t>
        </is>
      </c>
      <c r="E963" t="inlineStr">
        <is>
          <t>BOLLNÄS</t>
        </is>
      </c>
      <c r="G963" t="n">
        <v>7.8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6769-2026</t>
        </is>
      </c>
      <c r="B964" s="1" t="n">
        <v>46057.27315972222</v>
      </c>
      <c r="C964" s="1" t="n">
        <v>46180</v>
      </c>
      <c r="D964" t="inlineStr">
        <is>
          <t>GÄVLEBORGS LÄN</t>
        </is>
      </c>
      <c r="E964" t="inlineStr">
        <is>
          <t>BOLLNÄS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6773-2026</t>
        </is>
      </c>
      <c r="B965" s="1" t="n">
        <v>46057.29446759259</v>
      </c>
      <c r="C965" s="1" t="n">
        <v>46180</v>
      </c>
      <c r="D965" t="inlineStr">
        <is>
          <t>GÄVLEBORGS LÄN</t>
        </is>
      </c>
      <c r="E965" t="inlineStr">
        <is>
          <t>BOLLNÄS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6783-2026</t>
        </is>
      </c>
      <c r="B966" s="1" t="n">
        <v>46057.31099537037</v>
      </c>
      <c r="C966" s="1" t="n">
        <v>46180</v>
      </c>
      <c r="D966" t="inlineStr">
        <is>
          <t>GÄVLEBORGS LÄN</t>
        </is>
      </c>
      <c r="E966" t="inlineStr">
        <is>
          <t>BOLLNÄS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35095-2025</t>
        </is>
      </c>
      <c r="B967" s="1" t="n">
        <v>45852.5432175926</v>
      </c>
      <c r="C967" s="1" t="n">
        <v>46180</v>
      </c>
      <c r="D967" t="inlineStr">
        <is>
          <t>GÄVLEBORGS LÄN</t>
        </is>
      </c>
      <c r="E967" t="inlineStr">
        <is>
          <t>BOLLNÄS</t>
        </is>
      </c>
      <c r="F967" t="inlineStr">
        <is>
          <t>Bergvik skog väst AB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6759-2026</t>
        </is>
      </c>
      <c r="B968" s="1" t="n">
        <v>46056.83179398148</v>
      </c>
      <c r="C968" s="1" t="n">
        <v>46180</v>
      </c>
      <c r="D968" t="inlineStr">
        <is>
          <t>GÄVLEBORGS LÄN</t>
        </is>
      </c>
      <c r="E968" t="inlineStr">
        <is>
          <t>BOLLNÄS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5561-2026</t>
        </is>
      </c>
      <c r="B969" s="1" t="n">
        <v>46050</v>
      </c>
      <c r="C969" s="1" t="n">
        <v>46180</v>
      </c>
      <c r="D969" t="inlineStr">
        <is>
          <t>GÄVLEBORGS LÄN</t>
        </is>
      </c>
      <c r="E969" t="inlineStr">
        <is>
          <t>BOLLNÄS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1988-2025</t>
        </is>
      </c>
      <c r="B970" s="1" t="n">
        <v>45672.40888888889</v>
      </c>
      <c r="C970" s="1" t="n">
        <v>46180</v>
      </c>
      <c r="D970" t="inlineStr">
        <is>
          <t>GÄVLEBORGS LÄN</t>
        </is>
      </c>
      <c r="E970" t="inlineStr">
        <is>
          <t>BOLLNÄS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2006-2025</t>
        </is>
      </c>
      <c r="B971" s="1" t="n">
        <v>45672.45166666667</v>
      </c>
      <c r="C971" s="1" t="n">
        <v>46180</v>
      </c>
      <c r="D971" t="inlineStr">
        <is>
          <t>GÄVLEBORGS LÄN</t>
        </is>
      </c>
      <c r="E971" t="inlineStr">
        <is>
          <t>BOLLNÄS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6917-2026</t>
        </is>
      </c>
      <c r="B972" s="1" t="n">
        <v>46057</v>
      </c>
      <c r="C972" s="1" t="n">
        <v>46180</v>
      </c>
      <c r="D972" t="inlineStr">
        <is>
          <t>GÄVLEBORGS LÄN</t>
        </is>
      </c>
      <c r="E972" t="inlineStr">
        <is>
          <t>BOLLNÄS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6866-2026</t>
        </is>
      </c>
      <c r="B973" s="1" t="n">
        <v>46057</v>
      </c>
      <c r="C973" s="1" t="n">
        <v>46180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6760-2026</t>
        </is>
      </c>
      <c r="B974" s="1" t="n">
        <v>46056.83444444444</v>
      </c>
      <c r="C974" s="1" t="n">
        <v>46180</v>
      </c>
      <c r="D974" t="inlineStr">
        <is>
          <t>GÄVLEBORGS LÄN</t>
        </is>
      </c>
      <c r="E974" t="inlineStr">
        <is>
          <t>BOLLNÄS</t>
        </is>
      </c>
      <c r="G974" t="n">
        <v>9.4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6777-2026</t>
        </is>
      </c>
      <c r="B975" s="1" t="n">
        <v>46057.29960648148</v>
      </c>
      <c r="C975" s="1" t="n">
        <v>46180</v>
      </c>
      <c r="D975" t="inlineStr">
        <is>
          <t>GÄVLEBORGS LÄN</t>
        </is>
      </c>
      <c r="E975" t="inlineStr">
        <is>
          <t>BOLLNÄS</t>
        </is>
      </c>
      <c r="G975" t="n">
        <v>10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48949-2025</t>
        </is>
      </c>
      <c r="B976" s="1" t="n">
        <v>45937.54375</v>
      </c>
      <c r="C976" s="1" t="n">
        <v>46180</v>
      </c>
      <c r="D976" t="inlineStr">
        <is>
          <t>GÄVLEBORGS LÄN</t>
        </is>
      </c>
      <c r="E976" t="inlineStr">
        <is>
          <t>BOLLNÄS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7145-2026</t>
        </is>
      </c>
      <c r="B977" s="1" t="n">
        <v>46058.42248842592</v>
      </c>
      <c r="C977" s="1" t="n">
        <v>46180</v>
      </c>
      <c r="D977" t="inlineStr">
        <is>
          <t>GÄVLEBORGS LÄN</t>
        </is>
      </c>
      <c r="E977" t="inlineStr">
        <is>
          <t>BOLLNÄS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7149-2026</t>
        </is>
      </c>
      <c r="B978" s="1" t="n">
        <v>46058</v>
      </c>
      <c r="C978" s="1" t="n">
        <v>46180</v>
      </c>
      <c r="D978" t="inlineStr">
        <is>
          <t>GÄVLEBORGS LÄN</t>
        </is>
      </c>
      <c r="E978" t="inlineStr">
        <is>
          <t>BOLLNÄS</t>
        </is>
      </c>
      <c r="F978" t="inlineStr">
        <is>
          <t>Bergvik skog väst AB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35169-2025</t>
        </is>
      </c>
      <c r="B979" s="1" t="n">
        <v>45852</v>
      </c>
      <c r="C979" s="1" t="n">
        <v>46180</v>
      </c>
      <c r="D979" t="inlineStr">
        <is>
          <t>GÄVLEBORGS LÄN</t>
        </is>
      </c>
      <c r="E979" t="inlineStr">
        <is>
          <t>BOLLNÄS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6785-2026</t>
        </is>
      </c>
      <c r="B980" s="1" t="n">
        <v>46057.31912037037</v>
      </c>
      <c r="C980" s="1" t="n">
        <v>46180</v>
      </c>
      <c r="D980" t="inlineStr">
        <is>
          <t>GÄVLEBORGS LÄN</t>
        </is>
      </c>
      <c r="E980" t="inlineStr">
        <is>
          <t>BOLLNÄS</t>
        </is>
      </c>
      <c r="G980" t="n">
        <v>9.5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7066-2026</t>
        </is>
      </c>
      <c r="B981" s="1" t="n">
        <v>46058.28021990741</v>
      </c>
      <c r="C981" s="1" t="n">
        <v>46180</v>
      </c>
      <c r="D981" t="inlineStr">
        <is>
          <t>GÄVLEBORGS LÄN</t>
        </is>
      </c>
      <c r="E981" t="inlineStr">
        <is>
          <t>BOLLNÄS</t>
        </is>
      </c>
      <c r="G981" t="n">
        <v>7.6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7093-2026</t>
        </is>
      </c>
      <c r="B982" s="1" t="n">
        <v>46058.34549768519</v>
      </c>
      <c r="C982" s="1" t="n">
        <v>46180</v>
      </c>
      <c r="D982" t="inlineStr">
        <is>
          <t>GÄVLEBORGS LÄN</t>
        </is>
      </c>
      <c r="E982" t="inlineStr">
        <is>
          <t>BOLLNÄS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7217-2026</t>
        </is>
      </c>
      <c r="B983" s="1" t="n">
        <v>46058</v>
      </c>
      <c r="C983" s="1" t="n">
        <v>46180</v>
      </c>
      <c r="D983" t="inlineStr">
        <is>
          <t>GÄVLEBORGS LÄN</t>
        </is>
      </c>
      <c r="E983" t="inlineStr">
        <is>
          <t>BOLLNÄS</t>
        </is>
      </c>
      <c r="F983" t="inlineStr">
        <is>
          <t>Bergvik skog väst AB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6914-2026</t>
        </is>
      </c>
      <c r="B984" s="1" t="n">
        <v>46057</v>
      </c>
      <c r="C984" s="1" t="n">
        <v>46180</v>
      </c>
      <c r="D984" t="inlineStr">
        <is>
          <t>GÄVLEBORGS LÄN</t>
        </is>
      </c>
      <c r="E984" t="inlineStr">
        <is>
          <t>BOLLNÄS</t>
        </is>
      </c>
      <c r="F984" t="inlineStr">
        <is>
          <t>Bergvik skog väst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6920-2026</t>
        </is>
      </c>
      <c r="B985" s="1" t="n">
        <v>46057.5354050926</v>
      </c>
      <c r="C985" s="1" t="n">
        <v>46180</v>
      </c>
      <c r="D985" t="inlineStr">
        <is>
          <t>GÄVLEBORGS LÄN</t>
        </is>
      </c>
      <c r="E985" t="inlineStr">
        <is>
          <t>BOLLNÄS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5781-2026</t>
        </is>
      </c>
      <c r="B986" s="1" t="n">
        <v>46051.65741898148</v>
      </c>
      <c r="C986" s="1" t="n">
        <v>46180</v>
      </c>
      <c r="D986" t="inlineStr">
        <is>
          <t>GÄVLEBORGS LÄN</t>
        </is>
      </c>
      <c r="E986" t="inlineStr">
        <is>
          <t>BOLLNÄS</t>
        </is>
      </c>
      <c r="F986" t="inlineStr">
        <is>
          <t>Bergvik skog väst AB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6787-2026</t>
        </is>
      </c>
      <c r="B987" s="1" t="n">
        <v>46057.33519675926</v>
      </c>
      <c r="C987" s="1" t="n">
        <v>46180</v>
      </c>
      <c r="D987" t="inlineStr">
        <is>
          <t>GÄVLEBORGS LÄN</t>
        </is>
      </c>
      <c r="E987" t="inlineStr">
        <is>
          <t>BOLLNÄS</t>
        </is>
      </c>
      <c r="G987" t="n">
        <v>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6791-2026</t>
        </is>
      </c>
      <c r="B988" s="1" t="n">
        <v>46057.3409375</v>
      </c>
      <c r="C988" s="1" t="n">
        <v>46180</v>
      </c>
      <c r="D988" t="inlineStr">
        <is>
          <t>GÄVLEBORGS LÄN</t>
        </is>
      </c>
      <c r="E988" t="inlineStr">
        <is>
          <t>BOLLNÄS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6857-2026</t>
        </is>
      </c>
      <c r="B989" s="1" t="n">
        <v>46057</v>
      </c>
      <c r="C989" s="1" t="n">
        <v>46180</v>
      </c>
      <c r="D989" t="inlineStr">
        <is>
          <t>GÄVLEBORGS LÄN</t>
        </is>
      </c>
      <c r="E989" t="inlineStr">
        <is>
          <t>BOLLNÄS</t>
        </is>
      </c>
      <c r="F989" t="inlineStr">
        <is>
          <t>Bergvik skog väst AB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6805-2026</t>
        </is>
      </c>
      <c r="B990" s="1" t="n">
        <v>46057.36021990741</v>
      </c>
      <c r="C990" s="1" t="n">
        <v>46180</v>
      </c>
      <c r="D990" t="inlineStr">
        <is>
          <t>GÄVLEBORGS LÄN</t>
        </is>
      </c>
      <c r="E990" t="inlineStr">
        <is>
          <t>BOLLNÄS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5526-2026</t>
        </is>
      </c>
      <c r="B991" s="1" t="n">
        <v>46050.6524537037</v>
      </c>
      <c r="C991" s="1" t="n">
        <v>46180</v>
      </c>
      <c r="D991" t="inlineStr">
        <is>
          <t>GÄVLEBORGS LÄN</t>
        </is>
      </c>
      <c r="E991" t="inlineStr">
        <is>
          <t>BOLLNÄS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7710-2026</t>
        </is>
      </c>
      <c r="B992" s="1" t="n">
        <v>46062.48096064815</v>
      </c>
      <c r="C992" s="1" t="n">
        <v>46180</v>
      </c>
      <c r="D992" t="inlineStr">
        <is>
          <t>GÄVLEBORGS LÄN</t>
        </is>
      </c>
      <c r="E992" t="inlineStr">
        <is>
          <t>BOLLNÄS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7411-2026</t>
        </is>
      </c>
      <c r="B993" s="1" t="n">
        <v>46059</v>
      </c>
      <c r="C993" s="1" t="n">
        <v>46180</v>
      </c>
      <c r="D993" t="inlineStr">
        <is>
          <t>GÄVLEBORGS LÄN</t>
        </is>
      </c>
      <c r="E993" t="inlineStr">
        <is>
          <t>BOLLNÄS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7336-2026</t>
        </is>
      </c>
      <c r="B994" s="1" t="n">
        <v>46058.87827546296</v>
      </c>
      <c r="C994" s="1" t="n">
        <v>46180</v>
      </c>
      <c r="D994" t="inlineStr">
        <is>
          <t>GÄVLEBORGS LÄN</t>
        </is>
      </c>
      <c r="E994" t="inlineStr">
        <is>
          <t>BOLLNÄS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7355-2026</t>
        </is>
      </c>
      <c r="B995" s="1" t="n">
        <v>46059</v>
      </c>
      <c r="C995" s="1" t="n">
        <v>46180</v>
      </c>
      <c r="D995" t="inlineStr">
        <is>
          <t>GÄVLEBORGS LÄN</t>
        </is>
      </c>
      <c r="E995" t="inlineStr">
        <is>
          <t>BOLLNÄS</t>
        </is>
      </c>
      <c r="F995" t="inlineStr">
        <is>
          <t>Bergvik skog väst AB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7632-2026</t>
        </is>
      </c>
      <c r="B996" s="1" t="n">
        <v>46062.36394675926</v>
      </c>
      <c r="C996" s="1" t="n">
        <v>46180</v>
      </c>
      <c r="D996" t="inlineStr">
        <is>
          <t>GÄVLEBORGS LÄN</t>
        </is>
      </c>
      <c r="E996" t="inlineStr">
        <is>
          <t>BOLLNÄS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7464-2026</t>
        </is>
      </c>
      <c r="B997" s="1" t="n">
        <v>46059.4814699074</v>
      </c>
      <c r="C997" s="1" t="n">
        <v>46180</v>
      </c>
      <c r="D997" t="inlineStr">
        <is>
          <t>GÄVLEBORGS LÄN</t>
        </is>
      </c>
      <c r="E997" t="inlineStr">
        <is>
          <t>BOLLNÄS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7479-2026</t>
        </is>
      </c>
      <c r="B998" s="1" t="n">
        <v>46059.50855324074</v>
      </c>
      <c r="C998" s="1" t="n">
        <v>46180</v>
      </c>
      <c r="D998" t="inlineStr">
        <is>
          <t>GÄVLEBORGS LÄN</t>
        </is>
      </c>
      <c r="E998" t="inlineStr">
        <is>
          <t>BOLLNÄS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7808-2026</t>
        </is>
      </c>
      <c r="B999" s="1" t="n">
        <v>46062</v>
      </c>
      <c r="C999" s="1" t="n">
        <v>46180</v>
      </c>
      <c r="D999" t="inlineStr">
        <is>
          <t>GÄVLEBORGS LÄN</t>
        </is>
      </c>
      <c r="E999" t="inlineStr">
        <is>
          <t>BOLLNÄS</t>
        </is>
      </c>
      <c r="F999" t="inlineStr">
        <is>
          <t>Bergvik skog väst AB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35447-2025</t>
        </is>
      </c>
      <c r="B1000" s="1" t="n">
        <v>45855.54505787037</v>
      </c>
      <c r="C1000" s="1" t="n">
        <v>46180</v>
      </c>
      <c r="D1000" t="inlineStr">
        <is>
          <t>GÄVLEBORGS LÄN</t>
        </is>
      </c>
      <c r="E1000" t="inlineStr">
        <is>
          <t>BOLLNÄS</t>
        </is>
      </c>
      <c r="F1000" t="inlineStr">
        <is>
          <t>Bergvik skog väst AB</t>
        </is>
      </c>
      <c r="G1000" t="n">
        <v>24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7417-2026</t>
        </is>
      </c>
      <c r="B1001" s="1" t="n">
        <v>46059</v>
      </c>
      <c r="C1001" s="1" t="n">
        <v>46180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Bergvik skog väst AB</t>
        </is>
      </c>
      <c r="G1001" t="n">
        <v>15.1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7339-2026</t>
        </is>
      </c>
      <c r="B1002" s="1" t="n">
        <v>46058.88850694444</v>
      </c>
      <c r="C1002" s="1" t="n">
        <v>46180</v>
      </c>
      <c r="D1002" t="inlineStr">
        <is>
          <t>GÄVLEBORGS LÄN</t>
        </is>
      </c>
      <c r="E1002" t="inlineStr">
        <is>
          <t>BOLLNÄS</t>
        </is>
      </c>
      <c r="G1002" t="n">
        <v>12.1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7568-2026</t>
        </is>
      </c>
      <c r="B1003" s="1" t="n">
        <v>46060.62287037037</v>
      </c>
      <c r="C1003" s="1" t="n">
        <v>46180</v>
      </c>
      <c r="D1003" t="inlineStr">
        <is>
          <t>GÄVLEBORGS LÄN</t>
        </is>
      </c>
      <c r="E1003" t="inlineStr">
        <is>
          <t>BOLLNÄS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7614-2026</t>
        </is>
      </c>
      <c r="B1004" s="1" t="n">
        <v>46062.32998842592</v>
      </c>
      <c r="C1004" s="1" t="n">
        <v>46180</v>
      </c>
      <c r="D1004" t="inlineStr">
        <is>
          <t>GÄVLEBORGS LÄN</t>
        </is>
      </c>
      <c r="E1004" t="inlineStr">
        <is>
          <t>BOLLNÄS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7706-2026</t>
        </is>
      </c>
      <c r="B1005" s="1" t="n">
        <v>46062</v>
      </c>
      <c r="C1005" s="1" t="n">
        <v>46180</v>
      </c>
      <c r="D1005" t="inlineStr">
        <is>
          <t>GÄVLEBORGS LÄN</t>
        </is>
      </c>
      <c r="E1005" t="inlineStr">
        <is>
          <t>BOLLNÄS</t>
        </is>
      </c>
      <c r="F1005" t="inlineStr">
        <is>
          <t>Bergvik skog väst AB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7470-2026</t>
        </is>
      </c>
      <c r="B1006" s="1" t="n">
        <v>46059.49020833334</v>
      </c>
      <c r="C1006" s="1" t="n">
        <v>46180</v>
      </c>
      <c r="D1006" t="inlineStr">
        <is>
          <t>GÄVLEBORGS LÄN</t>
        </is>
      </c>
      <c r="E1006" t="inlineStr">
        <is>
          <t>BOLLNÄS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35380-2025</t>
        </is>
      </c>
      <c r="B1007" s="1" t="n">
        <v>45855.3087962963</v>
      </c>
      <c r="C1007" s="1" t="n">
        <v>46180</v>
      </c>
      <c r="D1007" t="inlineStr">
        <is>
          <t>GÄVLEBORGS LÄN</t>
        </is>
      </c>
      <c r="E1007" t="inlineStr">
        <is>
          <t>BOLLNÄS</t>
        </is>
      </c>
      <c r="F1007" t="inlineStr">
        <is>
          <t>Bergvik skog väst AB</t>
        </is>
      </c>
      <c r="G1007" t="n">
        <v>13.2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7565-2026</t>
        </is>
      </c>
      <c r="B1008" s="1" t="n">
        <v>46060.57633101852</v>
      </c>
      <c r="C1008" s="1" t="n">
        <v>46180</v>
      </c>
      <c r="D1008" t="inlineStr">
        <is>
          <t>GÄVLEBORGS LÄN</t>
        </is>
      </c>
      <c r="E1008" t="inlineStr">
        <is>
          <t>BOLLNÄS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7566-2026</t>
        </is>
      </c>
      <c r="B1009" s="1" t="n">
        <v>46060</v>
      </c>
      <c r="C1009" s="1" t="n">
        <v>46180</v>
      </c>
      <c r="D1009" t="inlineStr">
        <is>
          <t>GÄVLEBORGS LÄN</t>
        </is>
      </c>
      <c r="E1009" t="inlineStr">
        <is>
          <t>BOLLNÄS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7569-2026</t>
        </is>
      </c>
      <c r="B1010" s="1" t="n">
        <v>46060.62847222222</v>
      </c>
      <c r="C1010" s="1" t="n">
        <v>46180</v>
      </c>
      <c r="D1010" t="inlineStr">
        <is>
          <t>GÄVLEBORGS LÄN</t>
        </is>
      </c>
      <c r="E1010" t="inlineStr">
        <is>
          <t>BOLLNÄS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7576-2026</t>
        </is>
      </c>
      <c r="B1011" s="1" t="n">
        <v>46061.40879629629</v>
      </c>
      <c r="C1011" s="1" t="n">
        <v>46180</v>
      </c>
      <c r="D1011" t="inlineStr">
        <is>
          <t>GÄVLEBORGS LÄN</t>
        </is>
      </c>
      <c r="E1011" t="inlineStr">
        <is>
          <t>BOLLNÄS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7399-2026</t>
        </is>
      </c>
      <c r="B1012" s="1" t="n">
        <v>46059</v>
      </c>
      <c r="C1012" s="1" t="n">
        <v>46180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7413-2026</t>
        </is>
      </c>
      <c r="B1013" s="1" t="n">
        <v>46059</v>
      </c>
      <c r="C1013" s="1" t="n">
        <v>46180</v>
      </c>
      <c r="D1013" t="inlineStr">
        <is>
          <t>GÄVLEBORGS LÄN</t>
        </is>
      </c>
      <c r="E1013" t="inlineStr">
        <is>
          <t>BOLLNÄS</t>
        </is>
      </c>
      <c r="F1013" t="inlineStr">
        <is>
          <t>Bergvik skog väst AB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7740-2026</t>
        </is>
      </c>
      <c r="B1014" s="1" t="n">
        <v>46062.53707175926</v>
      </c>
      <c r="C1014" s="1" t="n">
        <v>46180</v>
      </c>
      <c r="D1014" t="inlineStr">
        <is>
          <t>GÄVLEBORGS LÄN</t>
        </is>
      </c>
      <c r="E1014" t="inlineStr">
        <is>
          <t>BOLLNÄS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7791-2026</t>
        </is>
      </c>
      <c r="B1015" s="1" t="n">
        <v>46062</v>
      </c>
      <c r="C1015" s="1" t="n">
        <v>46180</v>
      </c>
      <c r="D1015" t="inlineStr">
        <is>
          <t>GÄVLEBORGS LÄN</t>
        </is>
      </c>
      <c r="E1015" t="inlineStr">
        <is>
          <t>BOLLNÄS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7660-2026</t>
        </is>
      </c>
      <c r="B1016" s="1" t="n">
        <v>46062.39435185185</v>
      </c>
      <c r="C1016" s="1" t="n">
        <v>46180</v>
      </c>
      <c r="D1016" t="inlineStr">
        <is>
          <t>GÄVLEBORGS LÄN</t>
        </is>
      </c>
      <c r="E1016" t="inlineStr">
        <is>
          <t>BOLLNÄS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7664-2026</t>
        </is>
      </c>
      <c r="B1017" s="1" t="n">
        <v>46062</v>
      </c>
      <c r="C1017" s="1" t="n">
        <v>46180</v>
      </c>
      <c r="D1017" t="inlineStr">
        <is>
          <t>GÄVLEBORGS LÄN</t>
        </is>
      </c>
      <c r="E1017" t="inlineStr">
        <is>
          <t>BOLLNÄS</t>
        </is>
      </c>
      <c r="G1017" t="n">
        <v>6.5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7564-2026</t>
        </is>
      </c>
      <c r="B1018" s="1" t="n">
        <v>46060.56787037037</v>
      </c>
      <c r="C1018" s="1" t="n">
        <v>46180</v>
      </c>
      <c r="D1018" t="inlineStr">
        <is>
          <t>GÄVLEBORGS LÄN</t>
        </is>
      </c>
      <c r="E1018" t="inlineStr">
        <is>
          <t>BOLLNÄS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16627-2025</t>
        </is>
      </c>
      <c r="B1019" s="1" t="n">
        <v>45754.35082175926</v>
      </c>
      <c r="C1019" s="1" t="n">
        <v>46180</v>
      </c>
      <c r="D1019" t="inlineStr">
        <is>
          <t>GÄVLEBORGS LÄN</t>
        </is>
      </c>
      <c r="E1019" t="inlineStr">
        <is>
          <t>BOLLNÄS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7638-2026</t>
        </is>
      </c>
      <c r="B1020" s="1" t="n">
        <v>46062.37104166667</v>
      </c>
      <c r="C1020" s="1" t="n">
        <v>46180</v>
      </c>
      <c r="D1020" t="inlineStr">
        <is>
          <t>GÄVLEBORGS LÄN</t>
        </is>
      </c>
      <c r="E1020" t="inlineStr">
        <is>
          <t>BOLLNÄS</t>
        </is>
      </c>
      <c r="F1020" t="inlineStr">
        <is>
          <t>Bergvik skog väst AB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48951-2025</t>
        </is>
      </c>
      <c r="B1021" s="1" t="n">
        <v>45937.5466087963</v>
      </c>
      <c r="C1021" s="1" t="n">
        <v>46180</v>
      </c>
      <c r="D1021" t="inlineStr">
        <is>
          <t>GÄVLEBORGS LÄN</t>
        </is>
      </c>
      <c r="E1021" t="inlineStr">
        <is>
          <t>BOLLNÄS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7841-2026</t>
        </is>
      </c>
      <c r="B1022" s="1" t="n">
        <v>46062.65070601852</v>
      </c>
      <c r="C1022" s="1" t="n">
        <v>46180</v>
      </c>
      <c r="D1022" t="inlineStr">
        <is>
          <t>GÄVLEBORGS LÄN</t>
        </is>
      </c>
      <c r="E1022" t="inlineStr">
        <is>
          <t>BOLLNÄS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7864-2026</t>
        </is>
      </c>
      <c r="B1023" s="1" t="n">
        <v>46062.73173611111</v>
      </c>
      <c r="C1023" s="1" t="n">
        <v>46180</v>
      </c>
      <c r="D1023" t="inlineStr">
        <is>
          <t>GÄVLEBORGS LÄN</t>
        </is>
      </c>
      <c r="E1023" t="inlineStr">
        <is>
          <t>BOLLNÄS</t>
        </is>
      </c>
      <c r="G1023" t="n">
        <v>19.4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7688-2026</t>
        </is>
      </c>
      <c r="B1024" s="1" t="n">
        <v>46062.44076388889</v>
      </c>
      <c r="C1024" s="1" t="n">
        <v>46180</v>
      </c>
      <c r="D1024" t="inlineStr">
        <is>
          <t>GÄVLEBORGS LÄN</t>
        </is>
      </c>
      <c r="E1024" t="inlineStr">
        <is>
          <t>BOLLNÄS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7567-2026</t>
        </is>
      </c>
      <c r="B1025" s="1" t="n">
        <v>46060.61282407407</v>
      </c>
      <c r="C1025" s="1" t="n">
        <v>46180</v>
      </c>
      <c r="D1025" t="inlineStr">
        <is>
          <t>GÄVLEBORGS LÄN</t>
        </is>
      </c>
      <c r="E1025" t="inlineStr">
        <is>
          <t>BOLLNÄS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7609-2026</t>
        </is>
      </c>
      <c r="B1026" s="1" t="n">
        <v>46062</v>
      </c>
      <c r="C1026" s="1" t="n">
        <v>46180</v>
      </c>
      <c r="D1026" t="inlineStr">
        <is>
          <t>GÄVLEBORGS LÄN</t>
        </is>
      </c>
      <c r="E1026" t="inlineStr">
        <is>
          <t>BOLLNÄS</t>
        </is>
      </c>
      <c r="G1026" t="n">
        <v>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7616-2026</t>
        </is>
      </c>
      <c r="B1027" s="1" t="n">
        <v>46062.33501157408</v>
      </c>
      <c r="C1027" s="1" t="n">
        <v>46180</v>
      </c>
      <c r="D1027" t="inlineStr">
        <is>
          <t>GÄVLEBORGS LÄN</t>
        </is>
      </c>
      <c r="E1027" t="inlineStr">
        <is>
          <t>BOLLNÄS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7633-2026</t>
        </is>
      </c>
      <c r="B1028" s="1" t="n">
        <v>46062.36394675926</v>
      </c>
      <c r="C1028" s="1" t="n">
        <v>46180</v>
      </c>
      <c r="D1028" t="inlineStr">
        <is>
          <t>GÄVLEBORGS LÄN</t>
        </is>
      </c>
      <c r="E1028" t="inlineStr">
        <is>
          <t>BOLLNÄS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7642-2026</t>
        </is>
      </c>
      <c r="B1029" s="1" t="n">
        <v>46062.37685185186</v>
      </c>
      <c r="C1029" s="1" t="n">
        <v>46180</v>
      </c>
      <c r="D1029" t="inlineStr">
        <is>
          <t>GÄVLEBORGS LÄN</t>
        </is>
      </c>
      <c r="E1029" t="inlineStr">
        <is>
          <t>BOLLNÄS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7707-2026</t>
        </is>
      </c>
      <c r="B1030" s="1" t="n">
        <v>46062</v>
      </c>
      <c r="C1030" s="1" t="n">
        <v>46180</v>
      </c>
      <c r="D1030" t="inlineStr">
        <is>
          <t>GÄVLEBORGS LÄN</t>
        </is>
      </c>
      <c r="E1030" t="inlineStr">
        <is>
          <t>BOLLNÄS</t>
        </is>
      </c>
      <c r="F1030" t="inlineStr">
        <is>
          <t>Bergvik skog väst AB</t>
        </is>
      </c>
      <c r="G1030" t="n">
        <v>9.9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7709-2026</t>
        </is>
      </c>
      <c r="B1031" s="1" t="n">
        <v>46062.47863425926</v>
      </c>
      <c r="C1031" s="1" t="n">
        <v>46180</v>
      </c>
      <c r="D1031" t="inlineStr">
        <is>
          <t>GÄVLEBORGS LÄN</t>
        </is>
      </c>
      <c r="E1031" t="inlineStr">
        <is>
          <t>BOLLNÄS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5808-2026</t>
        </is>
      </c>
      <c r="B1032" s="1" t="n">
        <v>46051.82923611111</v>
      </c>
      <c r="C1032" s="1" t="n">
        <v>46180</v>
      </c>
      <c r="D1032" t="inlineStr">
        <is>
          <t>GÄVLEBORGS LÄN</t>
        </is>
      </c>
      <c r="E1032" t="inlineStr">
        <is>
          <t>BOLLNÄS</t>
        </is>
      </c>
      <c r="F1032" t="inlineStr">
        <is>
          <t>Kommuner</t>
        </is>
      </c>
      <c r="G1032" t="n">
        <v>8.9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7798-2026</t>
        </is>
      </c>
      <c r="B1033" s="1" t="n">
        <v>46062.60090277778</v>
      </c>
      <c r="C1033" s="1" t="n">
        <v>46180</v>
      </c>
      <c r="D1033" t="inlineStr">
        <is>
          <t>GÄVLEBORGS LÄN</t>
        </is>
      </c>
      <c r="E1033" t="inlineStr">
        <is>
          <t>BOLLNÄS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7618-2026</t>
        </is>
      </c>
      <c r="B1034" s="1" t="n">
        <v>46062.34146990741</v>
      </c>
      <c r="C1034" s="1" t="n">
        <v>46180</v>
      </c>
      <c r="D1034" t="inlineStr">
        <is>
          <t>GÄVLEBORGS LÄN</t>
        </is>
      </c>
      <c r="E1034" t="inlineStr">
        <is>
          <t>BOLLNÄS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7621-2026</t>
        </is>
      </c>
      <c r="B1035" s="1" t="n">
        <v>46062.34568287037</v>
      </c>
      <c r="C1035" s="1" t="n">
        <v>46180</v>
      </c>
      <c r="D1035" t="inlineStr">
        <is>
          <t>GÄVLEBORGS LÄN</t>
        </is>
      </c>
      <c r="E1035" t="inlineStr">
        <is>
          <t>BOLLNÄS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7738-2026</t>
        </is>
      </c>
      <c r="B1036" s="1" t="n">
        <v>46062.5318287037</v>
      </c>
      <c r="C1036" s="1" t="n">
        <v>46180</v>
      </c>
      <c r="D1036" t="inlineStr">
        <is>
          <t>GÄVLEBORGS LÄN</t>
        </is>
      </c>
      <c r="E1036" t="inlineStr">
        <is>
          <t>BOLLNÄS</t>
        </is>
      </c>
      <c r="F1036" t="inlineStr">
        <is>
          <t>Bergvik skog väst AB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24-2026</t>
        </is>
      </c>
      <c r="B1037" s="1" t="n">
        <v>46024</v>
      </c>
      <c r="C1037" s="1" t="n">
        <v>46180</v>
      </c>
      <c r="D1037" t="inlineStr">
        <is>
          <t>GÄVLEBORGS LÄN</t>
        </is>
      </c>
      <c r="E1037" t="inlineStr">
        <is>
          <t>BOLLNÄS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7728-2026</t>
        </is>
      </c>
      <c r="B1038" s="1" t="n">
        <v>46062</v>
      </c>
      <c r="C1038" s="1" t="n">
        <v>46180</v>
      </c>
      <c r="D1038" t="inlineStr">
        <is>
          <t>GÄVLEBORGS LÄN</t>
        </is>
      </c>
      <c r="E1038" t="inlineStr">
        <is>
          <t>BOLLNÄS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49742-2025</t>
        </is>
      </c>
      <c r="B1039" s="1" t="n">
        <v>45940.33552083333</v>
      </c>
      <c r="C1039" s="1" t="n">
        <v>46180</v>
      </c>
      <c r="D1039" t="inlineStr">
        <is>
          <t>GÄVLEBORGS LÄN</t>
        </is>
      </c>
      <c r="E1039" t="inlineStr">
        <is>
          <t>BOLLNÄS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7735-2026</t>
        </is>
      </c>
      <c r="B1040" s="1" t="n">
        <v>46062.52943287037</v>
      </c>
      <c r="C1040" s="1" t="n">
        <v>46180</v>
      </c>
      <c r="D1040" t="inlineStr">
        <is>
          <t>GÄVLEBORGS LÄN</t>
        </is>
      </c>
      <c r="E1040" t="inlineStr">
        <is>
          <t>BOLLNÄS</t>
        </is>
      </c>
      <c r="F1040" t="inlineStr">
        <is>
          <t>Bergvik skog väst AB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7820-2026</t>
        </is>
      </c>
      <c r="B1041" s="1" t="n">
        <v>46062</v>
      </c>
      <c r="C1041" s="1" t="n">
        <v>46180</v>
      </c>
      <c r="D1041" t="inlineStr">
        <is>
          <t>GÄVLEBORGS LÄN</t>
        </is>
      </c>
      <c r="E1041" t="inlineStr">
        <is>
          <t>BOLLNÄS</t>
        </is>
      </c>
      <c r="F1041" t="inlineStr">
        <is>
          <t>Bergvik skog väst AB</t>
        </is>
      </c>
      <c r="G1041" t="n">
        <v>10.6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7560-2026</t>
        </is>
      </c>
      <c r="B1042" s="1" t="n">
        <v>46060</v>
      </c>
      <c r="C1042" s="1" t="n">
        <v>46180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7624-2026</t>
        </is>
      </c>
      <c r="B1043" s="1" t="n">
        <v>46062</v>
      </c>
      <c r="C1043" s="1" t="n">
        <v>46180</v>
      </c>
      <c r="D1043" t="inlineStr">
        <is>
          <t>GÄVLEBORGS LÄN</t>
        </is>
      </c>
      <c r="E1043" t="inlineStr">
        <is>
          <t>BOLLNÄS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7613-2026</t>
        </is>
      </c>
      <c r="B1044" s="1" t="n">
        <v>46062.325625</v>
      </c>
      <c r="C1044" s="1" t="n">
        <v>46180</v>
      </c>
      <c r="D1044" t="inlineStr">
        <is>
          <t>GÄVLEBORGS LÄN</t>
        </is>
      </c>
      <c r="E1044" t="inlineStr">
        <is>
          <t>BOLLNÄS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7337-2026</t>
        </is>
      </c>
      <c r="B1045" s="1" t="n">
        <v>46058.88473379629</v>
      </c>
      <c r="C1045" s="1" t="n">
        <v>46180</v>
      </c>
      <c r="D1045" t="inlineStr">
        <is>
          <t>GÄVLEBORGS LÄN</t>
        </is>
      </c>
      <c r="E1045" t="inlineStr">
        <is>
          <t>BOLLNÄS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7340-2026</t>
        </is>
      </c>
      <c r="B1046" s="1" t="n">
        <v>46058.88918981481</v>
      </c>
      <c r="C1046" s="1" t="n">
        <v>46180</v>
      </c>
      <c r="D1046" t="inlineStr">
        <is>
          <t>GÄVLEBORGS LÄN</t>
        </is>
      </c>
      <c r="E1046" t="inlineStr">
        <is>
          <t>BOLLNÄS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7373-2026</t>
        </is>
      </c>
      <c r="B1047" s="1" t="n">
        <v>46059</v>
      </c>
      <c r="C1047" s="1" t="n">
        <v>46180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7374-2026</t>
        </is>
      </c>
      <c r="B1048" s="1" t="n">
        <v>46059</v>
      </c>
      <c r="C1048" s="1" t="n">
        <v>46180</v>
      </c>
      <c r="D1048" t="inlineStr">
        <is>
          <t>GÄVLEBORGS LÄN</t>
        </is>
      </c>
      <c r="E1048" t="inlineStr">
        <is>
          <t>BOLLNÄS</t>
        </is>
      </c>
      <c r="F1048" t="inlineStr">
        <is>
          <t>Bergvik skog väst AB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7408-2026</t>
        </is>
      </c>
      <c r="B1049" s="1" t="n">
        <v>46059.40171296296</v>
      </c>
      <c r="C1049" s="1" t="n">
        <v>46180</v>
      </c>
      <c r="D1049" t="inlineStr">
        <is>
          <t>GÄVLEBORGS LÄN</t>
        </is>
      </c>
      <c r="E1049" t="inlineStr">
        <is>
          <t>BOLLNÄS</t>
        </is>
      </c>
      <c r="G1049" t="n">
        <v>10.8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7415-2026</t>
        </is>
      </c>
      <c r="B1050" s="1" t="n">
        <v>46059</v>
      </c>
      <c r="C1050" s="1" t="n">
        <v>46180</v>
      </c>
      <c r="D1050" t="inlineStr">
        <is>
          <t>GÄVLEBORGS LÄN</t>
        </is>
      </c>
      <c r="E1050" t="inlineStr">
        <is>
          <t>BOLLNÄS</t>
        </is>
      </c>
      <c r="F1050" t="inlineStr">
        <is>
          <t>Bergvik skog väst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7771-2026</t>
        </is>
      </c>
      <c r="B1051" s="1" t="n">
        <v>46062.56836805555</v>
      </c>
      <c r="C1051" s="1" t="n">
        <v>46180</v>
      </c>
      <c r="D1051" t="inlineStr">
        <is>
          <t>GÄVLEBORGS LÄN</t>
        </is>
      </c>
      <c r="E1051" t="inlineStr">
        <is>
          <t>BOLLNÄS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7420-2026</t>
        </is>
      </c>
      <c r="B1052" s="1" t="n">
        <v>46059</v>
      </c>
      <c r="C1052" s="1" t="n">
        <v>46180</v>
      </c>
      <c r="D1052" t="inlineStr">
        <is>
          <t>GÄVLEBORGS LÄN</t>
        </is>
      </c>
      <c r="E1052" t="inlineStr">
        <is>
          <t>BOLLNÄS</t>
        </is>
      </c>
      <c r="F1052" t="inlineStr">
        <is>
          <t>Bergvik skog väst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585-2026</t>
        </is>
      </c>
      <c r="B1053" s="1" t="n">
        <v>46029</v>
      </c>
      <c r="C1053" s="1" t="n">
        <v>46180</v>
      </c>
      <c r="D1053" t="inlineStr">
        <is>
          <t>GÄVLEBORGS LÄN</t>
        </is>
      </c>
      <c r="E1053" t="inlineStr">
        <is>
          <t>BOLLNÄS</t>
        </is>
      </c>
      <c r="G1053" t="n">
        <v>5.6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603-2026</t>
        </is>
      </c>
      <c r="B1054" s="1" t="n">
        <v>46029</v>
      </c>
      <c r="C1054" s="1" t="n">
        <v>46180</v>
      </c>
      <c r="D1054" t="inlineStr">
        <is>
          <t>GÄVLEBORGS LÄN</t>
        </is>
      </c>
      <c r="E1054" t="inlineStr">
        <is>
          <t>BOLLNÄS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5162-2026</t>
        </is>
      </c>
      <c r="B1055" s="1" t="n">
        <v>46049.621875</v>
      </c>
      <c r="C1055" s="1" t="n">
        <v>46180</v>
      </c>
      <c r="D1055" t="inlineStr">
        <is>
          <t>GÄVLEBORGS LÄN</t>
        </is>
      </c>
      <c r="E1055" t="inlineStr">
        <is>
          <t>BOLLNÄS</t>
        </is>
      </c>
      <c r="G1055" t="n">
        <v>9.800000000000001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8156-2026</t>
        </is>
      </c>
      <c r="B1056" s="1" t="n">
        <v>46064.36232638889</v>
      </c>
      <c r="C1056" s="1" t="n">
        <v>46180</v>
      </c>
      <c r="D1056" t="inlineStr">
        <is>
          <t>GÄVLEBORGS LÄN</t>
        </is>
      </c>
      <c r="E1056" t="inlineStr">
        <is>
          <t>BOLLNÄS</t>
        </is>
      </c>
      <c r="G1056" t="n">
        <v>6.8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8204-2026</t>
        </is>
      </c>
      <c r="B1057" s="1" t="n">
        <v>46064.44618055555</v>
      </c>
      <c r="C1057" s="1" t="n">
        <v>46180</v>
      </c>
      <c r="D1057" t="inlineStr">
        <is>
          <t>GÄVLEBORGS LÄN</t>
        </is>
      </c>
      <c r="E1057" t="inlineStr">
        <is>
          <t>BOLLNÄS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8218-2026</t>
        </is>
      </c>
      <c r="B1058" s="1" t="n">
        <v>46064</v>
      </c>
      <c r="C1058" s="1" t="n">
        <v>46180</v>
      </c>
      <c r="D1058" t="inlineStr">
        <is>
          <t>GÄVLEBORGS LÄN</t>
        </is>
      </c>
      <c r="E1058" t="inlineStr">
        <is>
          <t>BOLLNÄS</t>
        </is>
      </c>
      <c r="F1058" t="inlineStr">
        <is>
          <t>Bergvik skog väst AB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7920-2026</t>
        </is>
      </c>
      <c r="B1059" s="1" t="n">
        <v>46063</v>
      </c>
      <c r="C1059" s="1" t="n">
        <v>46180</v>
      </c>
      <c r="D1059" t="inlineStr">
        <is>
          <t>GÄVLEBORGS LÄN</t>
        </is>
      </c>
      <c r="E1059" t="inlineStr">
        <is>
          <t>BOLLNÄS</t>
        </is>
      </c>
      <c r="F1059" t="inlineStr">
        <is>
          <t>Bergvik skog väst AB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7938-2026</t>
        </is>
      </c>
      <c r="B1060" s="1" t="n">
        <v>46063</v>
      </c>
      <c r="C1060" s="1" t="n">
        <v>46180</v>
      </c>
      <c r="D1060" t="inlineStr">
        <is>
          <t>GÄVLEBORGS LÄN</t>
        </is>
      </c>
      <c r="E1060" t="inlineStr">
        <is>
          <t>BOLLNÄS</t>
        </is>
      </c>
      <c r="F1060" t="inlineStr">
        <is>
          <t>Bergvik skog väst AB</t>
        </is>
      </c>
      <c r="G1060" t="n">
        <v>13.9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8008-2026</t>
        </is>
      </c>
      <c r="B1061" s="1" t="n">
        <v>46063</v>
      </c>
      <c r="C1061" s="1" t="n">
        <v>46180</v>
      </c>
      <c r="D1061" t="inlineStr">
        <is>
          <t>GÄVLEBORGS LÄN</t>
        </is>
      </c>
      <c r="E1061" t="inlineStr">
        <is>
          <t>BOLLNÄS</t>
        </is>
      </c>
      <c r="G1061" t="n">
        <v>14.6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8044-2026</t>
        </is>
      </c>
      <c r="B1062" s="1" t="n">
        <v>46063</v>
      </c>
      <c r="C1062" s="1" t="n">
        <v>46180</v>
      </c>
      <c r="D1062" t="inlineStr">
        <is>
          <t>GÄVLEBORGS LÄN</t>
        </is>
      </c>
      <c r="E1062" t="inlineStr">
        <is>
          <t>BOLLNÄS</t>
        </is>
      </c>
      <c r="F1062" t="inlineStr">
        <is>
          <t>Sveaskog</t>
        </is>
      </c>
      <c r="G1062" t="n">
        <v>8.699999999999999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8052-2026</t>
        </is>
      </c>
      <c r="B1063" s="1" t="n">
        <v>46063</v>
      </c>
      <c r="C1063" s="1" t="n">
        <v>46180</v>
      </c>
      <c r="D1063" t="inlineStr">
        <is>
          <t>GÄVLEBORGS LÄN</t>
        </is>
      </c>
      <c r="E1063" t="inlineStr">
        <is>
          <t>BOLLNÄS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8053-2026</t>
        </is>
      </c>
      <c r="B1064" s="1" t="n">
        <v>46063</v>
      </c>
      <c r="C1064" s="1" t="n">
        <v>46180</v>
      </c>
      <c r="D1064" t="inlineStr">
        <is>
          <t>GÄVLEBORGS LÄN</t>
        </is>
      </c>
      <c r="E1064" t="inlineStr">
        <is>
          <t>BOLLNÄS</t>
        </is>
      </c>
      <c r="F1064" t="inlineStr">
        <is>
          <t>Bergvik skog väst AB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49811-2025</t>
        </is>
      </c>
      <c r="B1065" s="1" t="n">
        <v>45940.42462962963</v>
      </c>
      <c r="C1065" s="1" t="n">
        <v>46180</v>
      </c>
      <c r="D1065" t="inlineStr">
        <is>
          <t>GÄVLEBORGS LÄN</t>
        </is>
      </c>
      <c r="E1065" t="inlineStr">
        <is>
          <t>BOLLNÄS</t>
        </is>
      </c>
      <c r="F1065" t="inlineStr">
        <is>
          <t>Bergvik skog väst AB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8246-2026</t>
        </is>
      </c>
      <c r="B1066" s="1" t="n">
        <v>46064.49247685185</v>
      </c>
      <c r="C1066" s="1" t="n">
        <v>46180</v>
      </c>
      <c r="D1066" t="inlineStr">
        <is>
          <t>GÄVLEBORGS LÄN</t>
        </is>
      </c>
      <c r="E1066" t="inlineStr">
        <is>
          <t>BOLLNÄS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8151-2026</t>
        </is>
      </c>
      <c r="B1067" s="1" t="n">
        <v>46064.35712962963</v>
      </c>
      <c r="C1067" s="1" t="n">
        <v>46180</v>
      </c>
      <c r="D1067" t="inlineStr">
        <is>
          <t>GÄVLEBORGS LÄN</t>
        </is>
      </c>
      <c r="E1067" t="inlineStr">
        <is>
          <t>BOLLNÄS</t>
        </is>
      </c>
      <c r="F1067" t="inlineStr">
        <is>
          <t>Bergvik skog väst AB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8152-2026</t>
        </is>
      </c>
      <c r="B1068" s="1" t="n">
        <v>46064.35725694444</v>
      </c>
      <c r="C1068" s="1" t="n">
        <v>46180</v>
      </c>
      <c r="D1068" t="inlineStr">
        <is>
          <t>GÄVLEBORGS LÄN</t>
        </is>
      </c>
      <c r="E1068" t="inlineStr">
        <is>
          <t>BOLLNÄS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8154-2026</t>
        </is>
      </c>
      <c r="B1069" s="1" t="n">
        <v>46064.35946759259</v>
      </c>
      <c r="C1069" s="1" t="n">
        <v>46180</v>
      </c>
      <c r="D1069" t="inlineStr">
        <is>
          <t>GÄVLEBORGS LÄN</t>
        </is>
      </c>
      <c r="E1069" t="inlineStr">
        <is>
          <t>BOLLNÄS</t>
        </is>
      </c>
      <c r="F1069" t="inlineStr">
        <is>
          <t>Bergvik skog väst AB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52874-2024</t>
        </is>
      </c>
      <c r="B1070" s="1" t="n">
        <v>45610.63042824074</v>
      </c>
      <c r="C1070" s="1" t="n">
        <v>46180</v>
      </c>
      <c r="D1070" t="inlineStr">
        <is>
          <t>GÄVLEBORGS LÄN</t>
        </is>
      </c>
      <c r="E1070" t="inlineStr">
        <is>
          <t>BOLLNÄS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584-2026</t>
        </is>
      </c>
      <c r="B1071" s="1" t="n">
        <v>46029</v>
      </c>
      <c r="C1071" s="1" t="n">
        <v>46180</v>
      </c>
      <c r="D1071" t="inlineStr">
        <is>
          <t>GÄVLEBORGS LÄN</t>
        </is>
      </c>
      <c r="E1071" t="inlineStr">
        <is>
          <t>BOLLNÄS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8010-2026</t>
        </is>
      </c>
      <c r="B1072" s="1" t="n">
        <v>46063</v>
      </c>
      <c r="C1072" s="1" t="n">
        <v>46180</v>
      </c>
      <c r="D1072" t="inlineStr">
        <is>
          <t>GÄVLEBORGS LÄN</t>
        </is>
      </c>
      <c r="E1072" t="inlineStr">
        <is>
          <t>BOLLNÄS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4907-2026</t>
        </is>
      </c>
      <c r="B1073" s="1" t="n">
        <v>46048.70342592592</v>
      </c>
      <c r="C1073" s="1" t="n">
        <v>46180</v>
      </c>
      <c r="D1073" t="inlineStr">
        <is>
          <t>GÄVLEBORGS LÄN</t>
        </is>
      </c>
      <c r="E1073" t="inlineStr">
        <is>
          <t>BOLLNÄS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8232-2026</t>
        </is>
      </c>
      <c r="B1074" s="1" t="n">
        <v>46064.48424768518</v>
      </c>
      <c r="C1074" s="1" t="n">
        <v>46180</v>
      </c>
      <c r="D1074" t="inlineStr">
        <is>
          <t>GÄVLEBORGS LÄN</t>
        </is>
      </c>
      <c r="E1074" t="inlineStr">
        <is>
          <t>BOLLNÄS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8203-2026</t>
        </is>
      </c>
      <c r="B1075" s="1" t="n">
        <v>46064.4453587963</v>
      </c>
      <c r="C1075" s="1" t="n">
        <v>46180</v>
      </c>
      <c r="D1075" t="inlineStr">
        <is>
          <t>GÄVLEBORGS LÄN</t>
        </is>
      </c>
      <c r="E1075" t="inlineStr">
        <is>
          <t>BOLLNÄS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8241-2026</t>
        </is>
      </c>
      <c r="B1076" s="1" t="n">
        <v>46064</v>
      </c>
      <c r="C1076" s="1" t="n">
        <v>46180</v>
      </c>
      <c r="D1076" t="inlineStr">
        <is>
          <t>GÄVLEBORGS LÄN</t>
        </is>
      </c>
      <c r="E1076" t="inlineStr">
        <is>
          <t>BOLLNÄS</t>
        </is>
      </c>
      <c r="F1076" t="inlineStr">
        <is>
          <t>Bergvik skog väst AB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8268-2026</t>
        </is>
      </c>
      <c r="B1077" s="1" t="n">
        <v>46064.54471064815</v>
      </c>
      <c r="C1077" s="1" t="n">
        <v>46180</v>
      </c>
      <c r="D1077" t="inlineStr">
        <is>
          <t>GÄVLEBORGS LÄN</t>
        </is>
      </c>
      <c r="E1077" t="inlineStr">
        <is>
          <t>BOLLNÄS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8248-2026</t>
        </is>
      </c>
      <c r="B1078" s="1" t="n">
        <v>46064</v>
      </c>
      <c r="C1078" s="1" t="n">
        <v>46180</v>
      </c>
      <c r="D1078" t="inlineStr">
        <is>
          <t>GÄVLEBORGS LÄN</t>
        </is>
      </c>
      <c r="E1078" t="inlineStr">
        <is>
          <t>BOLLNÄS</t>
        </is>
      </c>
      <c r="F1078" t="inlineStr">
        <is>
          <t>Bergvik skog väst AB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7883-2026</t>
        </is>
      </c>
      <c r="B1079" s="1" t="n">
        <v>46063</v>
      </c>
      <c r="C1079" s="1" t="n">
        <v>46180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7912-2026</t>
        </is>
      </c>
      <c r="B1080" s="1" t="n">
        <v>46063.3712962963</v>
      </c>
      <c r="C1080" s="1" t="n">
        <v>46180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7972-2026</t>
        </is>
      </c>
      <c r="B1081" s="1" t="n">
        <v>46063</v>
      </c>
      <c r="C1081" s="1" t="n">
        <v>46180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36228-2025</t>
        </is>
      </c>
      <c r="B1082" s="1" t="n">
        <v>45867.53563657407</v>
      </c>
      <c r="C1082" s="1" t="n">
        <v>46180</v>
      </c>
      <c r="D1082" t="inlineStr">
        <is>
          <t>GÄVLEBORGS LÄN</t>
        </is>
      </c>
      <c r="E1082" t="inlineStr">
        <is>
          <t>BOLLNÄS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8036-2026</t>
        </is>
      </c>
      <c r="B1083" s="1" t="n">
        <v>46063</v>
      </c>
      <c r="C1083" s="1" t="n">
        <v>46180</v>
      </c>
      <c r="D1083" t="inlineStr">
        <is>
          <t>GÄVLEBORGS LÄN</t>
        </is>
      </c>
      <c r="E1083" t="inlineStr">
        <is>
          <t>BOLLNÄS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8162-2026</t>
        </is>
      </c>
      <c r="B1084" s="1" t="n">
        <v>46064.3780787037</v>
      </c>
      <c r="C1084" s="1" t="n">
        <v>46180</v>
      </c>
      <c r="D1084" t="inlineStr">
        <is>
          <t>GÄVLEBORGS LÄN</t>
        </is>
      </c>
      <c r="E1084" t="inlineStr">
        <is>
          <t>BOLLNÄS</t>
        </is>
      </c>
      <c r="G1084" t="n">
        <v>9.800000000000001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8166-2026</t>
        </is>
      </c>
      <c r="B1085" s="1" t="n">
        <v>46064.38925925926</v>
      </c>
      <c r="C1085" s="1" t="n">
        <v>46180</v>
      </c>
      <c r="D1085" t="inlineStr">
        <is>
          <t>GÄVLEBORGS LÄN</t>
        </is>
      </c>
      <c r="E1085" t="inlineStr">
        <is>
          <t>BOLLNÄS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8174-2026</t>
        </is>
      </c>
      <c r="B1086" s="1" t="n">
        <v>46064.3990625</v>
      </c>
      <c r="C1086" s="1" t="n">
        <v>46180</v>
      </c>
      <c r="D1086" t="inlineStr">
        <is>
          <t>GÄVLEBORGS LÄN</t>
        </is>
      </c>
      <c r="E1086" t="inlineStr">
        <is>
          <t>BOLLNÄS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52181-2024</t>
        </is>
      </c>
      <c r="B1087" s="1" t="n">
        <v>45608.56155092592</v>
      </c>
      <c r="C1087" s="1" t="n">
        <v>46180</v>
      </c>
      <c r="D1087" t="inlineStr">
        <is>
          <t>GÄVLEBORGS LÄN</t>
        </is>
      </c>
      <c r="E1087" t="inlineStr">
        <is>
          <t>BOLLNÄS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49848-2025</t>
        </is>
      </c>
      <c r="B1088" s="1" t="n">
        <v>45940.48313657408</v>
      </c>
      <c r="C1088" s="1" t="n">
        <v>46180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Bergvik skog väst AB</t>
        </is>
      </c>
      <c r="G1088" t="n">
        <v>4.2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36234-2025</t>
        </is>
      </c>
      <c r="B1089" s="1" t="n">
        <v>45867.54785879629</v>
      </c>
      <c r="C1089" s="1" t="n">
        <v>46180</v>
      </c>
      <c r="D1089" t="inlineStr">
        <is>
          <t>GÄVLEBORGS LÄN</t>
        </is>
      </c>
      <c r="E1089" t="inlineStr">
        <is>
          <t>BOLLNÄS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8042-2026</t>
        </is>
      </c>
      <c r="B1090" s="1" t="n">
        <v>46063.60541666667</v>
      </c>
      <c r="C1090" s="1" t="n">
        <v>46180</v>
      </c>
      <c r="D1090" t="inlineStr">
        <is>
          <t>GÄVLEBORGS LÄN</t>
        </is>
      </c>
      <c r="E1090" t="inlineStr">
        <is>
          <t>BOLLNÄS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7919-2026</t>
        </is>
      </c>
      <c r="B1091" s="1" t="n">
        <v>46063.38306712963</v>
      </c>
      <c r="C1091" s="1" t="n">
        <v>46180</v>
      </c>
      <c r="D1091" t="inlineStr">
        <is>
          <t>GÄVLEBORGS LÄN</t>
        </is>
      </c>
      <c r="E1091" t="inlineStr">
        <is>
          <t>BOLLNÄS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8031-2026</t>
        </is>
      </c>
      <c r="B1092" s="1" t="n">
        <v>46063</v>
      </c>
      <c r="C1092" s="1" t="n">
        <v>46180</v>
      </c>
      <c r="D1092" t="inlineStr">
        <is>
          <t>GÄVLEBORGS LÄN</t>
        </is>
      </c>
      <c r="E1092" t="inlineStr">
        <is>
          <t>BOLLNÄS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5579-2022</t>
        </is>
      </c>
      <c r="B1093" s="1" t="n">
        <v>44595</v>
      </c>
      <c r="C1093" s="1" t="n">
        <v>46180</v>
      </c>
      <c r="D1093" t="inlineStr">
        <is>
          <t>GÄVLEBORGS LÄN</t>
        </is>
      </c>
      <c r="E1093" t="inlineStr">
        <is>
          <t>BOLLNÄS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36265-2025</t>
        </is>
      </c>
      <c r="B1094" s="1" t="n">
        <v>45867.61561342593</v>
      </c>
      <c r="C1094" s="1" t="n">
        <v>46180</v>
      </c>
      <c r="D1094" t="inlineStr">
        <is>
          <t>GÄVLEBORGS LÄN</t>
        </is>
      </c>
      <c r="E1094" t="inlineStr">
        <is>
          <t>BOLLNÄS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8070-2026</t>
        </is>
      </c>
      <c r="B1095" s="1" t="n">
        <v>46063.64724537037</v>
      </c>
      <c r="C1095" s="1" t="n">
        <v>46180</v>
      </c>
      <c r="D1095" t="inlineStr">
        <is>
          <t>GÄVLEBORGS LÄN</t>
        </is>
      </c>
      <c r="E1095" t="inlineStr">
        <is>
          <t>BOLLNÄS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8098-2026</t>
        </is>
      </c>
      <c r="B1096" s="1" t="n">
        <v>46063</v>
      </c>
      <c r="C1096" s="1" t="n">
        <v>46180</v>
      </c>
      <c r="D1096" t="inlineStr">
        <is>
          <t>GÄVLEBORGS LÄN</t>
        </is>
      </c>
      <c r="E1096" t="inlineStr">
        <is>
          <t>BOLLNÄS</t>
        </is>
      </c>
      <c r="G1096" t="n">
        <v>10.6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8130-2026</t>
        </is>
      </c>
      <c r="B1097" s="1" t="n">
        <v>46064.29201388889</v>
      </c>
      <c r="C1097" s="1" t="n">
        <v>46180</v>
      </c>
      <c r="D1097" t="inlineStr">
        <is>
          <t>GÄVLEBORGS LÄN</t>
        </is>
      </c>
      <c r="E1097" t="inlineStr">
        <is>
          <t>BOLLNÄS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36231-2025</t>
        </is>
      </c>
      <c r="B1098" s="1" t="n">
        <v>45867.5446875</v>
      </c>
      <c r="C1098" s="1" t="n">
        <v>46180</v>
      </c>
      <c r="D1098" t="inlineStr">
        <is>
          <t>GÄVLEBORGS LÄN</t>
        </is>
      </c>
      <c r="E1098" t="inlineStr">
        <is>
          <t>BOLLNÄS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7953-2026</t>
        </is>
      </c>
      <c r="B1099" s="1" t="n">
        <v>46063</v>
      </c>
      <c r="C1099" s="1" t="n">
        <v>46180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Bergvik skog väst AB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5178-2026</t>
        </is>
      </c>
      <c r="B1100" s="1" t="n">
        <v>46049.6525925926</v>
      </c>
      <c r="C1100" s="1" t="n">
        <v>46180</v>
      </c>
      <c r="D1100" t="inlineStr">
        <is>
          <t>GÄVLEBORGS LÄN</t>
        </is>
      </c>
      <c r="E1100" t="inlineStr">
        <is>
          <t>BOLLNÄS</t>
        </is>
      </c>
      <c r="G1100" t="n">
        <v>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7708-2026</t>
        </is>
      </c>
      <c r="B1101" s="1" t="n">
        <v>46062</v>
      </c>
      <c r="C1101" s="1" t="n">
        <v>46180</v>
      </c>
      <c r="D1101" t="inlineStr">
        <is>
          <t>GÄVLEBORGS LÄN</t>
        </is>
      </c>
      <c r="E1101" t="inlineStr">
        <is>
          <t>BOLLNÄS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8045-2026</t>
        </is>
      </c>
      <c r="B1102" s="1" t="n">
        <v>46063</v>
      </c>
      <c r="C1102" s="1" t="n">
        <v>46180</v>
      </c>
      <c r="D1102" t="inlineStr">
        <is>
          <t>GÄVLEBORGS LÄN</t>
        </is>
      </c>
      <c r="E1102" t="inlineStr">
        <is>
          <t>BOLLNÄS</t>
        </is>
      </c>
      <c r="G1102" t="n">
        <v>25.1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8050-2026</t>
        </is>
      </c>
      <c r="B1103" s="1" t="n">
        <v>46063</v>
      </c>
      <c r="C1103" s="1" t="n">
        <v>46180</v>
      </c>
      <c r="D1103" t="inlineStr">
        <is>
          <t>GÄVLEBORGS LÄN</t>
        </is>
      </c>
      <c r="E1103" t="inlineStr">
        <is>
          <t>BOLLNÄS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7880-2026</t>
        </is>
      </c>
      <c r="B1104" s="1" t="n">
        <v>46063.27535879629</v>
      </c>
      <c r="C1104" s="1" t="n">
        <v>46180</v>
      </c>
      <c r="D1104" t="inlineStr">
        <is>
          <t>GÄVLEBORGS LÄN</t>
        </is>
      </c>
      <c r="E1104" t="inlineStr">
        <is>
          <t>BOLLNÄS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7956-2026</t>
        </is>
      </c>
      <c r="B1105" s="1" t="n">
        <v>46063</v>
      </c>
      <c r="C1105" s="1" t="n">
        <v>46180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Bergvik skog väst AB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7971-2026</t>
        </is>
      </c>
      <c r="B1106" s="1" t="n">
        <v>46063.46555555556</v>
      </c>
      <c r="C1106" s="1" t="n">
        <v>46180</v>
      </c>
      <c r="D1106" t="inlineStr">
        <is>
          <t>GÄVLEBORGS LÄN</t>
        </is>
      </c>
      <c r="E1106" t="inlineStr">
        <is>
          <t>BOLLNÄS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8006-2026</t>
        </is>
      </c>
      <c r="B1107" s="1" t="n">
        <v>46063</v>
      </c>
      <c r="C1107" s="1" t="n">
        <v>46180</v>
      </c>
      <c r="D1107" t="inlineStr">
        <is>
          <t>GÄVLEBORGS LÄN</t>
        </is>
      </c>
      <c r="E1107" t="inlineStr">
        <is>
          <t>BOLLNÄS</t>
        </is>
      </c>
      <c r="G1107" t="n">
        <v>11.3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5165-2026</t>
        </is>
      </c>
      <c r="B1108" s="1" t="n">
        <v>46049.62478009259</v>
      </c>
      <c r="C1108" s="1" t="n">
        <v>46180</v>
      </c>
      <c r="D1108" t="inlineStr">
        <is>
          <t>GÄVLEBORGS LÄN</t>
        </is>
      </c>
      <c r="E1108" t="inlineStr">
        <is>
          <t>BOLLNÄS</t>
        </is>
      </c>
      <c r="G1108" t="n">
        <v>5.9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36471-2025</t>
        </is>
      </c>
      <c r="B1109" s="1" t="n">
        <v>45869.4811574074</v>
      </c>
      <c r="C1109" s="1" t="n">
        <v>46180</v>
      </c>
      <c r="D1109" t="inlineStr">
        <is>
          <t>GÄVLEBORGS LÄN</t>
        </is>
      </c>
      <c r="E1109" t="inlineStr">
        <is>
          <t>BOLLNÄS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8087-2026</t>
        </is>
      </c>
      <c r="B1110" s="1" t="n">
        <v>46063</v>
      </c>
      <c r="C1110" s="1" t="n">
        <v>46180</v>
      </c>
      <c r="D1110" t="inlineStr">
        <is>
          <t>GÄVLEBORGS LÄN</t>
        </is>
      </c>
      <c r="E1110" t="inlineStr">
        <is>
          <t>BOLLNÄS</t>
        </is>
      </c>
      <c r="G1110" t="n">
        <v>13.3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8185-2026</t>
        </is>
      </c>
      <c r="B1111" s="1" t="n">
        <v>46064.4212962963</v>
      </c>
      <c r="C1111" s="1" t="n">
        <v>46180</v>
      </c>
      <c r="D1111" t="inlineStr">
        <is>
          <t>GÄVLEBORGS LÄN</t>
        </is>
      </c>
      <c r="E1111" t="inlineStr">
        <is>
          <t>BOLLNÄS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8199-2026</t>
        </is>
      </c>
      <c r="B1112" s="1" t="n">
        <v>46064</v>
      </c>
      <c r="C1112" s="1" t="n">
        <v>46180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Bergvik skog väst AB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8129-2026</t>
        </is>
      </c>
      <c r="B1113" s="1" t="n">
        <v>46064</v>
      </c>
      <c r="C1113" s="1" t="n">
        <v>46180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Bergvik skog väst AB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8134-2026</t>
        </is>
      </c>
      <c r="B1114" s="1" t="n">
        <v>46064.30798611111</v>
      </c>
      <c r="C1114" s="1" t="n">
        <v>46180</v>
      </c>
      <c r="D1114" t="inlineStr">
        <is>
          <t>GÄVLEBORGS LÄN</t>
        </is>
      </c>
      <c r="E1114" t="inlineStr">
        <is>
          <t>BOLLNÄS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8148-2026</t>
        </is>
      </c>
      <c r="B1115" s="1" t="n">
        <v>46064.35201388889</v>
      </c>
      <c r="C1115" s="1" t="n">
        <v>46180</v>
      </c>
      <c r="D1115" t="inlineStr">
        <is>
          <t>GÄVLEBORGS LÄN</t>
        </is>
      </c>
      <c r="E1115" t="inlineStr">
        <is>
          <t>BOLLNÄS</t>
        </is>
      </c>
      <c r="G1115" t="n">
        <v>23.9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8187-2026</t>
        </is>
      </c>
      <c r="B1116" s="1" t="n">
        <v>46064.42210648148</v>
      </c>
      <c r="C1116" s="1" t="n">
        <v>46180</v>
      </c>
      <c r="D1116" t="inlineStr">
        <is>
          <t>GÄVLEBORGS LÄN</t>
        </is>
      </c>
      <c r="E1116" t="inlineStr">
        <is>
          <t>BOLLNÄS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8374-2026</t>
        </is>
      </c>
      <c r="B1117" s="1" t="n">
        <v>46064</v>
      </c>
      <c r="C1117" s="1" t="n">
        <v>46180</v>
      </c>
      <c r="D1117" t="inlineStr">
        <is>
          <t>GÄVLEBORGS LÄN</t>
        </is>
      </c>
      <c r="E1117" t="inlineStr">
        <is>
          <t>BOLLNÄS</t>
        </is>
      </c>
      <c r="G1117" t="n">
        <v>4.6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8012-2026</t>
        </is>
      </c>
      <c r="B1118" s="1" t="n">
        <v>46063.53550925926</v>
      </c>
      <c r="C1118" s="1" t="n">
        <v>46180</v>
      </c>
      <c r="D1118" t="inlineStr">
        <is>
          <t>GÄVLEBORGS LÄN</t>
        </is>
      </c>
      <c r="E1118" t="inlineStr">
        <is>
          <t>BOLLNÄS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36474-2025</t>
        </is>
      </c>
      <c r="B1119" s="1" t="n">
        <v>45869.48569444445</v>
      </c>
      <c r="C1119" s="1" t="n">
        <v>46180</v>
      </c>
      <c r="D1119" t="inlineStr">
        <is>
          <t>GÄVLEBORGS LÄN</t>
        </is>
      </c>
      <c r="E1119" t="inlineStr">
        <is>
          <t>BOLLNÄS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36482-2025</t>
        </is>
      </c>
      <c r="B1120" s="1" t="n">
        <v>45869.5053587963</v>
      </c>
      <c r="C1120" s="1" t="n">
        <v>46180</v>
      </c>
      <c r="D1120" t="inlineStr">
        <is>
          <t>GÄVLEBORGS LÄN</t>
        </is>
      </c>
      <c r="E1120" t="inlineStr">
        <is>
          <t>BOLLNÄS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8181-2026</t>
        </is>
      </c>
      <c r="B1121" s="1" t="n">
        <v>46064.41965277777</v>
      </c>
      <c r="C1121" s="1" t="n">
        <v>46180</v>
      </c>
      <c r="D1121" t="inlineStr">
        <is>
          <t>GÄVLEBORGS LÄN</t>
        </is>
      </c>
      <c r="E1121" t="inlineStr">
        <is>
          <t>BOLLNÄS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8184-2026</t>
        </is>
      </c>
      <c r="B1122" s="1" t="n">
        <v>46064.42060185185</v>
      </c>
      <c r="C1122" s="1" t="n">
        <v>46180</v>
      </c>
      <c r="D1122" t="inlineStr">
        <is>
          <t>GÄVLEBORGS LÄN</t>
        </is>
      </c>
      <c r="E1122" t="inlineStr">
        <is>
          <t>BOLLNÄS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8200-2026</t>
        </is>
      </c>
      <c r="B1123" s="1" t="n">
        <v>46064.4416550926</v>
      </c>
      <c r="C1123" s="1" t="n">
        <v>46180</v>
      </c>
      <c r="D1123" t="inlineStr">
        <is>
          <t>GÄVLEBORGS LÄN</t>
        </is>
      </c>
      <c r="E1123" t="inlineStr">
        <is>
          <t>BOLLNÄS</t>
        </is>
      </c>
      <c r="G1123" t="n">
        <v>28.4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8327-2026</t>
        </is>
      </c>
      <c r="B1124" s="1" t="n">
        <v>46064</v>
      </c>
      <c r="C1124" s="1" t="n">
        <v>46180</v>
      </c>
      <c r="D1124" t="inlineStr">
        <is>
          <t>GÄVLEBORGS LÄN</t>
        </is>
      </c>
      <c r="E1124" t="inlineStr">
        <is>
          <t>BOLLNÄS</t>
        </is>
      </c>
      <c r="F1124" t="inlineStr">
        <is>
          <t>Bergvik skog väst AB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7884-2026</t>
        </is>
      </c>
      <c r="B1125" s="1" t="n">
        <v>46063.30266203704</v>
      </c>
      <c r="C1125" s="1" t="n">
        <v>46180</v>
      </c>
      <c r="D1125" t="inlineStr">
        <is>
          <t>GÄVLEBORGS LÄN</t>
        </is>
      </c>
      <c r="E1125" t="inlineStr">
        <is>
          <t>BOLLNÄS</t>
        </is>
      </c>
      <c r="F1125" t="inlineStr">
        <is>
          <t>Bergvik skog väst AB</t>
        </is>
      </c>
      <c r="G1125" t="n">
        <v>7.6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7913-2026</t>
        </is>
      </c>
      <c r="B1126" s="1" t="n">
        <v>46063</v>
      </c>
      <c r="C1126" s="1" t="n">
        <v>46180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Bergvik skog väst AB</t>
        </is>
      </c>
      <c r="G1126" t="n">
        <v>8.800000000000001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8235-2026</t>
        </is>
      </c>
      <c r="B1127" s="1" t="n">
        <v>46064</v>
      </c>
      <c r="C1127" s="1" t="n">
        <v>46180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Bergvik skog väst AB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50132-2025</t>
        </is>
      </c>
      <c r="B1128" s="1" t="n">
        <v>45943.55657407407</v>
      </c>
      <c r="C1128" s="1" t="n">
        <v>46180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Bergvik skog väst AB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8459-2026</t>
        </is>
      </c>
      <c r="B1129" s="1" t="n">
        <v>46065</v>
      </c>
      <c r="C1129" s="1" t="n">
        <v>46180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Bergvik skog väst AB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8450-2026</t>
        </is>
      </c>
      <c r="B1130" s="1" t="n">
        <v>46065</v>
      </c>
      <c r="C1130" s="1" t="n">
        <v>46180</v>
      </c>
      <c r="D1130" t="inlineStr">
        <is>
          <t>GÄVLEBORGS LÄN</t>
        </is>
      </c>
      <c r="E1130" t="inlineStr">
        <is>
          <t>BOLLNÄS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8594-2026</t>
        </is>
      </c>
      <c r="B1131" s="1" t="n">
        <v>46065</v>
      </c>
      <c r="C1131" s="1" t="n">
        <v>46180</v>
      </c>
      <c r="D1131" t="inlineStr">
        <is>
          <t>GÄVLEBORGS LÄN</t>
        </is>
      </c>
      <c r="E1131" t="inlineStr">
        <is>
          <t>BOLLNÄS</t>
        </is>
      </c>
      <c r="G1131" t="n">
        <v>17.2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8660-2026</t>
        </is>
      </c>
      <c r="B1132" s="1" t="n">
        <v>46066.3758912037</v>
      </c>
      <c r="C1132" s="1" t="n">
        <v>46180</v>
      </c>
      <c r="D1132" t="inlineStr">
        <is>
          <t>GÄVLEBORGS LÄN</t>
        </is>
      </c>
      <c r="E1132" t="inlineStr">
        <is>
          <t>BOLLNÄS</t>
        </is>
      </c>
      <c r="G1132" t="n">
        <v>13.7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8690-2026</t>
        </is>
      </c>
      <c r="B1133" s="1" t="n">
        <v>46066</v>
      </c>
      <c r="C1133" s="1" t="n">
        <v>46180</v>
      </c>
      <c r="D1133" t="inlineStr">
        <is>
          <t>GÄVLEBORGS LÄN</t>
        </is>
      </c>
      <c r="E1133" t="inlineStr">
        <is>
          <t>BOLLNÄS</t>
        </is>
      </c>
      <c r="F1133" t="inlineStr">
        <is>
          <t>Bergvik skog väst AB</t>
        </is>
      </c>
      <c r="G1133" t="n">
        <v>11.4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50130-2025</t>
        </is>
      </c>
      <c r="B1134" s="1" t="n">
        <v>45943.55408564815</v>
      </c>
      <c r="C1134" s="1" t="n">
        <v>46180</v>
      </c>
      <c r="D1134" t="inlineStr">
        <is>
          <t>GÄVLEBORGS LÄN</t>
        </is>
      </c>
      <c r="E1134" t="inlineStr">
        <is>
          <t>BOLLNÄS</t>
        </is>
      </c>
      <c r="F1134" t="inlineStr">
        <is>
          <t>Bergvik skog väst AB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50157-2025</t>
        </is>
      </c>
      <c r="B1135" s="1" t="n">
        <v>45943.58341435185</v>
      </c>
      <c r="C1135" s="1" t="n">
        <v>46180</v>
      </c>
      <c r="D1135" t="inlineStr">
        <is>
          <t>GÄVLEBORGS LÄN</t>
        </is>
      </c>
      <c r="E1135" t="inlineStr">
        <is>
          <t>BOLLNÄS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8560-2026</t>
        </is>
      </c>
      <c r="B1136" s="1" t="n">
        <v>46065</v>
      </c>
      <c r="C1136" s="1" t="n">
        <v>46180</v>
      </c>
      <c r="D1136" t="inlineStr">
        <is>
          <t>GÄVLEBORGS LÄN</t>
        </is>
      </c>
      <c r="E1136" t="inlineStr">
        <is>
          <t>BOLLNÄS</t>
        </is>
      </c>
      <c r="G1136" t="n">
        <v>8.4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611-2026</t>
        </is>
      </c>
      <c r="B1137" s="1" t="n">
        <v>46029</v>
      </c>
      <c r="C1137" s="1" t="n">
        <v>46180</v>
      </c>
      <c r="D1137" t="inlineStr">
        <is>
          <t>GÄVLEBORGS LÄN</t>
        </is>
      </c>
      <c r="E1137" t="inlineStr">
        <is>
          <t>BOLLNÄS</t>
        </is>
      </c>
      <c r="G1137" t="n">
        <v>9.199999999999999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8497-2026</t>
        </is>
      </c>
      <c r="B1138" s="1" t="n">
        <v>46065</v>
      </c>
      <c r="C1138" s="1" t="n">
        <v>46180</v>
      </c>
      <c r="D1138" t="inlineStr">
        <is>
          <t>GÄVLEBORGS LÄN</t>
        </is>
      </c>
      <c r="E1138" t="inlineStr">
        <is>
          <t>BOLLNÄS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8511-2026</t>
        </is>
      </c>
      <c r="B1139" s="1" t="n">
        <v>46065.55564814815</v>
      </c>
      <c r="C1139" s="1" t="n">
        <v>46180</v>
      </c>
      <c r="D1139" t="inlineStr">
        <is>
          <t>GÄVLEBORGS LÄN</t>
        </is>
      </c>
      <c r="E1139" t="inlineStr">
        <is>
          <t>BOLLNÄS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8515-2026</t>
        </is>
      </c>
      <c r="B1140" s="1" t="n">
        <v>46065.57314814815</v>
      </c>
      <c r="C1140" s="1" t="n">
        <v>46180</v>
      </c>
      <c r="D1140" t="inlineStr">
        <is>
          <t>GÄVLEBORGS LÄN</t>
        </is>
      </c>
      <c r="E1140" t="inlineStr">
        <is>
          <t>BOLLNÄS</t>
        </is>
      </c>
      <c r="G1140" t="n">
        <v>13.9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15858-2026</t>
        </is>
      </c>
      <c r="B1141" s="1" t="n">
        <v>46107.57670138889</v>
      </c>
      <c r="C1141" s="1" t="n">
        <v>46180</v>
      </c>
      <c r="D1141" t="inlineStr">
        <is>
          <t>GÄVLEBORGS LÄN</t>
        </is>
      </c>
      <c r="E1141" t="inlineStr">
        <is>
          <t>BOLLNÄS</t>
        </is>
      </c>
      <c r="F1141" t="inlineStr">
        <is>
          <t>Bergvik skog väst AB</t>
        </is>
      </c>
      <c r="G1141" t="n">
        <v>6.4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8669-2026</t>
        </is>
      </c>
      <c r="B1142" s="1" t="n">
        <v>46066</v>
      </c>
      <c r="C1142" s="1" t="n">
        <v>46180</v>
      </c>
      <c r="D1142" t="inlineStr">
        <is>
          <t>GÄVLEBORGS LÄN</t>
        </is>
      </c>
      <c r="E1142" t="inlineStr">
        <is>
          <t>BOLLNÄS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8670-2026</t>
        </is>
      </c>
      <c r="B1143" s="1" t="n">
        <v>46066.39653935185</v>
      </c>
      <c r="C1143" s="1" t="n">
        <v>46180</v>
      </c>
      <c r="D1143" t="inlineStr">
        <is>
          <t>GÄVLEBORGS LÄN</t>
        </is>
      </c>
      <c r="E1143" t="inlineStr">
        <is>
          <t>BOLLNÄS</t>
        </is>
      </c>
      <c r="G1143" t="n">
        <v>12.2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8700-2026</t>
        </is>
      </c>
      <c r="B1144" s="1" t="n">
        <v>46066</v>
      </c>
      <c r="C1144" s="1" t="n">
        <v>46180</v>
      </c>
      <c r="D1144" t="inlineStr">
        <is>
          <t>GÄVLEBORGS LÄN</t>
        </is>
      </c>
      <c r="E1144" t="inlineStr">
        <is>
          <t>BOLLNÄS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8761-2026</t>
        </is>
      </c>
      <c r="B1145" s="1" t="n">
        <v>46066</v>
      </c>
      <c r="C1145" s="1" t="n">
        <v>46180</v>
      </c>
      <c r="D1145" t="inlineStr">
        <is>
          <t>GÄVLEBORGS LÄN</t>
        </is>
      </c>
      <c r="E1145" t="inlineStr">
        <is>
          <t>BOLLNÄS</t>
        </is>
      </c>
      <c r="G1145" t="n">
        <v>6.8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8710-2026</t>
        </is>
      </c>
      <c r="B1146" s="1" t="n">
        <v>46066</v>
      </c>
      <c r="C1146" s="1" t="n">
        <v>46180</v>
      </c>
      <c r="D1146" t="inlineStr">
        <is>
          <t>GÄVLEBORGS LÄN</t>
        </is>
      </c>
      <c r="E1146" t="inlineStr">
        <is>
          <t>BOLLNÄS</t>
        </is>
      </c>
      <c r="F1146" t="inlineStr">
        <is>
          <t>Bergvik skog väst AB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8782-2026</t>
        </is>
      </c>
      <c r="B1147" s="1" t="n">
        <v>46066</v>
      </c>
      <c r="C1147" s="1" t="n">
        <v>46180</v>
      </c>
      <c r="D1147" t="inlineStr">
        <is>
          <t>GÄVLEBORGS LÄN</t>
        </is>
      </c>
      <c r="E1147" t="inlineStr">
        <is>
          <t>BOLLNÄS</t>
        </is>
      </c>
      <c r="F1147" t="inlineStr">
        <is>
          <t>Bergvik skog väst AB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50218-2025</t>
        </is>
      </c>
      <c r="B1148" s="1" t="n">
        <v>45943.68053240741</v>
      </c>
      <c r="C1148" s="1" t="n">
        <v>46180</v>
      </c>
      <c r="D1148" t="inlineStr">
        <is>
          <t>GÄVLEBORGS LÄN</t>
        </is>
      </c>
      <c r="E1148" t="inlineStr">
        <is>
          <t>BOLLNÄS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8840-2026</t>
        </is>
      </c>
      <c r="B1149" s="1" t="n">
        <v>46066</v>
      </c>
      <c r="C1149" s="1" t="n">
        <v>46180</v>
      </c>
      <c r="D1149" t="inlineStr">
        <is>
          <t>GÄVLEBORGS LÄN</t>
        </is>
      </c>
      <c r="E1149" t="inlineStr">
        <is>
          <t>BOLLNÄS</t>
        </is>
      </c>
      <c r="G1149" t="n">
        <v>16.7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8401-2026</t>
        </is>
      </c>
      <c r="B1150" s="1" t="n">
        <v>46065.31412037037</v>
      </c>
      <c r="C1150" s="1" t="n">
        <v>46180</v>
      </c>
      <c r="D1150" t="inlineStr">
        <is>
          <t>GÄVLEBORGS LÄN</t>
        </is>
      </c>
      <c r="E1150" t="inlineStr">
        <is>
          <t>BOLLNÄS</t>
        </is>
      </c>
      <c r="G1150" t="n">
        <v>8.4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8718-2026</t>
        </is>
      </c>
      <c r="B1151" s="1" t="n">
        <v>46066</v>
      </c>
      <c r="C1151" s="1" t="n">
        <v>46180</v>
      </c>
      <c r="D1151" t="inlineStr">
        <is>
          <t>GÄVLEBORGS LÄN</t>
        </is>
      </c>
      <c r="E1151" t="inlineStr">
        <is>
          <t>BOLLNÄS</t>
        </is>
      </c>
      <c r="F1151" t="inlineStr">
        <is>
          <t>Bergvik skog väst AB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8799-2026</t>
        </is>
      </c>
      <c r="B1152" s="1" t="n">
        <v>46066.59578703704</v>
      </c>
      <c r="C1152" s="1" t="n">
        <v>46180</v>
      </c>
      <c r="D1152" t="inlineStr">
        <is>
          <t>GÄVLEBORGS LÄN</t>
        </is>
      </c>
      <c r="E1152" t="inlineStr">
        <is>
          <t>BOLLNÄS</t>
        </is>
      </c>
      <c r="F1152" t="inlineStr">
        <is>
          <t>Sveaskog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28523-2023</t>
        </is>
      </c>
      <c r="B1153" s="1" t="n">
        <v>45103.4828587963</v>
      </c>
      <c r="C1153" s="1" t="n">
        <v>46180</v>
      </c>
      <c r="D1153" t="inlineStr">
        <is>
          <t>GÄVLEBORGS LÄN</t>
        </is>
      </c>
      <c r="E1153" t="inlineStr">
        <is>
          <t>BOLLNÄS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8741-2026</t>
        </is>
      </c>
      <c r="B1154" s="1" t="n">
        <v>46066</v>
      </c>
      <c r="C1154" s="1" t="n">
        <v>46180</v>
      </c>
      <c r="D1154" t="inlineStr">
        <is>
          <t>GÄVLEBORGS LÄN</t>
        </is>
      </c>
      <c r="E1154" t="inlineStr">
        <is>
          <t>BOLLNÄS</t>
        </is>
      </c>
      <c r="F1154" t="inlineStr">
        <is>
          <t>Bergvik skog väst AB</t>
        </is>
      </c>
      <c r="G1154" t="n">
        <v>27.7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8816-2026</t>
        </is>
      </c>
      <c r="B1155" s="1" t="n">
        <v>46066</v>
      </c>
      <c r="C1155" s="1" t="n">
        <v>46180</v>
      </c>
      <c r="D1155" t="inlineStr">
        <is>
          <t>GÄVLEBORGS LÄN</t>
        </is>
      </c>
      <c r="E1155" t="inlineStr">
        <is>
          <t>BOLLNÄS</t>
        </is>
      </c>
      <c r="F1155" t="inlineStr">
        <is>
          <t>Bergvik skog väst AB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8397-2026</t>
        </is>
      </c>
      <c r="B1156" s="1" t="n">
        <v>46065.30181712963</v>
      </c>
      <c r="C1156" s="1" t="n">
        <v>46180</v>
      </c>
      <c r="D1156" t="inlineStr">
        <is>
          <t>GÄVLEBORGS LÄN</t>
        </is>
      </c>
      <c r="E1156" t="inlineStr">
        <is>
          <t>BOLLNÄS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8793-2026</t>
        </is>
      </c>
      <c r="B1157" s="1" t="n">
        <v>46066</v>
      </c>
      <c r="C1157" s="1" t="n">
        <v>46180</v>
      </c>
      <c r="D1157" t="inlineStr">
        <is>
          <t>GÄVLEBORGS LÄN</t>
        </is>
      </c>
      <c r="E1157" t="inlineStr">
        <is>
          <t>BOLLNÄS</t>
        </is>
      </c>
      <c r="F1157" t="inlineStr">
        <is>
          <t>Sveaskog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8395-2026</t>
        </is>
      </c>
      <c r="B1158" s="1" t="n">
        <v>46065.29427083334</v>
      </c>
      <c r="C1158" s="1" t="n">
        <v>46180</v>
      </c>
      <c r="D1158" t="inlineStr">
        <is>
          <t>GÄVLEBORGS LÄN</t>
        </is>
      </c>
      <c r="E1158" t="inlineStr">
        <is>
          <t>BOLLNÄS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8399-2026</t>
        </is>
      </c>
      <c r="B1159" s="1" t="n">
        <v>46065.31300925926</v>
      </c>
      <c r="C1159" s="1" t="n">
        <v>46180</v>
      </c>
      <c r="D1159" t="inlineStr">
        <is>
          <t>GÄVLEBORGS LÄN</t>
        </is>
      </c>
      <c r="E1159" t="inlineStr">
        <is>
          <t>BOLLNÄS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8844-2026</t>
        </is>
      </c>
      <c r="B1160" s="1" t="n">
        <v>46066.64739583333</v>
      </c>
      <c r="C1160" s="1" t="n">
        <v>46180</v>
      </c>
      <c r="D1160" t="inlineStr">
        <is>
          <t>GÄVLEBORGS LÄN</t>
        </is>
      </c>
      <c r="E1160" t="inlineStr">
        <is>
          <t>BOLLNÄS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8771-2026</t>
        </is>
      </c>
      <c r="B1161" s="1" t="n">
        <v>46066.57212962963</v>
      </c>
      <c r="C1161" s="1" t="n">
        <v>46180</v>
      </c>
      <c r="D1161" t="inlineStr">
        <is>
          <t>GÄVLEBORGS LÄN</t>
        </is>
      </c>
      <c r="E1161" t="inlineStr">
        <is>
          <t>BOLLNÄS</t>
        </is>
      </c>
      <c r="F1161" t="inlineStr">
        <is>
          <t>Sveaskog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8702-2026</t>
        </is>
      </c>
      <c r="B1162" s="1" t="n">
        <v>46066</v>
      </c>
      <c r="C1162" s="1" t="n">
        <v>46180</v>
      </c>
      <c r="D1162" t="inlineStr">
        <is>
          <t>GÄVLEBORGS LÄN</t>
        </is>
      </c>
      <c r="E1162" t="inlineStr">
        <is>
          <t>BOLLNÄS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8580-2026</t>
        </is>
      </c>
      <c r="B1163" s="1" t="n">
        <v>46065</v>
      </c>
      <c r="C1163" s="1" t="n">
        <v>46180</v>
      </c>
      <c r="D1163" t="inlineStr">
        <is>
          <t>GÄVLEBORGS LÄN</t>
        </is>
      </c>
      <c r="E1163" t="inlineStr">
        <is>
          <t>BOLLNÄS</t>
        </is>
      </c>
      <c r="F1163" t="inlineStr">
        <is>
          <t>Bergvik skog väst AB</t>
        </is>
      </c>
      <c r="G1163" t="n">
        <v>4.1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8513-2026</t>
        </is>
      </c>
      <c r="B1164" s="1" t="n">
        <v>46065.56185185185</v>
      </c>
      <c r="C1164" s="1" t="n">
        <v>46180</v>
      </c>
      <c r="D1164" t="inlineStr">
        <is>
          <t>GÄVLEBORGS LÄN</t>
        </is>
      </c>
      <c r="E1164" t="inlineStr">
        <is>
          <t>BOLLNÄS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8813-2026</t>
        </is>
      </c>
      <c r="B1165" s="1" t="n">
        <v>46066</v>
      </c>
      <c r="C1165" s="1" t="n">
        <v>46180</v>
      </c>
      <c r="D1165" t="inlineStr">
        <is>
          <t>GÄVLEBORGS LÄN</t>
        </is>
      </c>
      <c r="E1165" t="inlineStr">
        <is>
          <t>BOLLNÄS</t>
        </is>
      </c>
      <c r="F1165" t="inlineStr">
        <is>
          <t>Bergvik skog väst AB</t>
        </is>
      </c>
      <c r="G1165" t="n">
        <v>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8396-2026</t>
        </is>
      </c>
      <c r="B1166" s="1" t="n">
        <v>46065.29842592592</v>
      </c>
      <c r="C1166" s="1" t="n">
        <v>46180</v>
      </c>
      <c r="D1166" t="inlineStr">
        <is>
          <t>GÄVLEBORGS LÄN</t>
        </is>
      </c>
      <c r="E1166" t="inlineStr">
        <is>
          <t>BOLLNÄS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8406-2026</t>
        </is>
      </c>
      <c r="B1167" s="1" t="n">
        <v>46065.32912037037</v>
      </c>
      <c r="C1167" s="1" t="n">
        <v>46180</v>
      </c>
      <c r="D1167" t="inlineStr">
        <is>
          <t>GÄVLEBORGS LÄN</t>
        </is>
      </c>
      <c r="E1167" t="inlineStr">
        <is>
          <t>BOLLNÄS</t>
        </is>
      </c>
      <c r="G1167" t="n">
        <v>4.7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36957-2025</t>
        </is>
      </c>
      <c r="B1168" s="1" t="n">
        <v>45874</v>
      </c>
      <c r="C1168" s="1" t="n">
        <v>46180</v>
      </c>
      <c r="D1168" t="inlineStr">
        <is>
          <t>GÄVLEBORGS LÄN</t>
        </is>
      </c>
      <c r="E1168" t="inlineStr">
        <is>
          <t>BOLLNÄS</t>
        </is>
      </c>
      <c r="F1168" t="inlineStr">
        <is>
          <t>Bergvik skog väst AB</t>
        </is>
      </c>
      <c r="G1168" t="n">
        <v>7.2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8811-2026</t>
        </is>
      </c>
      <c r="B1169" s="1" t="n">
        <v>46066</v>
      </c>
      <c r="C1169" s="1" t="n">
        <v>46180</v>
      </c>
      <c r="D1169" t="inlineStr">
        <is>
          <t>GÄVLEBORGS LÄN</t>
        </is>
      </c>
      <c r="E1169" t="inlineStr">
        <is>
          <t>BOLLNÄS</t>
        </is>
      </c>
      <c r="F1169" t="inlineStr">
        <is>
          <t>Bergvik skog väst AB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8774-2025</t>
        </is>
      </c>
      <c r="B1170" s="1" t="n">
        <v>45712.61496527777</v>
      </c>
      <c r="C1170" s="1" t="n">
        <v>46180</v>
      </c>
      <c r="D1170" t="inlineStr">
        <is>
          <t>GÄVLEBORGS LÄN</t>
        </is>
      </c>
      <c r="E1170" t="inlineStr">
        <is>
          <t>BOLLNÄS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15826-2026</t>
        </is>
      </c>
      <c r="B1171" s="1" t="n">
        <v>46107.54746527778</v>
      </c>
      <c r="C1171" s="1" t="n">
        <v>46180</v>
      </c>
      <c r="D1171" t="inlineStr">
        <is>
          <t>GÄVLEBORGS LÄN</t>
        </is>
      </c>
      <c r="E1171" t="inlineStr">
        <is>
          <t>BOLLNÄS</t>
        </is>
      </c>
      <c r="F1171" t="inlineStr">
        <is>
          <t>Bergvik skog väst AB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8536-2026</t>
        </is>
      </c>
      <c r="B1172" s="1" t="n">
        <v>46065.60672453704</v>
      </c>
      <c r="C1172" s="1" t="n">
        <v>46180</v>
      </c>
      <c r="D1172" t="inlineStr">
        <is>
          <t>GÄVLEBORGS LÄN</t>
        </is>
      </c>
      <c r="E1172" t="inlineStr">
        <is>
          <t>BOLLNÄS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8542-2026</t>
        </is>
      </c>
      <c r="B1173" s="1" t="n">
        <v>46065.61172453704</v>
      </c>
      <c r="C1173" s="1" t="n">
        <v>46180</v>
      </c>
      <c r="D1173" t="inlineStr">
        <is>
          <t>GÄVLEBORGS LÄN</t>
        </is>
      </c>
      <c r="E1173" t="inlineStr">
        <is>
          <t>BOLLNÄS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36734-2025</t>
        </is>
      </c>
      <c r="B1174" s="1" t="n">
        <v>45873.52091435185</v>
      </c>
      <c r="C1174" s="1" t="n">
        <v>46180</v>
      </c>
      <c r="D1174" t="inlineStr">
        <is>
          <t>GÄVLEBORGS LÄN</t>
        </is>
      </c>
      <c r="E1174" t="inlineStr">
        <is>
          <t>BOLLNÄS</t>
        </is>
      </c>
      <c r="G1174" t="n">
        <v>10.6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8819-2026</t>
        </is>
      </c>
      <c r="B1175" s="1" t="n">
        <v>46066</v>
      </c>
      <c r="C1175" s="1" t="n">
        <v>46180</v>
      </c>
      <c r="D1175" t="inlineStr">
        <is>
          <t>GÄVLEBORGS LÄN</t>
        </is>
      </c>
      <c r="E1175" t="inlineStr">
        <is>
          <t>BOLLNÄS</t>
        </is>
      </c>
      <c r="F1175" t="inlineStr">
        <is>
          <t>Bergvik skog väst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8528-2026</t>
        </is>
      </c>
      <c r="B1176" s="1" t="n">
        <v>46065.59579861111</v>
      </c>
      <c r="C1176" s="1" t="n">
        <v>46180</v>
      </c>
      <c r="D1176" t="inlineStr">
        <is>
          <t>GÄVLEBORGS LÄN</t>
        </is>
      </c>
      <c r="E1176" t="inlineStr">
        <is>
          <t>BOLLNÄS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12451-2023</t>
        </is>
      </c>
      <c r="B1177" s="1" t="n">
        <v>44999.57931712963</v>
      </c>
      <c r="C1177" s="1" t="n">
        <v>46180</v>
      </c>
      <c r="D1177" t="inlineStr">
        <is>
          <t>GÄVLEBORGS LÄN</t>
        </is>
      </c>
      <c r="E1177" t="inlineStr">
        <is>
          <t>BOLLNÄS</t>
        </is>
      </c>
      <c r="G1177" t="n">
        <v>0.2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8769-2026</t>
        </is>
      </c>
      <c r="B1178" s="1" t="n">
        <v>46066.56991898148</v>
      </c>
      <c r="C1178" s="1" t="n">
        <v>46180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Sveaskog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49915-2025</t>
        </is>
      </c>
      <c r="B1179" s="1" t="n">
        <v>45940</v>
      </c>
      <c r="C1179" s="1" t="n">
        <v>46180</v>
      </c>
      <c r="D1179" t="inlineStr">
        <is>
          <t>GÄVLEBORGS LÄN</t>
        </is>
      </c>
      <c r="E1179" t="inlineStr">
        <is>
          <t>BOLLNÄS</t>
        </is>
      </c>
      <c r="G1179" t="n">
        <v>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7129-2025</t>
        </is>
      </c>
      <c r="B1180" s="1" t="n">
        <v>45702</v>
      </c>
      <c r="C1180" s="1" t="n">
        <v>46180</v>
      </c>
      <c r="D1180" t="inlineStr">
        <is>
          <t>GÄVLEBORGS LÄN</t>
        </is>
      </c>
      <c r="E1180" t="inlineStr">
        <is>
          <t>BOLLNÄS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8506-2026</t>
        </is>
      </c>
      <c r="B1181" s="1" t="n">
        <v>46065.52847222222</v>
      </c>
      <c r="C1181" s="1" t="n">
        <v>46180</v>
      </c>
      <c r="D1181" t="inlineStr">
        <is>
          <t>GÄVLEBORGS LÄN</t>
        </is>
      </c>
      <c r="E1181" t="inlineStr">
        <is>
          <t>BOLLNÄS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8908-2026</t>
        </is>
      </c>
      <c r="B1182" s="1" t="n">
        <v>46069.26480324074</v>
      </c>
      <c r="C1182" s="1" t="n">
        <v>46180</v>
      </c>
      <c r="D1182" t="inlineStr">
        <is>
          <t>GÄVLEBORGS LÄN</t>
        </is>
      </c>
      <c r="E1182" t="inlineStr">
        <is>
          <t>BOLLNÄS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8915-2026</t>
        </is>
      </c>
      <c r="B1183" s="1" t="n">
        <v>46069.31325231482</v>
      </c>
      <c r="C1183" s="1" t="n">
        <v>46180</v>
      </c>
      <c r="D1183" t="inlineStr">
        <is>
          <t>GÄVLEBORGS LÄN</t>
        </is>
      </c>
      <c r="E1183" t="inlineStr">
        <is>
          <t>BOLLNÄS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8966-2026</t>
        </is>
      </c>
      <c r="B1184" s="1" t="n">
        <v>46069.42616898148</v>
      </c>
      <c r="C1184" s="1" t="n">
        <v>46180</v>
      </c>
      <c r="D1184" t="inlineStr">
        <is>
          <t>GÄVLEBORGS LÄN</t>
        </is>
      </c>
      <c r="E1184" t="inlineStr">
        <is>
          <t>BOLLNÄS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9063-2026</t>
        </is>
      </c>
      <c r="B1185" s="1" t="n">
        <v>46069</v>
      </c>
      <c r="C1185" s="1" t="n">
        <v>46180</v>
      </c>
      <c r="D1185" t="inlineStr">
        <is>
          <t>GÄVLEBORGS LÄN</t>
        </is>
      </c>
      <c r="E1185" t="inlineStr">
        <is>
          <t>BOLLNÄS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9085-2026</t>
        </is>
      </c>
      <c r="B1186" s="1" t="n">
        <v>46069.610625</v>
      </c>
      <c r="C1186" s="1" t="n">
        <v>46180</v>
      </c>
      <c r="D1186" t="inlineStr">
        <is>
          <t>GÄVLEBORGS LÄN</t>
        </is>
      </c>
      <c r="E1186" t="inlineStr">
        <is>
          <t>BOLLNÄS</t>
        </is>
      </c>
      <c r="F1186" t="inlineStr">
        <is>
          <t>Kommuner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9177-2026</t>
        </is>
      </c>
      <c r="B1187" s="1" t="n">
        <v>46070.36740740741</v>
      </c>
      <c r="C1187" s="1" t="n">
        <v>46180</v>
      </c>
      <c r="D1187" t="inlineStr">
        <is>
          <t>GÄVLEBORGS LÄN</t>
        </is>
      </c>
      <c r="E1187" t="inlineStr">
        <is>
          <t>BOLLNÄS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9178-2026</t>
        </is>
      </c>
      <c r="B1188" s="1" t="n">
        <v>46070.36805555555</v>
      </c>
      <c r="C1188" s="1" t="n">
        <v>46180</v>
      </c>
      <c r="D1188" t="inlineStr">
        <is>
          <t>GÄVLEBORGS LÄN</t>
        </is>
      </c>
      <c r="E1188" t="inlineStr">
        <is>
          <t>BOLLNÄS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9216-2026</t>
        </is>
      </c>
      <c r="B1189" s="1" t="n">
        <v>46070</v>
      </c>
      <c r="C1189" s="1" t="n">
        <v>46180</v>
      </c>
      <c r="D1189" t="inlineStr">
        <is>
          <t>GÄVLEBORGS LÄN</t>
        </is>
      </c>
      <c r="E1189" t="inlineStr">
        <is>
          <t>BOLLNÄS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9022-2026</t>
        </is>
      </c>
      <c r="B1190" s="1" t="n">
        <v>46069</v>
      </c>
      <c r="C1190" s="1" t="n">
        <v>46180</v>
      </c>
      <c r="D1190" t="inlineStr">
        <is>
          <t>GÄVLEBORGS LÄN</t>
        </is>
      </c>
      <c r="E1190" t="inlineStr">
        <is>
          <t>BOLLNÄS</t>
        </is>
      </c>
      <c r="F1190" t="inlineStr">
        <is>
          <t>Bergvik skog väst AB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9295-2026</t>
        </is>
      </c>
      <c r="B1191" s="1" t="n">
        <v>46070</v>
      </c>
      <c r="C1191" s="1" t="n">
        <v>46180</v>
      </c>
      <c r="D1191" t="inlineStr">
        <is>
          <t>GÄVLEBORGS LÄN</t>
        </is>
      </c>
      <c r="E1191" t="inlineStr">
        <is>
          <t>BOLLNÄS</t>
        </is>
      </c>
      <c r="F1191" t="inlineStr">
        <is>
          <t>Bergvik skog väst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9300-2026</t>
        </is>
      </c>
      <c r="B1192" s="1" t="n">
        <v>46070</v>
      </c>
      <c r="C1192" s="1" t="n">
        <v>46180</v>
      </c>
      <c r="D1192" t="inlineStr">
        <is>
          <t>GÄVLEBORGS LÄN</t>
        </is>
      </c>
      <c r="E1192" t="inlineStr">
        <is>
          <t>BOLLNÄS</t>
        </is>
      </c>
      <c r="F1192" t="inlineStr">
        <is>
          <t>Bergvik skog väst AB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9302-2026</t>
        </is>
      </c>
      <c r="B1193" s="1" t="n">
        <v>46070</v>
      </c>
      <c r="C1193" s="1" t="n">
        <v>46180</v>
      </c>
      <c r="D1193" t="inlineStr">
        <is>
          <t>GÄVLEBORGS LÄN</t>
        </is>
      </c>
      <c r="E1193" t="inlineStr">
        <is>
          <t>BOLLNÄS</t>
        </is>
      </c>
      <c r="G1193" t="n">
        <v>7.3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9304-2026</t>
        </is>
      </c>
      <c r="B1194" s="1" t="n">
        <v>46070</v>
      </c>
      <c r="C1194" s="1" t="n">
        <v>46180</v>
      </c>
      <c r="D1194" t="inlineStr">
        <is>
          <t>GÄVLEBORGS LÄN</t>
        </is>
      </c>
      <c r="E1194" t="inlineStr">
        <is>
          <t>BOLLNÄS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9323-2026</t>
        </is>
      </c>
      <c r="B1195" s="1" t="n">
        <v>46070.63743055556</v>
      </c>
      <c r="C1195" s="1" t="n">
        <v>46180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44177-2022</t>
        </is>
      </c>
      <c r="B1196" s="1" t="n">
        <v>44839</v>
      </c>
      <c r="C1196" s="1" t="n">
        <v>46180</v>
      </c>
      <c r="D1196" t="inlineStr">
        <is>
          <t>GÄVLEBORGS LÄN</t>
        </is>
      </c>
      <c r="E1196" t="inlineStr">
        <is>
          <t>BOLLNÄS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57781-2024</t>
        </is>
      </c>
      <c r="B1197" s="1" t="n">
        <v>45631</v>
      </c>
      <c r="C1197" s="1" t="n">
        <v>46180</v>
      </c>
      <c r="D1197" t="inlineStr">
        <is>
          <t>GÄVLEBORGS LÄN</t>
        </is>
      </c>
      <c r="E1197" t="inlineStr">
        <is>
          <t>BOLLNÄS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9109-2026</t>
        </is>
      </c>
      <c r="B1198" s="1" t="n">
        <v>46069.66319444445</v>
      </c>
      <c r="C1198" s="1" t="n">
        <v>46180</v>
      </c>
      <c r="D1198" t="inlineStr">
        <is>
          <t>GÄVLEBORGS LÄN</t>
        </is>
      </c>
      <c r="E1198" t="inlineStr">
        <is>
          <t>BOLLNÄS</t>
        </is>
      </c>
      <c r="F1198" t="inlineStr">
        <is>
          <t>Kommuner</t>
        </is>
      </c>
      <c r="G1198" t="n">
        <v>9.800000000000001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37094-2025</t>
        </is>
      </c>
      <c r="B1199" s="1" t="n">
        <v>45875.46909722222</v>
      </c>
      <c r="C1199" s="1" t="n">
        <v>46180</v>
      </c>
      <c r="D1199" t="inlineStr">
        <is>
          <t>GÄVLEBORGS LÄN</t>
        </is>
      </c>
      <c r="E1199" t="inlineStr">
        <is>
          <t>BOLLNÄS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8886-2026</t>
        </is>
      </c>
      <c r="B1200" s="1" t="n">
        <v>46068</v>
      </c>
      <c r="C1200" s="1" t="n">
        <v>46180</v>
      </c>
      <c r="D1200" t="inlineStr">
        <is>
          <t>GÄVLEBORGS LÄN</t>
        </is>
      </c>
      <c r="E1200" t="inlineStr">
        <is>
          <t>BOLLNÄS</t>
        </is>
      </c>
      <c r="F1200" t="inlineStr">
        <is>
          <t>Bergvik skog väst AB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9181-2026</t>
        </is>
      </c>
      <c r="B1201" s="1" t="n">
        <v>46070.3703125</v>
      </c>
      <c r="C1201" s="1" t="n">
        <v>46180</v>
      </c>
      <c r="D1201" t="inlineStr">
        <is>
          <t>GÄVLEBORGS LÄN</t>
        </is>
      </c>
      <c r="E1201" t="inlineStr">
        <is>
          <t>BOLLNÄS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9336-2026</t>
        </is>
      </c>
      <c r="B1202" s="1" t="n">
        <v>46070.66629629629</v>
      </c>
      <c r="C1202" s="1" t="n">
        <v>46180</v>
      </c>
      <c r="D1202" t="inlineStr">
        <is>
          <t>GÄVLEBORGS LÄN</t>
        </is>
      </c>
      <c r="E1202" t="inlineStr">
        <is>
          <t>BOLLNÄS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9239-2026</t>
        </is>
      </c>
      <c r="B1203" s="1" t="n">
        <v>46070.47952546296</v>
      </c>
      <c r="C1203" s="1" t="n">
        <v>46180</v>
      </c>
      <c r="D1203" t="inlineStr">
        <is>
          <t>GÄVLEBORGS LÄN</t>
        </is>
      </c>
      <c r="E1203" t="inlineStr">
        <is>
          <t>BOLLNÄS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9353-2026</t>
        </is>
      </c>
      <c r="B1204" s="1" t="n">
        <v>46070.70153935185</v>
      </c>
      <c r="C1204" s="1" t="n">
        <v>46180</v>
      </c>
      <c r="D1204" t="inlineStr">
        <is>
          <t>GÄVLEBORGS LÄN</t>
        </is>
      </c>
      <c r="E1204" t="inlineStr">
        <is>
          <t>BOLLNÄS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9359-2026</t>
        </is>
      </c>
      <c r="B1205" s="1" t="n">
        <v>46070.72490740741</v>
      </c>
      <c r="C1205" s="1" t="n">
        <v>46180</v>
      </c>
      <c r="D1205" t="inlineStr">
        <is>
          <t>GÄVLEBORGS LÄN</t>
        </is>
      </c>
      <c r="E1205" t="inlineStr">
        <is>
          <t>BOLLNÄS</t>
        </is>
      </c>
      <c r="G1205" t="n">
        <v>17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8884-2026</t>
        </is>
      </c>
      <c r="B1206" s="1" t="n">
        <v>46067.89483796297</v>
      </c>
      <c r="C1206" s="1" t="n">
        <v>46180</v>
      </c>
      <c r="D1206" t="inlineStr">
        <is>
          <t>GÄVLEBORGS LÄN</t>
        </is>
      </c>
      <c r="E1206" t="inlineStr">
        <is>
          <t>BOLLNÄS</t>
        </is>
      </c>
      <c r="G1206" t="n">
        <v>7.3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550-2026</t>
        </is>
      </c>
      <c r="B1207" s="1" t="n">
        <v>46029</v>
      </c>
      <c r="C1207" s="1" t="n">
        <v>46180</v>
      </c>
      <c r="D1207" t="inlineStr">
        <is>
          <t>GÄVLEBORGS LÄN</t>
        </is>
      </c>
      <c r="E1207" t="inlineStr">
        <is>
          <t>BOLLNÄS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9059-2026</t>
        </is>
      </c>
      <c r="B1208" s="1" t="n">
        <v>46069.56408564815</v>
      </c>
      <c r="C1208" s="1" t="n">
        <v>46180</v>
      </c>
      <c r="D1208" t="inlineStr">
        <is>
          <t>GÄVLEBORGS LÄN</t>
        </is>
      </c>
      <c r="E1208" t="inlineStr">
        <is>
          <t>BOLLNÄS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2802-2025</t>
        </is>
      </c>
      <c r="B1209" s="1" t="n">
        <v>45677.58137731482</v>
      </c>
      <c r="C1209" s="1" t="n">
        <v>46180</v>
      </c>
      <c r="D1209" t="inlineStr">
        <is>
          <t>GÄVLEBORGS LÄN</t>
        </is>
      </c>
      <c r="E1209" t="inlineStr">
        <is>
          <t>BOLLNÄS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9235-2026</t>
        </is>
      </c>
      <c r="B1210" s="1" t="n">
        <v>46070</v>
      </c>
      <c r="C1210" s="1" t="n">
        <v>46180</v>
      </c>
      <c r="D1210" t="inlineStr">
        <is>
          <t>GÄVLEBORGS LÄN</t>
        </is>
      </c>
      <c r="E1210" t="inlineStr">
        <is>
          <t>BOLLNÄS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9237-2026</t>
        </is>
      </c>
      <c r="B1211" s="1" t="n">
        <v>46070.47622685185</v>
      </c>
      <c r="C1211" s="1" t="n">
        <v>46180</v>
      </c>
      <c r="D1211" t="inlineStr">
        <is>
          <t>GÄVLEBORGS LÄN</t>
        </is>
      </c>
      <c r="E1211" t="inlineStr">
        <is>
          <t>BOLLNÄS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9243-2026</t>
        </is>
      </c>
      <c r="B1212" s="1" t="n">
        <v>46070</v>
      </c>
      <c r="C1212" s="1" t="n">
        <v>46180</v>
      </c>
      <c r="D1212" t="inlineStr">
        <is>
          <t>GÄVLEBORGS LÄN</t>
        </is>
      </c>
      <c r="E1212" t="inlineStr">
        <is>
          <t>BOLLNÄS</t>
        </is>
      </c>
      <c r="F1212" t="inlineStr">
        <is>
          <t>Bergvik skog väst AB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9254-2026</t>
        </is>
      </c>
      <c r="B1213" s="1" t="n">
        <v>46070</v>
      </c>
      <c r="C1213" s="1" t="n">
        <v>46180</v>
      </c>
      <c r="D1213" t="inlineStr">
        <is>
          <t>GÄVLEBORGS LÄN</t>
        </is>
      </c>
      <c r="E1213" t="inlineStr">
        <is>
          <t>BOLLNÄS</t>
        </is>
      </c>
      <c r="F1213" t="inlineStr">
        <is>
          <t>Bergvik skog väst AB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9303-2026</t>
        </is>
      </c>
      <c r="B1214" s="1" t="n">
        <v>46070</v>
      </c>
      <c r="C1214" s="1" t="n">
        <v>46180</v>
      </c>
      <c r="D1214" t="inlineStr">
        <is>
          <t>GÄVLEBORGS LÄN</t>
        </is>
      </c>
      <c r="E1214" t="inlineStr">
        <is>
          <t>BOLLNÄS</t>
        </is>
      </c>
      <c r="F1214" t="inlineStr">
        <is>
          <t>Bergvik skog väst AB</t>
        </is>
      </c>
      <c r="G1214" t="n">
        <v>6.5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9184-2026</t>
        </is>
      </c>
      <c r="B1215" s="1" t="n">
        <v>46070.37256944444</v>
      </c>
      <c r="C1215" s="1" t="n">
        <v>46180</v>
      </c>
      <c r="D1215" t="inlineStr">
        <is>
          <t>GÄVLEBORGS LÄN</t>
        </is>
      </c>
      <c r="E1215" t="inlineStr">
        <is>
          <t>BOLLNÄS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9188-2026</t>
        </is>
      </c>
      <c r="B1216" s="1" t="n">
        <v>46070.38043981481</v>
      </c>
      <c r="C1216" s="1" t="n">
        <v>46180</v>
      </c>
      <c r="D1216" t="inlineStr">
        <is>
          <t>GÄVLEBORGS LÄN</t>
        </is>
      </c>
      <c r="E1216" t="inlineStr">
        <is>
          <t>BOLLNÄS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9230-2026</t>
        </is>
      </c>
      <c r="B1217" s="1" t="n">
        <v>46070.46476851852</v>
      </c>
      <c r="C1217" s="1" t="n">
        <v>46180</v>
      </c>
      <c r="D1217" t="inlineStr">
        <is>
          <t>GÄVLEBORGS LÄN</t>
        </is>
      </c>
      <c r="E1217" t="inlineStr">
        <is>
          <t>BOLLNÄS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9241-2026</t>
        </is>
      </c>
      <c r="B1218" s="1" t="n">
        <v>46070.48048611111</v>
      </c>
      <c r="C1218" s="1" t="n">
        <v>46180</v>
      </c>
      <c r="D1218" t="inlineStr">
        <is>
          <t>GÄVLEBORGS LÄN</t>
        </is>
      </c>
      <c r="E1218" t="inlineStr">
        <is>
          <t>BOLLNÄS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9242-2026</t>
        </is>
      </c>
      <c r="B1219" s="1" t="n">
        <v>46070.48130787037</v>
      </c>
      <c r="C1219" s="1" t="n">
        <v>46180</v>
      </c>
      <c r="D1219" t="inlineStr">
        <is>
          <t>GÄVLEBORGS LÄN</t>
        </is>
      </c>
      <c r="E1219" t="inlineStr">
        <is>
          <t>BOLLNÄS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8876-2026</t>
        </is>
      </c>
      <c r="B1220" s="1" t="n">
        <v>46067</v>
      </c>
      <c r="C1220" s="1" t="n">
        <v>46180</v>
      </c>
      <c r="D1220" t="inlineStr">
        <is>
          <t>GÄVLEBORGS LÄN</t>
        </is>
      </c>
      <c r="E1220" t="inlineStr">
        <is>
          <t>BOLLNÄS</t>
        </is>
      </c>
      <c r="F1220" t="inlineStr">
        <is>
          <t>Bergvik skog väst AB</t>
        </is>
      </c>
      <c r="G1220" t="n">
        <v>6.4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8881-2026</t>
        </is>
      </c>
      <c r="B1221" s="1" t="n">
        <v>46067.85546296297</v>
      </c>
      <c r="C1221" s="1" t="n">
        <v>46180</v>
      </c>
      <c r="D1221" t="inlineStr">
        <is>
          <t>GÄVLEBORGS LÄN</t>
        </is>
      </c>
      <c r="E1221" t="inlineStr">
        <is>
          <t>BOLLNÄS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8882-2026</t>
        </is>
      </c>
      <c r="B1222" s="1" t="n">
        <v>46067.87108796297</v>
      </c>
      <c r="C1222" s="1" t="n">
        <v>46180</v>
      </c>
      <c r="D1222" t="inlineStr">
        <is>
          <t>GÄVLEBORGS LÄN</t>
        </is>
      </c>
      <c r="E1222" t="inlineStr">
        <is>
          <t>BOLLNÄS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9172-2026</t>
        </is>
      </c>
      <c r="B1223" s="1" t="n">
        <v>46070.36434027777</v>
      </c>
      <c r="C1223" s="1" t="n">
        <v>46180</v>
      </c>
      <c r="D1223" t="inlineStr">
        <is>
          <t>GÄVLEBORGS LÄN</t>
        </is>
      </c>
      <c r="E1223" t="inlineStr">
        <is>
          <t>BOLLNÄS</t>
        </is>
      </c>
      <c r="G1223" t="n">
        <v>5.2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9174-2026</t>
        </is>
      </c>
      <c r="B1224" s="1" t="n">
        <v>46070.36658564815</v>
      </c>
      <c r="C1224" s="1" t="n">
        <v>46180</v>
      </c>
      <c r="D1224" t="inlineStr">
        <is>
          <t>GÄVLEBORGS LÄN</t>
        </is>
      </c>
      <c r="E1224" t="inlineStr">
        <is>
          <t>BOLLNÄS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9015-2026</t>
        </is>
      </c>
      <c r="B1225" s="1" t="n">
        <v>46069</v>
      </c>
      <c r="C1225" s="1" t="n">
        <v>46180</v>
      </c>
      <c r="D1225" t="inlineStr">
        <is>
          <t>GÄVLEBORGS LÄN</t>
        </is>
      </c>
      <c r="E1225" t="inlineStr">
        <is>
          <t>BOLLNÄS</t>
        </is>
      </c>
      <c r="G1225" t="n">
        <v>6.8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9211-2026</t>
        </is>
      </c>
      <c r="B1226" s="1" t="n">
        <v>46070.428125</v>
      </c>
      <c r="C1226" s="1" t="n">
        <v>46180</v>
      </c>
      <c r="D1226" t="inlineStr">
        <is>
          <t>GÄVLEBORGS LÄN</t>
        </is>
      </c>
      <c r="E1226" t="inlineStr">
        <is>
          <t>BOLLNÄS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9213-2026</t>
        </is>
      </c>
      <c r="B1227" s="1" t="n">
        <v>46070</v>
      </c>
      <c r="C1227" s="1" t="n">
        <v>46180</v>
      </c>
      <c r="D1227" t="inlineStr">
        <is>
          <t>GÄVLEBORGS LÄN</t>
        </is>
      </c>
      <c r="E1227" t="inlineStr">
        <is>
          <t>BOLLNÄS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9335-2026</t>
        </is>
      </c>
      <c r="B1228" s="1" t="n">
        <v>46070.66290509259</v>
      </c>
      <c r="C1228" s="1" t="n">
        <v>46180</v>
      </c>
      <c r="D1228" t="inlineStr">
        <is>
          <t>GÄVLEBORGS LÄN</t>
        </is>
      </c>
      <c r="E1228" t="inlineStr">
        <is>
          <t>BOLLNÄS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8898-2026</t>
        </is>
      </c>
      <c r="B1229" s="1" t="n">
        <v>46068.50238425926</v>
      </c>
      <c r="C1229" s="1" t="n">
        <v>46180</v>
      </c>
      <c r="D1229" t="inlineStr">
        <is>
          <t>GÄVLEBORGS LÄN</t>
        </is>
      </c>
      <c r="E1229" t="inlineStr">
        <is>
          <t>BOLLNÄS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8906-2026</t>
        </is>
      </c>
      <c r="B1230" s="1" t="n">
        <v>46069</v>
      </c>
      <c r="C1230" s="1" t="n">
        <v>46180</v>
      </c>
      <c r="D1230" t="inlineStr">
        <is>
          <t>GÄVLEBORGS LÄN</t>
        </is>
      </c>
      <c r="E1230" t="inlineStr">
        <is>
          <t>BOLLNÄS</t>
        </is>
      </c>
      <c r="G1230" t="n">
        <v>9.300000000000001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9283-2026</t>
        </is>
      </c>
      <c r="B1231" s="1" t="n">
        <v>46070</v>
      </c>
      <c r="C1231" s="1" t="n">
        <v>46180</v>
      </c>
      <c r="D1231" t="inlineStr">
        <is>
          <t>GÄVLEBORGS LÄN</t>
        </is>
      </c>
      <c r="E1231" t="inlineStr">
        <is>
          <t>BOLLNÄS</t>
        </is>
      </c>
      <c r="G1231" t="n">
        <v>9.9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9307-2026</t>
        </is>
      </c>
      <c r="B1232" s="1" t="n">
        <v>46070.60666666667</v>
      </c>
      <c r="C1232" s="1" t="n">
        <v>46180</v>
      </c>
      <c r="D1232" t="inlineStr">
        <is>
          <t>GÄVLEBORGS LÄN</t>
        </is>
      </c>
      <c r="E1232" t="inlineStr">
        <is>
          <t>BOLLNÄS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9308-2026</t>
        </is>
      </c>
      <c r="B1233" s="1" t="n">
        <v>46070.60763888889</v>
      </c>
      <c r="C1233" s="1" t="n">
        <v>46180</v>
      </c>
      <c r="D1233" t="inlineStr">
        <is>
          <t>GÄVLEBORGS LÄN</t>
        </is>
      </c>
      <c r="E1233" t="inlineStr">
        <is>
          <t>BOLLNÄS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9363-2026</t>
        </is>
      </c>
      <c r="B1234" s="1" t="n">
        <v>46070</v>
      </c>
      <c r="C1234" s="1" t="n">
        <v>46180</v>
      </c>
      <c r="D1234" t="inlineStr">
        <is>
          <t>GÄVLEBORGS LÄN</t>
        </is>
      </c>
      <c r="E1234" t="inlineStr">
        <is>
          <t>BOLLNÄS</t>
        </is>
      </c>
      <c r="F1234" t="inlineStr">
        <is>
          <t>Kyrkan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558-2026</t>
        </is>
      </c>
      <c r="B1235" s="1" t="n">
        <v>46029</v>
      </c>
      <c r="C1235" s="1" t="n">
        <v>46180</v>
      </c>
      <c r="D1235" t="inlineStr">
        <is>
          <t>GÄVLEBORGS LÄN</t>
        </is>
      </c>
      <c r="E1235" t="inlineStr">
        <is>
          <t>BOLLNÄS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8885-2026</t>
        </is>
      </c>
      <c r="B1236" s="1" t="n">
        <v>46068</v>
      </c>
      <c r="C1236" s="1" t="n">
        <v>46180</v>
      </c>
      <c r="D1236" t="inlineStr">
        <is>
          <t>GÄVLEBORGS LÄN</t>
        </is>
      </c>
      <c r="E1236" t="inlineStr">
        <is>
          <t>BOLLNÄS</t>
        </is>
      </c>
      <c r="F1236" t="inlineStr">
        <is>
          <t>Bergvik skog väst AB</t>
        </is>
      </c>
      <c r="G1236" t="n">
        <v>5.1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8902-2026</t>
        </is>
      </c>
      <c r="B1237" s="1" t="n">
        <v>46068.77114583334</v>
      </c>
      <c r="C1237" s="1" t="n">
        <v>46180</v>
      </c>
      <c r="D1237" t="inlineStr">
        <is>
          <t>GÄVLEBORGS LÄN</t>
        </is>
      </c>
      <c r="E1237" t="inlineStr">
        <is>
          <t>BOLLNÄS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9004-2026</t>
        </is>
      </c>
      <c r="B1238" s="1" t="n">
        <v>46069</v>
      </c>
      <c r="C1238" s="1" t="n">
        <v>46180</v>
      </c>
      <c r="D1238" t="inlineStr">
        <is>
          <t>GÄVLEBORGS LÄN</t>
        </is>
      </c>
      <c r="E1238" t="inlineStr">
        <is>
          <t>BOLLNÄS</t>
        </is>
      </c>
      <c r="F1238" t="inlineStr">
        <is>
          <t>Bergvik skog väst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9043-2026</t>
        </is>
      </c>
      <c r="B1239" s="1" t="n">
        <v>46069</v>
      </c>
      <c r="C1239" s="1" t="n">
        <v>46180</v>
      </c>
      <c r="D1239" t="inlineStr">
        <is>
          <t>GÄVLEBORGS LÄN</t>
        </is>
      </c>
      <c r="E1239" t="inlineStr">
        <is>
          <t>BOLLNÄS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9266-2026</t>
        </is>
      </c>
      <c r="B1240" s="1" t="n">
        <v>46070.53936342592</v>
      </c>
      <c r="C1240" s="1" t="n">
        <v>46180</v>
      </c>
      <c r="D1240" t="inlineStr">
        <is>
          <t>GÄVLEBORGS LÄN</t>
        </is>
      </c>
      <c r="E1240" t="inlineStr">
        <is>
          <t>BOLLNÄS</t>
        </is>
      </c>
      <c r="G1240" t="n">
        <v>7.9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28162-2021</t>
        </is>
      </c>
      <c r="B1241" s="1" t="n">
        <v>44355.59233796296</v>
      </c>
      <c r="C1241" s="1" t="n">
        <v>46180</v>
      </c>
      <c r="D1241" t="inlineStr">
        <is>
          <t>GÄVLEBORGS LÄN</t>
        </is>
      </c>
      <c r="E1241" t="inlineStr">
        <is>
          <t>BOLLNÄS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37631-2025</t>
        </is>
      </c>
      <c r="B1242" s="1" t="n">
        <v>45880.46456018519</v>
      </c>
      <c r="C1242" s="1" t="n">
        <v>46180</v>
      </c>
      <c r="D1242" t="inlineStr">
        <is>
          <t>GÄVLEBORGS LÄN</t>
        </is>
      </c>
      <c r="E1242" t="inlineStr">
        <is>
          <t>BOLLNÄS</t>
        </is>
      </c>
      <c r="G1242" t="n">
        <v>8.699999999999999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51137-2025</t>
        </is>
      </c>
      <c r="B1243" s="1" t="n">
        <v>45947</v>
      </c>
      <c r="C1243" s="1" t="n">
        <v>46180</v>
      </c>
      <c r="D1243" t="inlineStr">
        <is>
          <t>GÄVLEBORGS LÄN</t>
        </is>
      </c>
      <c r="E1243" t="inlineStr">
        <is>
          <t>BOLLNÄS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9208-2026</t>
        </is>
      </c>
      <c r="B1244" s="1" t="n">
        <v>46070.42679398148</v>
      </c>
      <c r="C1244" s="1" t="n">
        <v>46180</v>
      </c>
      <c r="D1244" t="inlineStr">
        <is>
          <t>GÄVLEBORGS LÄN</t>
        </is>
      </c>
      <c r="E1244" t="inlineStr">
        <is>
          <t>BOLLNÄS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8875-2026</t>
        </is>
      </c>
      <c r="B1245" s="1" t="n">
        <v>46067</v>
      </c>
      <c r="C1245" s="1" t="n">
        <v>46180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Bergvik skog väst AB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1175-2026</t>
        </is>
      </c>
      <c r="B1246" s="1" t="n">
        <v>46031</v>
      </c>
      <c r="C1246" s="1" t="n">
        <v>46180</v>
      </c>
      <c r="D1246" t="inlineStr">
        <is>
          <t>GÄVLEBORGS LÄN</t>
        </is>
      </c>
      <c r="E1246" t="inlineStr">
        <is>
          <t>BOLLNÄS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8918-2026</t>
        </is>
      </c>
      <c r="B1247" s="1" t="n">
        <v>46069.32892361111</v>
      </c>
      <c r="C1247" s="1" t="n">
        <v>46180</v>
      </c>
      <c r="D1247" t="inlineStr">
        <is>
          <t>GÄVLEBORGS LÄN</t>
        </is>
      </c>
      <c r="E1247" t="inlineStr">
        <is>
          <t>BOLLNÄS</t>
        </is>
      </c>
      <c r="G1247" t="n">
        <v>12.1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8938-2026</t>
        </is>
      </c>
      <c r="B1248" s="1" t="n">
        <v>46069</v>
      </c>
      <c r="C1248" s="1" t="n">
        <v>46180</v>
      </c>
      <c r="D1248" t="inlineStr">
        <is>
          <t>GÄVLEBORGS LÄN</t>
        </is>
      </c>
      <c r="E1248" t="inlineStr">
        <is>
          <t>BOLLNÄS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9351-2026</t>
        </is>
      </c>
      <c r="B1249" s="1" t="n">
        <v>46070.69398148148</v>
      </c>
      <c r="C1249" s="1" t="n">
        <v>46180</v>
      </c>
      <c r="D1249" t="inlineStr">
        <is>
          <t>GÄVLEBORGS LÄN</t>
        </is>
      </c>
      <c r="E1249" t="inlineStr">
        <is>
          <t>BOLLNÄS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9355-2026</t>
        </is>
      </c>
      <c r="B1250" s="1" t="n">
        <v>46070.70881944444</v>
      </c>
      <c r="C1250" s="1" t="n">
        <v>46180</v>
      </c>
      <c r="D1250" t="inlineStr">
        <is>
          <t>GÄVLEBORGS LÄN</t>
        </is>
      </c>
      <c r="E1250" t="inlineStr">
        <is>
          <t>BOLLNÄS</t>
        </is>
      </c>
      <c r="G1250" t="n">
        <v>7.7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9258-2026</t>
        </is>
      </c>
      <c r="B1251" s="1" t="n">
        <v>46070</v>
      </c>
      <c r="C1251" s="1" t="n">
        <v>46180</v>
      </c>
      <c r="D1251" t="inlineStr">
        <is>
          <t>GÄVLEBORGS LÄN</t>
        </is>
      </c>
      <c r="E1251" t="inlineStr">
        <is>
          <t>BOLLNÄS</t>
        </is>
      </c>
      <c r="G1251" t="n">
        <v>36.3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8914-2026</t>
        </is>
      </c>
      <c r="B1252" s="1" t="n">
        <v>46069</v>
      </c>
      <c r="C1252" s="1" t="n">
        <v>46180</v>
      </c>
      <c r="D1252" t="inlineStr">
        <is>
          <t>GÄVLEBORGS LÄN</t>
        </is>
      </c>
      <c r="E1252" t="inlineStr">
        <is>
          <t>BOLLNÄS</t>
        </is>
      </c>
      <c r="G1252" t="n">
        <v>37.3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8916-2026</t>
        </is>
      </c>
      <c r="B1253" s="1" t="n">
        <v>46069.31414351852</v>
      </c>
      <c r="C1253" s="1" t="n">
        <v>46180</v>
      </c>
      <c r="D1253" t="inlineStr">
        <is>
          <t>GÄVLEBORGS LÄN</t>
        </is>
      </c>
      <c r="E1253" t="inlineStr">
        <is>
          <t>BOLLNÄS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9341-2026</t>
        </is>
      </c>
      <c r="B1254" s="1" t="n">
        <v>46070.67636574074</v>
      </c>
      <c r="C1254" s="1" t="n">
        <v>46180</v>
      </c>
      <c r="D1254" t="inlineStr">
        <is>
          <t>GÄVLEBORGS LÄN</t>
        </is>
      </c>
      <c r="E1254" t="inlineStr">
        <is>
          <t>BOLLNÄS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9298-2026</t>
        </is>
      </c>
      <c r="B1255" s="1" t="n">
        <v>46070</v>
      </c>
      <c r="C1255" s="1" t="n">
        <v>46180</v>
      </c>
      <c r="D1255" t="inlineStr">
        <is>
          <t>GÄVLEBORGS LÄN</t>
        </is>
      </c>
      <c r="E1255" t="inlineStr">
        <is>
          <t>BOLLNÄS</t>
        </is>
      </c>
      <c r="F1255" t="inlineStr">
        <is>
          <t>Bergvik skog väst AB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9058-2026</t>
        </is>
      </c>
      <c r="B1256" s="1" t="n">
        <v>46069.56327546296</v>
      </c>
      <c r="C1256" s="1" t="n">
        <v>46180</v>
      </c>
      <c r="D1256" t="inlineStr">
        <is>
          <t>GÄVLEBORGS LÄN</t>
        </is>
      </c>
      <c r="E1256" t="inlineStr">
        <is>
          <t>BOLLNÄS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38074-2025</t>
        </is>
      </c>
      <c r="B1257" s="1" t="n">
        <v>45882</v>
      </c>
      <c r="C1257" s="1" t="n">
        <v>46180</v>
      </c>
      <c r="D1257" t="inlineStr">
        <is>
          <t>GÄVLEBORGS LÄN</t>
        </is>
      </c>
      <c r="E1257" t="inlineStr">
        <is>
          <t>BOLLNÄS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9529-2026</t>
        </is>
      </c>
      <c r="B1258" s="1" t="n">
        <v>46071.60730324074</v>
      </c>
      <c r="C1258" s="1" t="n">
        <v>46180</v>
      </c>
      <c r="D1258" t="inlineStr">
        <is>
          <t>GÄVLEBORGS LÄN</t>
        </is>
      </c>
      <c r="E1258" t="inlineStr">
        <is>
          <t>BOLLNÄS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9533-2026</t>
        </is>
      </c>
      <c r="B1259" s="1" t="n">
        <v>46071.61076388889</v>
      </c>
      <c r="C1259" s="1" t="n">
        <v>46180</v>
      </c>
      <c r="D1259" t="inlineStr">
        <is>
          <t>GÄVLEBORGS LÄN</t>
        </is>
      </c>
      <c r="E1259" t="inlineStr">
        <is>
          <t>BOLLNÄS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37987-2025</t>
        </is>
      </c>
      <c r="B1260" s="1" t="n">
        <v>45881.7040162037</v>
      </c>
      <c r="C1260" s="1" t="n">
        <v>46180</v>
      </c>
      <c r="D1260" t="inlineStr">
        <is>
          <t>GÄVLEBORGS LÄN</t>
        </is>
      </c>
      <c r="E1260" t="inlineStr">
        <is>
          <t>BOLLNÄS</t>
        </is>
      </c>
      <c r="G1260" t="n">
        <v>5.6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9608-2026</t>
        </is>
      </c>
      <c r="B1261" s="1" t="n">
        <v>46071</v>
      </c>
      <c r="C1261" s="1" t="n">
        <v>46180</v>
      </c>
      <c r="D1261" t="inlineStr">
        <is>
          <t>GÄVLEBORGS LÄN</t>
        </is>
      </c>
      <c r="E1261" t="inlineStr">
        <is>
          <t>BOLLNÄS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9652-2026</t>
        </is>
      </c>
      <c r="B1262" s="1" t="n">
        <v>46071</v>
      </c>
      <c r="C1262" s="1" t="n">
        <v>46180</v>
      </c>
      <c r="D1262" t="inlineStr">
        <is>
          <t>GÄVLEBORGS LÄN</t>
        </is>
      </c>
      <c r="E1262" t="inlineStr">
        <is>
          <t>BOLLNÄS</t>
        </is>
      </c>
      <c r="F1262" t="inlineStr">
        <is>
          <t>Kommuner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9517-2026</t>
        </is>
      </c>
      <c r="B1263" s="1" t="n">
        <v>46071.59618055556</v>
      </c>
      <c r="C1263" s="1" t="n">
        <v>46180</v>
      </c>
      <c r="D1263" t="inlineStr">
        <is>
          <t>GÄVLEBORGS LÄN</t>
        </is>
      </c>
      <c r="E1263" t="inlineStr">
        <is>
          <t>BOLLNÄS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9520-2026</t>
        </is>
      </c>
      <c r="B1264" s="1" t="n">
        <v>46071.59895833334</v>
      </c>
      <c r="C1264" s="1" t="n">
        <v>46180</v>
      </c>
      <c r="D1264" t="inlineStr">
        <is>
          <t>GÄVLEBORGS LÄN</t>
        </is>
      </c>
      <c r="E1264" t="inlineStr">
        <is>
          <t>BOLLNÄS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37989-2025</t>
        </is>
      </c>
      <c r="B1265" s="1" t="n">
        <v>45881.70878472222</v>
      </c>
      <c r="C1265" s="1" t="n">
        <v>46180</v>
      </c>
      <c r="D1265" t="inlineStr">
        <is>
          <t>GÄVLEBORGS LÄN</t>
        </is>
      </c>
      <c r="E1265" t="inlineStr">
        <is>
          <t>BOLLNÄS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9385-2026</t>
        </is>
      </c>
      <c r="B1266" s="1" t="n">
        <v>46071.33189814815</v>
      </c>
      <c r="C1266" s="1" t="n">
        <v>46180</v>
      </c>
      <c r="D1266" t="inlineStr">
        <is>
          <t>GÄVLEBORGS LÄN</t>
        </is>
      </c>
      <c r="E1266" t="inlineStr">
        <is>
          <t>BOLLNÄS</t>
        </is>
      </c>
      <c r="F1266" t="inlineStr">
        <is>
          <t>Kyrkan</t>
        </is>
      </c>
      <c r="G1266" t="n">
        <v>4.5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9386-2026</t>
        </is>
      </c>
      <c r="B1267" s="1" t="n">
        <v>46071.34921296296</v>
      </c>
      <c r="C1267" s="1" t="n">
        <v>46180</v>
      </c>
      <c r="D1267" t="inlineStr">
        <is>
          <t>GÄVLEBORGS LÄN</t>
        </is>
      </c>
      <c r="E1267" t="inlineStr">
        <is>
          <t>BOLLNÄS</t>
        </is>
      </c>
      <c r="F1267" t="inlineStr">
        <is>
          <t>Kyrkan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9526-2026</t>
        </is>
      </c>
      <c r="B1268" s="1" t="n">
        <v>46071.60168981482</v>
      </c>
      <c r="C1268" s="1" t="n">
        <v>46180</v>
      </c>
      <c r="D1268" t="inlineStr">
        <is>
          <t>GÄVLEBORGS LÄN</t>
        </is>
      </c>
      <c r="E1268" t="inlineStr">
        <is>
          <t>BOLLNÄS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9495-2026</t>
        </is>
      </c>
      <c r="B1269" s="1" t="n">
        <v>46071</v>
      </c>
      <c r="C1269" s="1" t="n">
        <v>46180</v>
      </c>
      <c r="D1269" t="inlineStr">
        <is>
          <t>GÄVLEBORGS LÄN</t>
        </is>
      </c>
      <c r="E1269" t="inlineStr">
        <is>
          <t>BOLLNÄS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37984-2025</t>
        </is>
      </c>
      <c r="B1270" s="1" t="n">
        <v>45881.6999074074</v>
      </c>
      <c r="C1270" s="1" t="n">
        <v>46180</v>
      </c>
      <c r="D1270" t="inlineStr">
        <is>
          <t>GÄVLEBORGS LÄN</t>
        </is>
      </c>
      <c r="E1270" t="inlineStr">
        <is>
          <t>BOLLNÄS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10519-2025</t>
        </is>
      </c>
      <c r="B1271" s="1" t="n">
        <v>45721.42768518518</v>
      </c>
      <c r="C1271" s="1" t="n">
        <v>46180</v>
      </c>
      <c r="D1271" t="inlineStr">
        <is>
          <t>GÄVLEBORGS LÄN</t>
        </is>
      </c>
      <c r="E1271" t="inlineStr">
        <is>
          <t>BOLLNÄS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9487-2026</t>
        </is>
      </c>
      <c r="B1272" s="1" t="n">
        <v>46071</v>
      </c>
      <c r="C1272" s="1" t="n">
        <v>46180</v>
      </c>
      <c r="D1272" t="inlineStr">
        <is>
          <t>GÄVLEBORGS LÄN</t>
        </is>
      </c>
      <c r="E1272" t="inlineStr">
        <is>
          <t>BOLLNÄS</t>
        </is>
      </c>
      <c r="F1272" t="inlineStr">
        <is>
          <t>Sveaskog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9612-2026</t>
        </is>
      </c>
      <c r="B1273" s="1" t="n">
        <v>46072.29733796296</v>
      </c>
      <c r="C1273" s="1" t="n">
        <v>46180</v>
      </c>
      <c r="D1273" t="inlineStr">
        <is>
          <t>GÄVLEBORGS LÄN</t>
        </is>
      </c>
      <c r="E1273" t="inlineStr">
        <is>
          <t>BOLLNÄS</t>
        </is>
      </c>
      <c r="G1273" t="n">
        <v>7.9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9751-2026</t>
        </is>
      </c>
      <c r="B1274" s="1" t="n">
        <v>46072</v>
      </c>
      <c r="C1274" s="1" t="n">
        <v>46180</v>
      </c>
      <c r="D1274" t="inlineStr">
        <is>
          <t>GÄVLEBORGS LÄN</t>
        </is>
      </c>
      <c r="E1274" t="inlineStr">
        <is>
          <t>BOLLNÄS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9812-2026</t>
        </is>
      </c>
      <c r="B1275" s="1" t="n">
        <v>46072.63226851852</v>
      </c>
      <c r="C1275" s="1" t="n">
        <v>46180</v>
      </c>
      <c r="D1275" t="inlineStr">
        <is>
          <t>GÄVLEBORGS LÄN</t>
        </is>
      </c>
      <c r="E1275" t="inlineStr">
        <is>
          <t>BOLLNÄS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9825-2026</t>
        </is>
      </c>
      <c r="B1276" s="1" t="n">
        <v>46072</v>
      </c>
      <c r="C1276" s="1" t="n">
        <v>46180</v>
      </c>
      <c r="D1276" t="inlineStr">
        <is>
          <t>GÄVLEBORGS LÄN</t>
        </is>
      </c>
      <c r="E1276" t="inlineStr">
        <is>
          <t>BOLLNÄS</t>
        </is>
      </c>
      <c r="G1276" t="n">
        <v>27.3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9501-2026</t>
        </is>
      </c>
      <c r="B1277" s="1" t="n">
        <v>46071</v>
      </c>
      <c r="C1277" s="1" t="n">
        <v>46180</v>
      </c>
      <c r="D1277" t="inlineStr">
        <is>
          <t>GÄVLEBORGS LÄN</t>
        </is>
      </c>
      <c r="E1277" t="inlineStr">
        <is>
          <t>BOLLNÄS</t>
        </is>
      </c>
      <c r="G1277" t="n">
        <v>7.2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1047-2026</t>
        </is>
      </c>
      <c r="B1278" s="1" t="n">
        <v>46030</v>
      </c>
      <c r="C1278" s="1" t="n">
        <v>46180</v>
      </c>
      <c r="D1278" t="inlineStr">
        <is>
          <t>GÄVLEBORGS LÄN</t>
        </is>
      </c>
      <c r="E1278" t="inlineStr">
        <is>
          <t>BOLLNÄS</t>
        </is>
      </c>
      <c r="G1278" t="n">
        <v>32.1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9545-2026</t>
        </is>
      </c>
      <c r="B1279" s="1" t="n">
        <v>46071.62637731482</v>
      </c>
      <c r="C1279" s="1" t="n">
        <v>46180</v>
      </c>
      <c r="D1279" t="inlineStr">
        <is>
          <t>GÄVLEBORGS LÄN</t>
        </is>
      </c>
      <c r="E1279" t="inlineStr">
        <is>
          <t>BOLLNÄS</t>
        </is>
      </c>
      <c r="F1279" t="inlineStr">
        <is>
          <t>Sveaskog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6169-2026</t>
        </is>
      </c>
      <c r="B1280" s="1" t="n">
        <v>46055.33828703704</v>
      </c>
      <c r="C1280" s="1" t="n">
        <v>46180</v>
      </c>
      <c r="D1280" t="inlineStr">
        <is>
          <t>GÄVLEBORGS LÄN</t>
        </is>
      </c>
      <c r="E1280" t="inlineStr">
        <is>
          <t>BOLLNÄS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9588-2026</t>
        </is>
      </c>
      <c r="B1281" s="1" t="n">
        <v>46071</v>
      </c>
      <c r="C1281" s="1" t="n">
        <v>46180</v>
      </c>
      <c r="D1281" t="inlineStr">
        <is>
          <t>GÄVLEBORGS LÄN</t>
        </is>
      </c>
      <c r="E1281" t="inlineStr">
        <is>
          <t>BOLLNÄS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9827-2026</t>
        </is>
      </c>
      <c r="B1282" s="1" t="n">
        <v>46072</v>
      </c>
      <c r="C1282" s="1" t="n">
        <v>46180</v>
      </c>
      <c r="D1282" t="inlineStr">
        <is>
          <t>GÄVLEBORGS LÄN</t>
        </is>
      </c>
      <c r="E1282" t="inlineStr">
        <is>
          <t>BOLLNÄS</t>
        </is>
      </c>
      <c r="F1282" t="inlineStr">
        <is>
          <t>Sveaskog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1172-2026</t>
        </is>
      </c>
      <c r="B1283" s="1" t="n">
        <v>46031</v>
      </c>
      <c r="C1283" s="1" t="n">
        <v>46180</v>
      </c>
      <c r="D1283" t="inlineStr">
        <is>
          <t>GÄVLEBORGS LÄN</t>
        </is>
      </c>
      <c r="E1283" t="inlineStr">
        <is>
          <t>BOLLNÄS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9816-2026</t>
        </is>
      </c>
      <c r="B1284" s="1" t="n">
        <v>46072</v>
      </c>
      <c r="C1284" s="1" t="n">
        <v>46180</v>
      </c>
      <c r="D1284" t="inlineStr">
        <is>
          <t>GÄVLEBORGS LÄN</t>
        </is>
      </c>
      <c r="E1284" t="inlineStr">
        <is>
          <t>BOLLNÄS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9820-2026</t>
        </is>
      </c>
      <c r="B1285" s="1" t="n">
        <v>46072.63945601852</v>
      </c>
      <c r="C1285" s="1" t="n">
        <v>46180</v>
      </c>
      <c r="D1285" t="inlineStr">
        <is>
          <t>GÄVLEBORGS LÄN</t>
        </is>
      </c>
      <c r="E1285" t="inlineStr">
        <is>
          <t>BOLLNÄS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43734-2023</t>
        </is>
      </c>
      <c r="B1286" s="1" t="n">
        <v>45187.45697916667</v>
      </c>
      <c r="C1286" s="1" t="n">
        <v>46180</v>
      </c>
      <c r="D1286" t="inlineStr">
        <is>
          <t>GÄVLEBORGS LÄN</t>
        </is>
      </c>
      <c r="E1286" t="inlineStr">
        <is>
          <t>BOLLNÄS</t>
        </is>
      </c>
      <c r="F1286" t="inlineStr">
        <is>
          <t>Kyrkan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51867-2025</t>
        </is>
      </c>
      <c r="B1287" s="1" t="n">
        <v>45952.37996527777</v>
      </c>
      <c r="C1287" s="1" t="n">
        <v>46180</v>
      </c>
      <c r="D1287" t="inlineStr">
        <is>
          <t>GÄVLEBORGS LÄN</t>
        </is>
      </c>
      <c r="E1287" t="inlineStr">
        <is>
          <t>BOLLNÄS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1151-2026</t>
        </is>
      </c>
      <c r="B1288" s="1" t="n">
        <v>46031</v>
      </c>
      <c r="C1288" s="1" t="n">
        <v>46180</v>
      </c>
      <c r="D1288" t="inlineStr">
        <is>
          <t>GÄVLEBORGS LÄN</t>
        </is>
      </c>
      <c r="E1288" t="inlineStr">
        <is>
          <t>BOLLNÄS</t>
        </is>
      </c>
      <c r="G1288" t="n">
        <v>13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59638-2024</t>
        </is>
      </c>
      <c r="B1289" s="1" t="n">
        <v>45639.28372685185</v>
      </c>
      <c r="C1289" s="1" t="n">
        <v>46180</v>
      </c>
      <c r="D1289" t="inlineStr">
        <is>
          <t>GÄVLEBORGS LÄN</t>
        </is>
      </c>
      <c r="E1289" t="inlineStr">
        <is>
          <t>BOLLNÄS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9506-2026</t>
        </is>
      </c>
      <c r="B1290" s="1" t="n">
        <v>46071</v>
      </c>
      <c r="C1290" s="1" t="n">
        <v>46180</v>
      </c>
      <c r="D1290" t="inlineStr">
        <is>
          <t>GÄVLEBORGS LÄN</t>
        </is>
      </c>
      <c r="E1290" t="inlineStr">
        <is>
          <t>BOLLNÄS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9523-2026</t>
        </is>
      </c>
      <c r="B1291" s="1" t="n">
        <v>46071.60055555555</v>
      </c>
      <c r="C1291" s="1" t="n">
        <v>46180</v>
      </c>
      <c r="D1291" t="inlineStr">
        <is>
          <t>GÄVLEBORGS LÄN</t>
        </is>
      </c>
      <c r="E1291" t="inlineStr">
        <is>
          <t>BOLLNÄS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9676-2026</t>
        </is>
      </c>
      <c r="B1292" s="1" t="n">
        <v>46072.38171296296</v>
      </c>
      <c r="C1292" s="1" t="n">
        <v>46180</v>
      </c>
      <c r="D1292" t="inlineStr">
        <is>
          <t>GÄVLEBORGS LÄN</t>
        </is>
      </c>
      <c r="E1292" t="inlineStr">
        <is>
          <t>BOLLNÄS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9678-2026</t>
        </is>
      </c>
      <c r="B1293" s="1" t="n">
        <v>46072.38375</v>
      </c>
      <c r="C1293" s="1" t="n">
        <v>46180</v>
      </c>
      <c r="D1293" t="inlineStr">
        <is>
          <t>GÄVLEBORGS LÄN</t>
        </is>
      </c>
      <c r="E1293" t="inlineStr">
        <is>
          <t>BOLLNÄS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9731-2026</t>
        </is>
      </c>
      <c r="B1294" s="1" t="n">
        <v>46072</v>
      </c>
      <c r="C1294" s="1" t="n">
        <v>46180</v>
      </c>
      <c r="D1294" t="inlineStr">
        <is>
          <t>GÄVLEBORGS LÄN</t>
        </is>
      </c>
      <c r="E1294" t="inlineStr">
        <is>
          <t>BOLLNÄS</t>
        </is>
      </c>
      <c r="G1294" t="n">
        <v>13.7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9616-2026</t>
        </is>
      </c>
      <c r="B1295" s="1" t="n">
        <v>46072.32277777778</v>
      </c>
      <c r="C1295" s="1" t="n">
        <v>46180</v>
      </c>
      <c r="D1295" t="inlineStr">
        <is>
          <t>GÄVLEBORGS LÄN</t>
        </is>
      </c>
      <c r="E1295" t="inlineStr">
        <is>
          <t>BOLLNÄS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9619-2026</t>
        </is>
      </c>
      <c r="B1296" s="1" t="n">
        <v>46072</v>
      </c>
      <c r="C1296" s="1" t="n">
        <v>46180</v>
      </c>
      <c r="D1296" t="inlineStr">
        <is>
          <t>GÄVLEBORGS LÄN</t>
        </is>
      </c>
      <c r="E1296" t="inlineStr">
        <is>
          <t>BOLLNÄS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9620-2026</t>
        </is>
      </c>
      <c r="B1297" s="1" t="n">
        <v>46072</v>
      </c>
      <c r="C1297" s="1" t="n">
        <v>46180</v>
      </c>
      <c r="D1297" t="inlineStr">
        <is>
          <t>GÄVLEBORGS LÄN</t>
        </is>
      </c>
      <c r="E1297" t="inlineStr">
        <is>
          <t>BOLLNÄS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9667-2026</t>
        </is>
      </c>
      <c r="B1298" s="1" t="n">
        <v>46072.36858796296</v>
      </c>
      <c r="C1298" s="1" t="n">
        <v>46180</v>
      </c>
      <c r="D1298" t="inlineStr">
        <is>
          <t>GÄVLEBORGS LÄN</t>
        </is>
      </c>
      <c r="E1298" t="inlineStr">
        <is>
          <t>BOLLNÄS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51560-2025</t>
        </is>
      </c>
      <c r="B1299" s="1" t="n">
        <v>45951.24081018518</v>
      </c>
      <c r="C1299" s="1" t="n">
        <v>46180</v>
      </c>
      <c r="D1299" t="inlineStr">
        <is>
          <t>GÄVLEBORGS LÄN</t>
        </is>
      </c>
      <c r="E1299" t="inlineStr">
        <is>
          <t>BOLLNÄS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37983-2025</t>
        </is>
      </c>
      <c r="B1300" s="1" t="n">
        <v>45881.69613425926</v>
      </c>
      <c r="C1300" s="1" t="n">
        <v>46180</v>
      </c>
      <c r="D1300" t="inlineStr">
        <is>
          <t>GÄVLEBORGS LÄN</t>
        </is>
      </c>
      <c r="E1300" t="inlineStr">
        <is>
          <t>BOLLNÄS</t>
        </is>
      </c>
      <c r="G1300" t="n">
        <v>7.5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51884-2025</t>
        </is>
      </c>
      <c r="B1301" s="1" t="n">
        <v>45952.40753472222</v>
      </c>
      <c r="C1301" s="1" t="n">
        <v>46180</v>
      </c>
      <c r="D1301" t="inlineStr">
        <is>
          <t>GÄVLEBORGS LÄN</t>
        </is>
      </c>
      <c r="E1301" t="inlineStr">
        <is>
          <t>BOLLNÄS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51878-2025</t>
        </is>
      </c>
      <c r="B1302" s="1" t="n">
        <v>45952.40241898148</v>
      </c>
      <c r="C1302" s="1" t="n">
        <v>46180</v>
      </c>
      <c r="D1302" t="inlineStr">
        <is>
          <t>GÄVLEBORGS LÄN</t>
        </is>
      </c>
      <c r="E1302" t="inlineStr">
        <is>
          <t>BOLLNÄS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9814-2026</t>
        </is>
      </c>
      <c r="B1303" s="1" t="n">
        <v>46072.63304398148</v>
      </c>
      <c r="C1303" s="1" t="n">
        <v>46180</v>
      </c>
      <c r="D1303" t="inlineStr">
        <is>
          <t>GÄVLEBORGS LÄN</t>
        </is>
      </c>
      <c r="E1303" t="inlineStr">
        <is>
          <t>BOLLNÄS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15687-2026</t>
        </is>
      </c>
      <c r="B1304" s="1" t="n">
        <v>46107</v>
      </c>
      <c r="C1304" s="1" t="n">
        <v>46180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27.1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51849-2025</t>
        </is>
      </c>
      <c r="B1305" s="1" t="n">
        <v>45952.35207175926</v>
      </c>
      <c r="C1305" s="1" t="n">
        <v>46180</v>
      </c>
      <c r="D1305" t="inlineStr">
        <is>
          <t>GÄVLEBORGS LÄN</t>
        </is>
      </c>
      <c r="E1305" t="inlineStr">
        <is>
          <t>BOLLNÄS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9719-2026</t>
        </is>
      </c>
      <c r="B1306" s="1" t="n">
        <v>46072.44953703704</v>
      </c>
      <c r="C1306" s="1" t="n">
        <v>46180</v>
      </c>
      <c r="D1306" t="inlineStr">
        <is>
          <t>GÄVLEBORGS LÄN</t>
        </is>
      </c>
      <c r="E1306" t="inlineStr">
        <is>
          <t>BOLLNÄS</t>
        </is>
      </c>
      <c r="G1306" t="n">
        <v>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9801-2026</t>
        </is>
      </c>
      <c r="B1307" s="1" t="n">
        <v>46072</v>
      </c>
      <c r="C1307" s="1" t="n">
        <v>46180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Sveaskog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9758-2026</t>
        </is>
      </c>
      <c r="B1308" s="1" t="n">
        <v>46072</v>
      </c>
      <c r="C1308" s="1" t="n">
        <v>46180</v>
      </c>
      <c r="D1308" t="inlineStr">
        <is>
          <t>GÄVLEBORGS LÄN</t>
        </is>
      </c>
      <c r="E1308" t="inlineStr">
        <is>
          <t>BOLLNÄS</t>
        </is>
      </c>
      <c r="F1308" t="inlineStr">
        <is>
          <t>Sveaskog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51853-2025</t>
        </is>
      </c>
      <c r="B1309" s="1" t="n">
        <v>45952.35881944445</v>
      </c>
      <c r="C1309" s="1" t="n">
        <v>46180</v>
      </c>
      <c r="D1309" t="inlineStr">
        <is>
          <t>GÄVLEBORGS LÄN</t>
        </is>
      </c>
      <c r="E1309" t="inlineStr">
        <is>
          <t>BOLLNÄS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9420-2026</t>
        </is>
      </c>
      <c r="B1310" s="1" t="n">
        <v>46071</v>
      </c>
      <c r="C1310" s="1" t="n">
        <v>46180</v>
      </c>
      <c r="D1310" t="inlineStr">
        <is>
          <t>GÄVLEBORGS LÄN</t>
        </is>
      </c>
      <c r="E1310" t="inlineStr">
        <is>
          <t>BOLLNÄS</t>
        </is>
      </c>
      <c r="F1310" t="inlineStr">
        <is>
          <t>Bergvik skog väst AB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9403-2026</t>
        </is>
      </c>
      <c r="B1311" s="1" t="n">
        <v>46071</v>
      </c>
      <c r="C1311" s="1" t="n">
        <v>46180</v>
      </c>
      <c r="D1311" t="inlineStr">
        <is>
          <t>GÄVLEBORGS LÄN</t>
        </is>
      </c>
      <c r="E1311" t="inlineStr">
        <is>
          <t>BOLLNÄS</t>
        </is>
      </c>
      <c r="F1311" t="inlineStr">
        <is>
          <t>Bergvik skog väst AB</t>
        </is>
      </c>
      <c r="G1311" t="n">
        <v>10.6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9767-2026</t>
        </is>
      </c>
      <c r="B1312" s="1" t="n">
        <v>46072.56290509259</v>
      </c>
      <c r="C1312" s="1" t="n">
        <v>46180</v>
      </c>
      <c r="D1312" t="inlineStr">
        <is>
          <t>GÄVLEBORGS LÄN</t>
        </is>
      </c>
      <c r="E1312" t="inlineStr">
        <is>
          <t>BOLLNÄS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9365-2026</t>
        </is>
      </c>
      <c r="B1313" s="1" t="n">
        <v>46070.771875</v>
      </c>
      <c r="C1313" s="1" t="n">
        <v>46180</v>
      </c>
      <c r="D1313" t="inlineStr">
        <is>
          <t>GÄVLEBORGS LÄN</t>
        </is>
      </c>
      <c r="E1313" t="inlineStr">
        <is>
          <t>BOLLNÄS</t>
        </is>
      </c>
      <c r="F1313" t="inlineStr">
        <is>
          <t>Kyrkan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9609-2026</t>
        </is>
      </c>
      <c r="B1314" s="1" t="n">
        <v>46072.280625</v>
      </c>
      <c r="C1314" s="1" t="n">
        <v>46180</v>
      </c>
      <c r="D1314" t="inlineStr">
        <is>
          <t>GÄVLEBORGS LÄN</t>
        </is>
      </c>
      <c r="E1314" t="inlineStr">
        <is>
          <t>BOLLNÄS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51681-2024</t>
        </is>
      </c>
      <c r="B1315" s="1" t="n">
        <v>45607.34104166667</v>
      </c>
      <c r="C1315" s="1" t="n">
        <v>46180</v>
      </c>
      <c r="D1315" t="inlineStr">
        <is>
          <t>GÄVLEBORGS LÄN</t>
        </is>
      </c>
      <c r="E1315" t="inlineStr">
        <is>
          <t>BOLLNÄS</t>
        </is>
      </c>
      <c r="F1315" t="inlineStr">
        <is>
          <t>Bergvik skog väst AB</t>
        </is>
      </c>
      <c r="G1315" t="n">
        <v>0.3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51563-2025</t>
        </is>
      </c>
      <c r="B1316" s="1" t="n">
        <v>45951.29929398148</v>
      </c>
      <c r="C1316" s="1" t="n">
        <v>46180</v>
      </c>
      <c r="D1316" t="inlineStr">
        <is>
          <t>GÄVLEBORGS LÄN</t>
        </is>
      </c>
      <c r="E1316" t="inlineStr">
        <is>
          <t>BOLLNÄS</t>
        </is>
      </c>
      <c r="G1316" t="n">
        <v>3.5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9428-2026</t>
        </is>
      </c>
      <c r="B1317" s="1" t="n">
        <v>46071</v>
      </c>
      <c r="C1317" s="1" t="n">
        <v>46180</v>
      </c>
      <c r="D1317" t="inlineStr">
        <is>
          <t>GÄVLEBORGS LÄN</t>
        </is>
      </c>
      <c r="E1317" t="inlineStr">
        <is>
          <t>BOLLNÄS</t>
        </is>
      </c>
      <c r="F1317" t="inlineStr">
        <is>
          <t>Bergvik skog väst AB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51862-2025</t>
        </is>
      </c>
      <c r="B1318" s="1" t="n">
        <v>45952.3700925926</v>
      </c>
      <c r="C1318" s="1" t="n">
        <v>46180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9755-2026</t>
        </is>
      </c>
      <c r="B1319" s="1" t="n">
        <v>46072.54751157408</v>
      </c>
      <c r="C1319" s="1" t="n">
        <v>46180</v>
      </c>
      <c r="D1319" t="inlineStr">
        <is>
          <t>GÄVLEBORGS LÄN</t>
        </is>
      </c>
      <c r="E1319" t="inlineStr">
        <is>
          <t>BOLLNÄS</t>
        </is>
      </c>
      <c r="F1319" t="inlineStr">
        <is>
          <t>Sveaskog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1167-2026</t>
        </is>
      </c>
      <c r="B1320" s="1" t="n">
        <v>46031</v>
      </c>
      <c r="C1320" s="1" t="n">
        <v>46180</v>
      </c>
      <c r="D1320" t="inlineStr">
        <is>
          <t>GÄVLEBORGS LÄN</t>
        </is>
      </c>
      <c r="E1320" t="inlineStr">
        <is>
          <t>BOLLNÄS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570-2026</t>
        </is>
      </c>
      <c r="B1321" s="1" t="n">
        <v>46029</v>
      </c>
      <c r="C1321" s="1" t="n">
        <v>46180</v>
      </c>
      <c r="D1321" t="inlineStr">
        <is>
          <t>GÄVLEBORGS LÄN</t>
        </is>
      </c>
      <c r="E1321" t="inlineStr">
        <is>
          <t>BOLLNÄS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38563-2025</t>
        </is>
      </c>
      <c r="B1322" s="1" t="n">
        <v>45884.44887731481</v>
      </c>
      <c r="C1322" s="1" t="n">
        <v>46180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Kyrkan</t>
        </is>
      </c>
      <c r="G1322" t="n">
        <v>8.6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10267-2026</t>
        </is>
      </c>
      <c r="B1323" s="1" t="n">
        <v>46076.57696759259</v>
      </c>
      <c r="C1323" s="1" t="n">
        <v>46180</v>
      </c>
      <c r="D1323" t="inlineStr">
        <is>
          <t>GÄVLEBORGS LÄN</t>
        </is>
      </c>
      <c r="E1323" t="inlineStr">
        <is>
          <t>BOLLNÄS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38248-2025</t>
        </is>
      </c>
      <c r="B1324" s="1" t="n">
        <v>45883.36921296296</v>
      </c>
      <c r="C1324" s="1" t="n">
        <v>46180</v>
      </c>
      <c r="D1324" t="inlineStr">
        <is>
          <t>GÄVLEBORGS LÄN</t>
        </is>
      </c>
      <c r="E1324" t="inlineStr">
        <is>
          <t>BOLLNÄS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52583-2025</t>
        </is>
      </c>
      <c r="B1325" s="1" t="n">
        <v>45954.62133101852</v>
      </c>
      <c r="C1325" s="1" t="n">
        <v>46180</v>
      </c>
      <c r="D1325" t="inlineStr">
        <is>
          <t>GÄVLEBORGS LÄN</t>
        </is>
      </c>
      <c r="E1325" t="inlineStr">
        <is>
          <t>BOLLNÄS</t>
        </is>
      </c>
      <c r="G1325" t="n">
        <v>3.4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10039-2026</t>
        </is>
      </c>
      <c r="B1326" s="1" t="n">
        <v>46073.59763888889</v>
      </c>
      <c r="C1326" s="1" t="n">
        <v>46180</v>
      </c>
      <c r="D1326" t="inlineStr">
        <is>
          <t>GÄVLEBORGS LÄN</t>
        </is>
      </c>
      <c r="E1326" t="inlineStr">
        <is>
          <t>BOLLNÄS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10126-2026</t>
        </is>
      </c>
      <c r="B1327" s="1" t="n">
        <v>46075.84290509259</v>
      </c>
      <c r="C1327" s="1" t="n">
        <v>46180</v>
      </c>
      <c r="D1327" t="inlineStr">
        <is>
          <t>GÄVLEBORGS LÄN</t>
        </is>
      </c>
      <c r="E1327" t="inlineStr">
        <is>
          <t>BOLLNÄS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10078-2026</t>
        </is>
      </c>
      <c r="B1328" s="1" t="n">
        <v>46073</v>
      </c>
      <c r="C1328" s="1" t="n">
        <v>46180</v>
      </c>
      <c r="D1328" t="inlineStr">
        <is>
          <t>GÄVLEBORGS LÄN</t>
        </is>
      </c>
      <c r="E1328" t="inlineStr">
        <is>
          <t>BOLLNÄS</t>
        </is>
      </c>
      <c r="G1328" t="n">
        <v>9.1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10092-2026</t>
        </is>
      </c>
      <c r="B1329" s="1" t="n">
        <v>46073.71295138889</v>
      </c>
      <c r="C1329" s="1" t="n">
        <v>46180</v>
      </c>
      <c r="D1329" t="inlineStr">
        <is>
          <t>GÄVLEBORGS LÄN</t>
        </is>
      </c>
      <c r="E1329" t="inlineStr">
        <is>
          <t>BOLLNÄS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10127-2026</t>
        </is>
      </c>
      <c r="B1330" s="1" t="n">
        <v>46075.84412037037</v>
      </c>
      <c r="C1330" s="1" t="n">
        <v>46180</v>
      </c>
      <c r="D1330" t="inlineStr">
        <is>
          <t>GÄVLEBORGS LÄN</t>
        </is>
      </c>
      <c r="E1330" t="inlineStr">
        <is>
          <t>BOLLNÄS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10262-2026</t>
        </is>
      </c>
      <c r="B1331" s="1" t="n">
        <v>46076.57399305556</v>
      </c>
      <c r="C1331" s="1" t="n">
        <v>46180</v>
      </c>
      <c r="D1331" t="inlineStr">
        <is>
          <t>GÄVLEBORGS LÄN</t>
        </is>
      </c>
      <c r="E1331" t="inlineStr">
        <is>
          <t>BOLLNÄS</t>
        </is>
      </c>
      <c r="G1331" t="n">
        <v>6.8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9871-2026</t>
        </is>
      </c>
      <c r="B1332" s="1" t="n">
        <v>46073.29046296296</v>
      </c>
      <c r="C1332" s="1" t="n">
        <v>46180</v>
      </c>
      <c r="D1332" t="inlineStr">
        <is>
          <t>GÄVLEBORGS LÄN</t>
        </is>
      </c>
      <c r="E1332" t="inlineStr">
        <is>
          <t>BOLLNÄS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9873-2026</t>
        </is>
      </c>
      <c r="B1333" s="1" t="n">
        <v>46073.30528935185</v>
      </c>
      <c r="C1333" s="1" t="n">
        <v>46180</v>
      </c>
      <c r="D1333" t="inlineStr">
        <is>
          <t>GÄVLEBORGS LÄN</t>
        </is>
      </c>
      <c r="E1333" t="inlineStr">
        <is>
          <t>BOLLNÄS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10447-2026</t>
        </is>
      </c>
      <c r="B1334" s="1" t="n">
        <v>46077.43527777777</v>
      </c>
      <c r="C1334" s="1" t="n">
        <v>46180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10461-2026</t>
        </is>
      </c>
      <c r="B1335" s="1" t="n">
        <v>46077.4600462963</v>
      </c>
      <c r="C1335" s="1" t="n">
        <v>46180</v>
      </c>
      <c r="D1335" t="inlineStr">
        <is>
          <t>GÄVLEBORGS LÄN</t>
        </is>
      </c>
      <c r="E1335" t="inlineStr">
        <is>
          <t>BOLLNÄS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10077-2026</t>
        </is>
      </c>
      <c r="B1336" s="1" t="n">
        <v>46073</v>
      </c>
      <c r="C1336" s="1" t="n">
        <v>46180</v>
      </c>
      <c r="D1336" t="inlineStr">
        <is>
          <t>GÄVLEBORGS LÄN</t>
        </is>
      </c>
      <c r="E1336" t="inlineStr">
        <is>
          <t>BOLLNÄS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10123-2026</t>
        </is>
      </c>
      <c r="B1337" s="1" t="n">
        <v>46075.82034722222</v>
      </c>
      <c r="C1337" s="1" t="n">
        <v>46180</v>
      </c>
      <c r="D1337" t="inlineStr">
        <is>
          <t>GÄVLEBORGS LÄN</t>
        </is>
      </c>
      <c r="E1337" t="inlineStr">
        <is>
          <t>BOLLNÄS</t>
        </is>
      </c>
      <c r="G1337" t="n">
        <v>9.5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10124-2026</t>
        </is>
      </c>
      <c r="B1338" s="1" t="n">
        <v>46075.82935185185</v>
      </c>
      <c r="C1338" s="1" t="n">
        <v>46180</v>
      </c>
      <c r="D1338" t="inlineStr">
        <is>
          <t>GÄVLEBORGS LÄN</t>
        </is>
      </c>
      <c r="E1338" t="inlineStr">
        <is>
          <t>BOLLNÄS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13465-2025</t>
        </is>
      </c>
      <c r="B1339" s="1" t="n">
        <v>45736.39627314815</v>
      </c>
      <c r="C1339" s="1" t="n">
        <v>46180</v>
      </c>
      <c r="D1339" t="inlineStr">
        <is>
          <t>GÄVLEBORGS LÄN</t>
        </is>
      </c>
      <c r="E1339" t="inlineStr">
        <is>
          <t>BOLLNÄS</t>
        </is>
      </c>
      <c r="G1339" t="n">
        <v>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10003-2026</t>
        </is>
      </c>
      <c r="B1340" s="1" t="n">
        <v>46073.56353009259</v>
      </c>
      <c r="C1340" s="1" t="n">
        <v>46180</v>
      </c>
      <c r="D1340" t="inlineStr">
        <is>
          <t>GÄVLEBORGS LÄN</t>
        </is>
      </c>
      <c r="E1340" t="inlineStr">
        <is>
          <t>BOLLNÄS</t>
        </is>
      </c>
      <c r="G1340" t="n">
        <v>8.5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10028-2026</t>
        </is>
      </c>
      <c r="B1341" s="1" t="n">
        <v>46073</v>
      </c>
      <c r="C1341" s="1" t="n">
        <v>46180</v>
      </c>
      <c r="D1341" t="inlineStr">
        <is>
          <t>GÄVLEBORGS LÄN</t>
        </is>
      </c>
      <c r="E1341" t="inlineStr">
        <is>
          <t>BOLLNÄS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10062-2026</t>
        </is>
      </c>
      <c r="B1342" s="1" t="n">
        <v>46073</v>
      </c>
      <c r="C1342" s="1" t="n">
        <v>46180</v>
      </c>
      <c r="D1342" t="inlineStr">
        <is>
          <t>GÄVLEBORGS LÄN</t>
        </is>
      </c>
      <c r="E1342" t="inlineStr">
        <is>
          <t>BOLLNÄS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10120-2026</t>
        </is>
      </c>
      <c r="B1343" s="1" t="n">
        <v>46075</v>
      </c>
      <c r="C1343" s="1" t="n">
        <v>46180</v>
      </c>
      <c r="D1343" t="inlineStr">
        <is>
          <t>GÄVLEBORGS LÄN</t>
        </is>
      </c>
      <c r="E1343" t="inlineStr">
        <is>
          <t>BOLLNÄS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9936-2026</t>
        </is>
      </c>
      <c r="B1344" s="1" t="n">
        <v>46073</v>
      </c>
      <c r="C1344" s="1" t="n">
        <v>46180</v>
      </c>
      <c r="D1344" t="inlineStr">
        <is>
          <t>GÄVLEBORGS LÄN</t>
        </is>
      </c>
      <c r="E1344" t="inlineStr">
        <is>
          <t>BOLLNÄS</t>
        </is>
      </c>
      <c r="G1344" t="n">
        <v>5.3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52447-2025</t>
        </is>
      </c>
      <c r="B1345" s="1" t="n">
        <v>45954.41811342593</v>
      </c>
      <c r="C1345" s="1" t="n">
        <v>46180</v>
      </c>
      <c r="D1345" t="inlineStr">
        <is>
          <t>GÄVLEBORGS LÄN</t>
        </is>
      </c>
      <c r="E1345" t="inlineStr">
        <is>
          <t>BOLLNÄS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10528-2026</t>
        </is>
      </c>
      <c r="B1346" s="1" t="n">
        <v>46077</v>
      </c>
      <c r="C1346" s="1" t="n">
        <v>46180</v>
      </c>
      <c r="D1346" t="inlineStr">
        <is>
          <t>GÄVLEBORGS LÄN</t>
        </is>
      </c>
      <c r="E1346" t="inlineStr">
        <is>
          <t>BOLLNÄS</t>
        </is>
      </c>
      <c r="F1346" t="inlineStr">
        <is>
          <t>Bergvik skog väst AB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10620-2026</t>
        </is>
      </c>
      <c r="B1347" s="1" t="n">
        <v>46077</v>
      </c>
      <c r="C1347" s="1" t="n">
        <v>46180</v>
      </c>
      <c r="D1347" t="inlineStr">
        <is>
          <t>GÄVLEBORGS LÄN</t>
        </is>
      </c>
      <c r="E1347" t="inlineStr">
        <is>
          <t>BOLLNÄS</t>
        </is>
      </c>
      <c r="G1347" t="n">
        <v>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10389-2026</t>
        </is>
      </c>
      <c r="B1348" s="1" t="n">
        <v>46077.29111111111</v>
      </c>
      <c r="C1348" s="1" t="n">
        <v>46180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10455-2026</t>
        </is>
      </c>
      <c r="B1349" s="1" t="n">
        <v>46077.4502199074</v>
      </c>
      <c r="C1349" s="1" t="n">
        <v>46180</v>
      </c>
      <c r="D1349" t="inlineStr">
        <is>
          <t>GÄVLEBORGS LÄN</t>
        </is>
      </c>
      <c r="E1349" t="inlineStr">
        <is>
          <t>BOLLNÄS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10458-2026</t>
        </is>
      </c>
      <c r="B1350" s="1" t="n">
        <v>46077</v>
      </c>
      <c r="C1350" s="1" t="n">
        <v>46180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Kyrkan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10453-2026</t>
        </is>
      </c>
      <c r="B1351" s="1" t="n">
        <v>46077.44072916666</v>
      </c>
      <c r="C1351" s="1" t="n">
        <v>46180</v>
      </c>
      <c r="D1351" t="inlineStr">
        <is>
          <t>GÄVLEBORGS LÄN</t>
        </is>
      </c>
      <c r="E1351" t="inlineStr">
        <is>
          <t>BOLLNÄS</t>
        </is>
      </c>
      <c r="G1351" t="n">
        <v>5.8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1165-2026</t>
        </is>
      </c>
      <c r="B1352" s="1" t="n">
        <v>46031</v>
      </c>
      <c r="C1352" s="1" t="n">
        <v>46180</v>
      </c>
      <c r="D1352" t="inlineStr">
        <is>
          <t>GÄVLEBORGS LÄN</t>
        </is>
      </c>
      <c r="E1352" t="inlineStr">
        <is>
          <t>BOLLNÄS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10516-2026</t>
        </is>
      </c>
      <c r="B1353" s="1" t="n">
        <v>46077</v>
      </c>
      <c r="C1353" s="1" t="n">
        <v>46180</v>
      </c>
      <c r="D1353" t="inlineStr">
        <is>
          <t>GÄVLEBORGS LÄN</t>
        </is>
      </c>
      <c r="E1353" t="inlineStr">
        <is>
          <t>BOLLNÄS</t>
        </is>
      </c>
      <c r="G1353" t="n">
        <v>4.1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52303-2025</t>
        </is>
      </c>
      <c r="B1354" s="1" t="n">
        <v>45953.62354166667</v>
      </c>
      <c r="C1354" s="1" t="n">
        <v>46180</v>
      </c>
      <c r="D1354" t="inlineStr">
        <is>
          <t>GÄVLEBORGS LÄN</t>
        </is>
      </c>
      <c r="E1354" t="inlineStr">
        <is>
          <t>BOLLNÄS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52387-2025</t>
        </is>
      </c>
      <c r="B1355" s="1" t="n">
        <v>45954.30978009259</v>
      </c>
      <c r="C1355" s="1" t="n">
        <v>46180</v>
      </c>
      <c r="D1355" t="inlineStr">
        <is>
          <t>GÄVLEBORGS LÄN</t>
        </is>
      </c>
      <c r="E1355" t="inlineStr">
        <is>
          <t>BOLLNÄS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10464-2026</t>
        </is>
      </c>
      <c r="B1356" s="1" t="n">
        <v>46077.46685185185</v>
      </c>
      <c r="C1356" s="1" t="n">
        <v>46180</v>
      </c>
      <c r="D1356" t="inlineStr">
        <is>
          <t>GÄVLEBORGS LÄN</t>
        </is>
      </c>
      <c r="E1356" t="inlineStr">
        <is>
          <t>BOLLNÄS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10470-2026</t>
        </is>
      </c>
      <c r="B1357" s="1" t="n">
        <v>46077.47222222222</v>
      </c>
      <c r="C1357" s="1" t="n">
        <v>46180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Kyrkan</t>
        </is>
      </c>
      <c r="G1357" t="n">
        <v>10.3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10472-2026</t>
        </is>
      </c>
      <c r="B1358" s="1" t="n">
        <v>46077</v>
      </c>
      <c r="C1358" s="1" t="n">
        <v>46180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9955-2026</t>
        </is>
      </c>
      <c r="B1359" s="1" t="n">
        <v>46073</v>
      </c>
      <c r="C1359" s="1" t="n">
        <v>46180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10259-2026</t>
        </is>
      </c>
      <c r="B1360" s="1" t="n">
        <v>46076.56886574074</v>
      </c>
      <c r="C1360" s="1" t="n">
        <v>46180</v>
      </c>
      <c r="D1360" t="inlineStr">
        <is>
          <t>GÄVLEBORGS LÄN</t>
        </is>
      </c>
      <c r="E1360" t="inlineStr">
        <is>
          <t>BOLLNÄS</t>
        </is>
      </c>
      <c r="G1360" t="n">
        <v>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10365-2026</t>
        </is>
      </c>
      <c r="B1361" s="1" t="n">
        <v>46076.75701388889</v>
      </c>
      <c r="C1361" s="1" t="n">
        <v>46180</v>
      </c>
      <c r="D1361" t="inlineStr">
        <is>
          <t>GÄVLEBORGS LÄN</t>
        </is>
      </c>
      <c r="E1361" t="inlineStr">
        <is>
          <t>BOLLNÄS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10367-2026</t>
        </is>
      </c>
      <c r="B1362" s="1" t="n">
        <v>46076.76572916667</v>
      </c>
      <c r="C1362" s="1" t="n">
        <v>46180</v>
      </c>
      <c r="D1362" t="inlineStr">
        <is>
          <t>GÄVLEBORGS LÄN</t>
        </is>
      </c>
      <c r="E1362" t="inlineStr">
        <is>
          <t>BOLLNÄS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9991-2026</t>
        </is>
      </c>
      <c r="B1363" s="1" t="n">
        <v>46073.54581018518</v>
      </c>
      <c r="C1363" s="1" t="n">
        <v>46180</v>
      </c>
      <c r="D1363" t="inlineStr">
        <is>
          <t>GÄVLEBORGS LÄN</t>
        </is>
      </c>
      <c r="E1363" t="inlineStr">
        <is>
          <t>BOLLNÄS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10198-2026</t>
        </is>
      </c>
      <c r="B1364" s="1" t="n">
        <v>46076</v>
      </c>
      <c r="C1364" s="1" t="n">
        <v>46180</v>
      </c>
      <c r="D1364" t="inlineStr">
        <is>
          <t>GÄVLEBORGS LÄN</t>
        </is>
      </c>
      <c r="E1364" t="inlineStr">
        <is>
          <t>BOLLNÄS</t>
        </is>
      </c>
      <c r="G1364" t="n">
        <v>15.9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9900-2026</t>
        </is>
      </c>
      <c r="B1365" s="1" t="n">
        <v>46073.40261574074</v>
      </c>
      <c r="C1365" s="1" t="n">
        <v>46180</v>
      </c>
      <c r="D1365" t="inlineStr">
        <is>
          <t>GÄVLEBORGS LÄN</t>
        </is>
      </c>
      <c r="E1365" t="inlineStr">
        <is>
          <t>BOLLNÄS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9909-2026</t>
        </is>
      </c>
      <c r="B1366" s="1" t="n">
        <v>46073.41905092593</v>
      </c>
      <c r="C1366" s="1" t="n">
        <v>46180</v>
      </c>
      <c r="D1366" t="inlineStr">
        <is>
          <t>GÄVLEBORGS LÄN</t>
        </is>
      </c>
      <c r="E1366" t="inlineStr">
        <is>
          <t>BOLLNÄS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9965-2026</t>
        </is>
      </c>
      <c r="B1367" s="1" t="n">
        <v>46073</v>
      </c>
      <c r="C1367" s="1" t="n">
        <v>46180</v>
      </c>
      <c r="D1367" t="inlineStr">
        <is>
          <t>GÄVLEBORGS LÄN</t>
        </is>
      </c>
      <c r="E1367" t="inlineStr">
        <is>
          <t>BOLLNÄS</t>
        </is>
      </c>
      <c r="G1367" t="n">
        <v>17.2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9865-2026</t>
        </is>
      </c>
      <c r="B1368" s="1" t="n">
        <v>46073</v>
      </c>
      <c r="C1368" s="1" t="n">
        <v>46180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Bergvik skog väst AB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10009-2026</t>
        </is>
      </c>
      <c r="B1369" s="1" t="n">
        <v>46073.56841435185</v>
      </c>
      <c r="C1369" s="1" t="n">
        <v>46180</v>
      </c>
      <c r="D1369" t="inlineStr">
        <is>
          <t>GÄVLEBORGS LÄN</t>
        </is>
      </c>
      <c r="E1369" t="inlineStr">
        <is>
          <t>BOLLNÄS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10125-2026</t>
        </is>
      </c>
      <c r="B1370" s="1" t="n">
        <v>46075.83510416667</v>
      </c>
      <c r="C1370" s="1" t="n">
        <v>46180</v>
      </c>
      <c r="D1370" t="inlineStr">
        <is>
          <t>GÄVLEBORGS LÄN</t>
        </is>
      </c>
      <c r="E1370" t="inlineStr">
        <is>
          <t>BOLLNÄS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10016-2026</t>
        </is>
      </c>
      <c r="B1371" s="1" t="n">
        <v>46073.5753587963</v>
      </c>
      <c r="C1371" s="1" t="n">
        <v>46180</v>
      </c>
      <c r="D1371" t="inlineStr">
        <is>
          <t>GÄVLEBORGS LÄN</t>
        </is>
      </c>
      <c r="E1371" t="inlineStr">
        <is>
          <t>BOLLNÄS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54961-2025</t>
        </is>
      </c>
      <c r="B1372" s="1" t="n">
        <v>45967</v>
      </c>
      <c r="C1372" s="1" t="n">
        <v>46180</v>
      </c>
      <c r="D1372" t="inlineStr">
        <is>
          <t>GÄVLEBORGS LÄN</t>
        </is>
      </c>
      <c r="E1372" t="inlineStr">
        <is>
          <t>BOLLNÄS</t>
        </is>
      </c>
      <c r="G1372" t="n">
        <v>9.1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9890-2026</t>
        </is>
      </c>
      <c r="B1373" s="1" t="n">
        <v>46073.37230324074</v>
      </c>
      <c r="C1373" s="1" t="n">
        <v>46180</v>
      </c>
      <c r="D1373" t="inlineStr">
        <is>
          <t>GÄVLEBORGS LÄN</t>
        </is>
      </c>
      <c r="E1373" t="inlineStr">
        <is>
          <t>BOLLNÄS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10154-2026</t>
        </is>
      </c>
      <c r="B1374" s="1" t="n">
        <v>46076.37024305556</v>
      </c>
      <c r="C1374" s="1" t="n">
        <v>46180</v>
      </c>
      <c r="D1374" t="inlineStr">
        <is>
          <t>GÄVLEBORGS LÄN</t>
        </is>
      </c>
      <c r="E1374" t="inlineStr">
        <is>
          <t>BOLLNÄS</t>
        </is>
      </c>
      <c r="F1374" t="inlineStr">
        <is>
          <t>Bergvik skog väst AB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10026-2026</t>
        </is>
      </c>
      <c r="B1375" s="1" t="n">
        <v>46073</v>
      </c>
      <c r="C1375" s="1" t="n">
        <v>46180</v>
      </c>
      <c r="D1375" t="inlineStr">
        <is>
          <t>GÄVLEBORGS LÄN</t>
        </is>
      </c>
      <c r="E1375" t="inlineStr">
        <is>
          <t>BOLLNÄS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53067-2025</t>
        </is>
      </c>
      <c r="B1376" s="1" t="n">
        <v>45958.37748842593</v>
      </c>
      <c r="C1376" s="1" t="n">
        <v>46180</v>
      </c>
      <c r="D1376" t="inlineStr">
        <is>
          <t>GÄVLEBORGS LÄN</t>
        </is>
      </c>
      <c r="E1376" t="inlineStr">
        <is>
          <t>BOLLNÄS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10055-2026</t>
        </is>
      </c>
      <c r="B1377" s="1" t="n">
        <v>46073.61792824074</v>
      </c>
      <c r="C1377" s="1" t="n">
        <v>46180</v>
      </c>
      <c r="D1377" t="inlineStr">
        <is>
          <t>GÄVLEBORGS LÄN</t>
        </is>
      </c>
      <c r="E1377" t="inlineStr">
        <is>
          <t>BOLLNÄS</t>
        </is>
      </c>
      <c r="G1377" t="n">
        <v>8.699999999999999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10225-2026</t>
        </is>
      </c>
      <c r="B1378" s="1" t="n">
        <v>46076.5090162037</v>
      </c>
      <c r="C1378" s="1" t="n">
        <v>46180</v>
      </c>
      <c r="D1378" t="inlineStr">
        <is>
          <t>GÄVLEBORGS LÄN</t>
        </is>
      </c>
      <c r="E1378" t="inlineStr">
        <is>
          <t>BOLLNÄS</t>
        </is>
      </c>
      <c r="F1378" t="inlineStr">
        <is>
          <t>Bergvik skog väst AB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10265-2026</t>
        </is>
      </c>
      <c r="B1379" s="1" t="n">
        <v>46076.57482638889</v>
      </c>
      <c r="C1379" s="1" t="n">
        <v>46180</v>
      </c>
      <c r="D1379" t="inlineStr">
        <is>
          <t>GÄVLEBORGS LÄN</t>
        </is>
      </c>
      <c r="E1379" t="inlineStr">
        <is>
          <t>BOLLNÄS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10316-2026</t>
        </is>
      </c>
      <c r="B1380" s="1" t="n">
        <v>46076.65447916667</v>
      </c>
      <c r="C1380" s="1" t="n">
        <v>46180</v>
      </c>
      <c r="D1380" t="inlineStr">
        <is>
          <t>GÄVLEBORGS LÄN</t>
        </is>
      </c>
      <c r="E1380" t="inlineStr">
        <is>
          <t>BOLLNÄS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10384-2026</t>
        </is>
      </c>
      <c r="B1381" s="1" t="n">
        <v>46076.89020833333</v>
      </c>
      <c r="C1381" s="1" t="n">
        <v>46180</v>
      </c>
      <c r="D1381" t="inlineStr">
        <is>
          <t>GÄVLEBORGS LÄN</t>
        </is>
      </c>
      <c r="E1381" t="inlineStr">
        <is>
          <t>BOLLNÄS</t>
        </is>
      </c>
      <c r="G1381" t="n">
        <v>3.8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10394-2026</t>
        </is>
      </c>
      <c r="B1382" s="1" t="n">
        <v>46077.3055787037</v>
      </c>
      <c r="C1382" s="1" t="n">
        <v>46180</v>
      </c>
      <c r="D1382" t="inlineStr">
        <is>
          <t>GÄVLEBORGS LÄN</t>
        </is>
      </c>
      <c r="E1382" t="inlineStr">
        <is>
          <t>BOLLNÄS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60759-2024</t>
        </is>
      </c>
      <c r="B1383" s="1" t="n">
        <v>45644.57359953703</v>
      </c>
      <c r="C1383" s="1" t="n">
        <v>46180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10380-2026</t>
        </is>
      </c>
      <c r="B1384" s="1" t="n">
        <v>46076.84871527777</v>
      </c>
      <c r="C1384" s="1" t="n">
        <v>46180</v>
      </c>
      <c r="D1384" t="inlineStr">
        <is>
          <t>GÄVLEBORGS LÄN</t>
        </is>
      </c>
      <c r="E1384" t="inlineStr">
        <is>
          <t>BOLLNÄS</t>
        </is>
      </c>
      <c r="G1384" t="n">
        <v>7.6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10413-2026</t>
        </is>
      </c>
      <c r="B1385" s="1" t="n">
        <v>46077</v>
      </c>
      <c r="C1385" s="1" t="n">
        <v>46180</v>
      </c>
      <c r="D1385" t="inlineStr">
        <is>
          <t>GÄVLEBORGS LÄN</t>
        </is>
      </c>
      <c r="E1385" t="inlineStr">
        <is>
          <t>BOLLNÄS</t>
        </is>
      </c>
      <c r="G1385" t="n">
        <v>11.6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10128-2026</t>
        </is>
      </c>
      <c r="B1386" s="1" t="n">
        <v>46075.84996527778</v>
      </c>
      <c r="C1386" s="1" t="n">
        <v>46180</v>
      </c>
      <c r="D1386" t="inlineStr">
        <is>
          <t>GÄVLEBORGS LÄN</t>
        </is>
      </c>
      <c r="E1386" t="inlineStr">
        <is>
          <t>BOLLNÄS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10129-2026</t>
        </is>
      </c>
      <c r="B1387" s="1" t="n">
        <v>46075.86543981481</v>
      </c>
      <c r="C1387" s="1" t="n">
        <v>46180</v>
      </c>
      <c r="D1387" t="inlineStr">
        <is>
          <t>GÄVLEBORGS LÄN</t>
        </is>
      </c>
      <c r="E1387" t="inlineStr">
        <is>
          <t>BOLLNÄS</t>
        </is>
      </c>
      <c r="G1387" t="n">
        <v>5.5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10419-2026</t>
        </is>
      </c>
      <c r="B1388" s="1" t="n">
        <v>46077.35930555555</v>
      </c>
      <c r="C1388" s="1" t="n">
        <v>46180</v>
      </c>
      <c r="D1388" t="inlineStr">
        <is>
          <t>GÄVLEBORGS LÄN</t>
        </is>
      </c>
      <c r="E1388" t="inlineStr">
        <is>
          <t>BOLLNÄS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10201-2026</t>
        </is>
      </c>
      <c r="B1389" s="1" t="n">
        <v>46076</v>
      </c>
      <c r="C1389" s="1" t="n">
        <v>46180</v>
      </c>
      <c r="D1389" t="inlineStr">
        <is>
          <t>GÄVLEBORGS LÄN</t>
        </is>
      </c>
      <c r="E1389" t="inlineStr">
        <is>
          <t>BOLLNÄS</t>
        </is>
      </c>
      <c r="G1389" t="n">
        <v>9.4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10204-2026</t>
        </is>
      </c>
      <c r="B1390" s="1" t="n">
        <v>46076.47613425926</v>
      </c>
      <c r="C1390" s="1" t="n">
        <v>46180</v>
      </c>
      <c r="D1390" t="inlineStr">
        <is>
          <t>GÄVLEBORGS LÄN</t>
        </is>
      </c>
      <c r="E1390" t="inlineStr">
        <is>
          <t>BOLLNÄS</t>
        </is>
      </c>
      <c r="G1390" t="n">
        <v>7.1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10208-2026</t>
        </is>
      </c>
      <c r="B1391" s="1" t="n">
        <v>46076.48478009259</v>
      </c>
      <c r="C1391" s="1" t="n">
        <v>46180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10213-2026</t>
        </is>
      </c>
      <c r="B1392" s="1" t="n">
        <v>46076.48890046297</v>
      </c>
      <c r="C1392" s="1" t="n">
        <v>46180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3.6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10228-2026</t>
        </is>
      </c>
      <c r="B1393" s="1" t="n">
        <v>46076.52788194444</v>
      </c>
      <c r="C1393" s="1" t="n">
        <v>46180</v>
      </c>
      <c r="D1393" t="inlineStr">
        <is>
          <t>GÄVLEBORGS LÄN</t>
        </is>
      </c>
      <c r="E1393" t="inlineStr">
        <is>
          <t>BOLLNÄS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10505-2026</t>
        </is>
      </c>
      <c r="B1394" s="1" t="n">
        <v>46077</v>
      </c>
      <c r="C1394" s="1" t="n">
        <v>46180</v>
      </c>
      <c r="D1394" t="inlineStr">
        <is>
          <t>GÄVLEBORGS LÄN</t>
        </is>
      </c>
      <c r="E1394" t="inlineStr">
        <is>
          <t>BOLLNÄS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  <c r="U1394">
        <f>HYPERLINK("https://klasma.github.io/Logging_2183/knärot/A 10505-2026 karta knärot.png", "A 10505-2026")</f>
        <v/>
      </c>
      <c r="V1394">
        <f>HYPERLINK("https://klasma.github.io/Logging_2183/klagomål/A 10505-2026 FSC-klagomål.docx", "A 10505-2026")</f>
        <v/>
      </c>
      <c r="W1394">
        <f>HYPERLINK("https://klasma.github.io/Logging_2183/klagomålsmail/A 10505-2026 FSC-klagomål mail.docx", "A 10505-2026")</f>
        <v/>
      </c>
      <c r="X1394">
        <f>HYPERLINK("https://klasma.github.io/Logging_2183/tillsyn/A 10505-2026 tillsynsbegäran.docx", "A 10505-2026")</f>
        <v/>
      </c>
      <c r="Y1394">
        <f>HYPERLINK("https://klasma.github.io/Logging_2183/tillsynsmail/A 10505-2026 tillsynsbegäran mail.docx", "A 10505-2026")</f>
        <v/>
      </c>
    </row>
    <row r="1395" ht="15" customHeight="1">
      <c r="A1395" t="inlineStr">
        <is>
          <t>A 10186-2026</t>
        </is>
      </c>
      <c r="B1395" s="1" t="n">
        <v>46076</v>
      </c>
      <c r="C1395" s="1" t="n">
        <v>46180</v>
      </c>
      <c r="D1395" t="inlineStr">
        <is>
          <t>GÄVLEBORGS LÄN</t>
        </is>
      </c>
      <c r="E1395" t="inlineStr">
        <is>
          <t>BOLLNÄS</t>
        </is>
      </c>
      <c r="G1395" t="n">
        <v>20.8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10556-2026</t>
        </is>
      </c>
      <c r="B1396" s="1" t="n">
        <v>46077</v>
      </c>
      <c r="C1396" s="1" t="n">
        <v>46180</v>
      </c>
      <c r="D1396" t="inlineStr">
        <is>
          <t>GÄVLEBORGS LÄN</t>
        </is>
      </c>
      <c r="E1396" t="inlineStr">
        <is>
          <t>BOLLNÄS</t>
        </is>
      </c>
      <c r="G1396" t="n">
        <v>8.199999999999999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10043-2026</t>
        </is>
      </c>
      <c r="B1397" s="1" t="n">
        <v>46073.59971064814</v>
      </c>
      <c r="C1397" s="1" t="n">
        <v>46180</v>
      </c>
      <c r="D1397" t="inlineStr">
        <is>
          <t>GÄVLEBORGS LÄN</t>
        </is>
      </c>
      <c r="E1397" t="inlineStr">
        <is>
          <t>BOLLNÄS</t>
        </is>
      </c>
      <c r="G1397" t="n">
        <v>12.2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10044-2026</t>
        </is>
      </c>
      <c r="B1398" s="1" t="n">
        <v>46073</v>
      </c>
      <c r="C1398" s="1" t="n">
        <v>46180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5.5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10006-2026</t>
        </is>
      </c>
      <c r="B1399" s="1" t="n">
        <v>46073.56648148148</v>
      </c>
      <c r="C1399" s="1" t="n">
        <v>46180</v>
      </c>
      <c r="D1399" t="inlineStr">
        <is>
          <t>GÄVLEBORGS LÄN</t>
        </is>
      </c>
      <c r="E1399" t="inlineStr">
        <is>
          <t>BOLLNÄS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34887-2022</t>
        </is>
      </c>
      <c r="B1400" s="1" t="n">
        <v>44796</v>
      </c>
      <c r="C1400" s="1" t="n">
        <v>46180</v>
      </c>
      <c r="D1400" t="inlineStr">
        <is>
          <t>GÄVLEBORGS LÄN</t>
        </is>
      </c>
      <c r="E1400" t="inlineStr">
        <is>
          <t>BOLLNÄS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53063-2025</t>
        </is>
      </c>
      <c r="B1401" s="1" t="n">
        <v>45958</v>
      </c>
      <c r="C1401" s="1" t="n">
        <v>46180</v>
      </c>
      <c r="D1401" t="inlineStr">
        <is>
          <t>GÄVLEBORGS LÄN</t>
        </is>
      </c>
      <c r="E1401" t="inlineStr">
        <is>
          <t>BOLLNÄS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10683-2026</t>
        </is>
      </c>
      <c r="B1402" s="1" t="n">
        <v>46078.41643518519</v>
      </c>
      <c r="C1402" s="1" t="n">
        <v>46180</v>
      </c>
      <c r="D1402" t="inlineStr">
        <is>
          <t>GÄVLEBORGS LÄN</t>
        </is>
      </c>
      <c r="E1402" t="inlineStr">
        <is>
          <t>BOLLNÄS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10687-2026</t>
        </is>
      </c>
      <c r="B1403" s="1" t="n">
        <v>46078.42753472222</v>
      </c>
      <c r="C1403" s="1" t="n">
        <v>46180</v>
      </c>
      <c r="D1403" t="inlineStr">
        <is>
          <t>GÄVLEBORGS LÄN</t>
        </is>
      </c>
      <c r="E1403" t="inlineStr">
        <is>
          <t>BOLLNÄS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10692-2026</t>
        </is>
      </c>
      <c r="B1404" s="1" t="n">
        <v>46078.43278935185</v>
      </c>
      <c r="C1404" s="1" t="n">
        <v>46180</v>
      </c>
      <c r="D1404" t="inlineStr">
        <is>
          <t>GÄVLEBORGS LÄN</t>
        </is>
      </c>
      <c r="E1404" t="inlineStr">
        <is>
          <t>BOLLNÄS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10725-2026</t>
        </is>
      </c>
      <c r="B1405" s="1" t="n">
        <v>46078.4722800926</v>
      </c>
      <c r="C1405" s="1" t="n">
        <v>46180</v>
      </c>
      <c r="D1405" t="inlineStr">
        <is>
          <t>GÄVLEBORGS LÄN</t>
        </is>
      </c>
      <c r="E1405" t="inlineStr">
        <is>
          <t>BOLLNÄS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10727-2026</t>
        </is>
      </c>
      <c r="B1406" s="1" t="n">
        <v>46078.47508101852</v>
      </c>
      <c r="C1406" s="1" t="n">
        <v>46180</v>
      </c>
      <c r="D1406" t="inlineStr">
        <is>
          <t>GÄVLEBORGS LÄN</t>
        </is>
      </c>
      <c r="E1406" t="inlineStr">
        <is>
          <t>BOLLNÄS</t>
        </is>
      </c>
      <c r="G1406" t="n">
        <v>3.6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10982-2026</t>
        </is>
      </c>
      <c r="B1407" s="1" t="n">
        <v>46079.47445601852</v>
      </c>
      <c r="C1407" s="1" t="n">
        <v>46180</v>
      </c>
      <c r="D1407" t="inlineStr">
        <is>
          <t>GÄVLEBORGS LÄN</t>
        </is>
      </c>
      <c r="E1407" t="inlineStr">
        <is>
          <t>BOLLNÄS</t>
        </is>
      </c>
      <c r="G1407" t="n">
        <v>6.7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53037-2025</t>
        </is>
      </c>
      <c r="B1408" s="1" t="n">
        <v>45958.35025462963</v>
      </c>
      <c r="C1408" s="1" t="n">
        <v>46180</v>
      </c>
      <c r="D1408" t="inlineStr">
        <is>
          <t>GÄVLEBORGS LÄN</t>
        </is>
      </c>
      <c r="E1408" t="inlineStr">
        <is>
          <t>BOLLNÄS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10933-2026</t>
        </is>
      </c>
      <c r="B1409" s="1" t="n">
        <v>46079</v>
      </c>
      <c r="C1409" s="1" t="n">
        <v>46180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10953-2026</t>
        </is>
      </c>
      <c r="B1410" s="1" t="n">
        <v>46079.39796296296</v>
      </c>
      <c r="C1410" s="1" t="n">
        <v>46180</v>
      </c>
      <c r="D1410" t="inlineStr">
        <is>
          <t>GÄVLEBORGS LÄN</t>
        </is>
      </c>
      <c r="E1410" t="inlineStr">
        <is>
          <t>BOLLNÄS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10978-2026</t>
        </is>
      </c>
      <c r="B1411" s="1" t="n">
        <v>46079</v>
      </c>
      <c r="C1411" s="1" t="n">
        <v>46180</v>
      </c>
      <c r="D1411" t="inlineStr">
        <is>
          <t>GÄVLEBORGS LÄN</t>
        </is>
      </c>
      <c r="E1411" t="inlineStr">
        <is>
          <t>BOLLNÄS</t>
        </is>
      </c>
      <c r="F1411" t="inlineStr">
        <is>
          <t>Bergvik skog väst AB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10998-2026</t>
        </is>
      </c>
      <c r="B1412" s="1" t="n">
        <v>46079</v>
      </c>
      <c r="C1412" s="1" t="n">
        <v>46180</v>
      </c>
      <c r="D1412" t="inlineStr">
        <is>
          <t>GÄVLEBORGS LÄN</t>
        </is>
      </c>
      <c r="E1412" t="inlineStr">
        <is>
          <t>BOLLNÄS</t>
        </is>
      </c>
      <c r="F1412" t="inlineStr">
        <is>
          <t>Bergvik skog väst AB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  <c r="U1412">
        <f>HYPERLINK("https://klasma.github.io/Logging_2183/knärot/A 10998-2026 karta knärot.png", "A 10998-2026")</f>
        <v/>
      </c>
      <c r="V1412">
        <f>HYPERLINK("https://klasma.github.io/Logging_2183/klagomål/A 10998-2026 FSC-klagomål.docx", "A 10998-2026")</f>
        <v/>
      </c>
      <c r="W1412">
        <f>HYPERLINK("https://klasma.github.io/Logging_2183/klagomålsmail/A 10998-2026 FSC-klagomål mail.docx", "A 10998-2026")</f>
        <v/>
      </c>
      <c r="X1412">
        <f>HYPERLINK("https://klasma.github.io/Logging_2183/tillsyn/A 10998-2026 tillsynsbegäran.docx", "A 10998-2026")</f>
        <v/>
      </c>
      <c r="Y1412">
        <f>HYPERLINK("https://klasma.github.io/Logging_2183/tillsynsmail/A 10998-2026 tillsynsbegäran mail.docx", "A 10998-2026")</f>
        <v/>
      </c>
    </row>
    <row r="1413" ht="15" customHeight="1">
      <c r="A1413" t="inlineStr">
        <is>
          <t>A 11012-2026</t>
        </is>
      </c>
      <c r="B1413" s="1" t="n">
        <v>46079.53363425926</v>
      </c>
      <c r="C1413" s="1" t="n">
        <v>46180</v>
      </c>
      <c r="D1413" t="inlineStr">
        <is>
          <t>GÄVLEBORGS LÄN</t>
        </is>
      </c>
      <c r="E1413" t="inlineStr">
        <is>
          <t>BOLLNÄS</t>
        </is>
      </c>
      <c r="G1413" t="n">
        <v>6.1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11021-2026</t>
        </is>
      </c>
      <c r="B1414" s="1" t="n">
        <v>46079</v>
      </c>
      <c r="C1414" s="1" t="n">
        <v>46180</v>
      </c>
      <c r="D1414" t="inlineStr">
        <is>
          <t>GÄVLEBORGS LÄN</t>
        </is>
      </c>
      <c r="E1414" t="inlineStr">
        <is>
          <t>BOLLNÄS</t>
        </is>
      </c>
      <c r="F1414" t="inlineStr">
        <is>
          <t>Bergvik skog väst AB</t>
        </is>
      </c>
      <c r="G1414" t="n">
        <v>6.8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10652-2026</t>
        </is>
      </c>
      <c r="B1415" s="1" t="n">
        <v>46078.35211805555</v>
      </c>
      <c r="C1415" s="1" t="n">
        <v>46180</v>
      </c>
      <c r="D1415" t="inlineStr">
        <is>
          <t>GÄVLEBORGS LÄN</t>
        </is>
      </c>
      <c r="E1415" t="inlineStr">
        <is>
          <t>BOLLNÄS</t>
        </is>
      </c>
      <c r="G1415" t="n">
        <v>11.6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10936-2026</t>
        </is>
      </c>
      <c r="B1416" s="1" t="n">
        <v>46079</v>
      </c>
      <c r="C1416" s="1" t="n">
        <v>46180</v>
      </c>
      <c r="D1416" t="inlineStr">
        <is>
          <t>GÄVLEBORGS LÄN</t>
        </is>
      </c>
      <c r="E1416" t="inlineStr">
        <is>
          <t>BOLLNÄS</t>
        </is>
      </c>
      <c r="F1416" t="inlineStr">
        <is>
          <t>Bergvik skog väst AB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10895-2026</t>
        </is>
      </c>
      <c r="B1417" s="1" t="n">
        <v>46078.82930555556</v>
      </c>
      <c r="C1417" s="1" t="n">
        <v>46180</v>
      </c>
      <c r="D1417" t="inlineStr">
        <is>
          <t>GÄVLEBORGS LÄN</t>
        </is>
      </c>
      <c r="E1417" t="inlineStr">
        <is>
          <t>BOLLNÄS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10613-2026</t>
        </is>
      </c>
      <c r="B1418" s="1" t="n">
        <v>46077.83953703703</v>
      </c>
      <c r="C1418" s="1" t="n">
        <v>46180</v>
      </c>
      <c r="D1418" t="inlineStr">
        <is>
          <t>GÄVLEBORGS LÄN</t>
        </is>
      </c>
      <c r="E1418" t="inlineStr">
        <is>
          <t>BOLLNÄS</t>
        </is>
      </c>
      <c r="G1418" t="n">
        <v>29.5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8950-2026</t>
        </is>
      </c>
      <c r="B1419" s="1" t="n">
        <v>46069.38952546296</v>
      </c>
      <c r="C1419" s="1" t="n">
        <v>46180</v>
      </c>
      <c r="D1419" t="inlineStr">
        <is>
          <t>GÄVLEBORGS LÄN</t>
        </is>
      </c>
      <c r="E1419" t="inlineStr">
        <is>
          <t>BOLLNÄS</t>
        </is>
      </c>
      <c r="G1419" t="n">
        <v>14.9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10890-2026</t>
        </is>
      </c>
      <c r="B1420" s="1" t="n">
        <v>46078.78046296296</v>
      </c>
      <c r="C1420" s="1" t="n">
        <v>46180</v>
      </c>
      <c r="D1420" t="inlineStr">
        <is>
          <t>GÄVLEBORGS LÄN</t>
        </is>
      </c>
      <c r="E1420" t="inlineStr">
        <is>
          <t>BOLLNÄS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10899-2026</t>
        </is>
      </c>
      <c r="B1421" s="1" t="n">
        <v>46078.87804398148</v>
      </c>
      <c r="C1421" s="1" t="n">
        <v>46180</v>
      </c>
      <c r="D1421" t="inlineStr">
        <is>
          <t>GÄVLEBORGS LÄN</t>
        </is>
      </c>
      <c r="E1421" t="inlineStr">
        <is>
          <t>BOLLNÄS</t>
        </is>
      </c>
      <c r="G1421" t="n">
        <v>4.5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11128-2026</t>
        </is>
      </c>
      <c r="B1422" s="1" t="n">
        <v>46079.69940972222</v>
      </c>
      <c r="C1422" s="1" t="n">
        <v>46180</v>
      </c>
      <c r="D1422" t="inlineStr">
        <is>
          <t>GÄVLEBORGS LÄN</t>
        </is>
      </c>
      <c r="E1422" t="inlineStr">
        <is>
          <t>BOLLNÄS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11131-2026</t>
        </is>
      </c>
      <c r="B1423" s="1" t="n">
        <v>46079.72134259259</v>
      </c>
      <c r="C1423" s="1" t="n">
        <v>46180</v>
      </c>
      <c r="D1423" t="inlineStr">
        <is>
          <t>GÄVLEBORGS LÄN</t>
        </is>
      </c>
      <c r="E1423" t="inlineStr">
        <is>
          <t>BOLLNÄS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11086-2026</t>
        </is>
      </c>
      <c r="B1424" s="1" t="n">
        <v>46079.62740740741</v>
      </c>
      <c r="C1424" s="1" t="n">
        <v>46180</v>
      </c>
      <c r="D1424" t="inlineStr">
        <is>
          <t>GÄVLEBORGS LÄN</t>
        </is>
      </c>
      <c r="E1424" t="inlineStr">
        <is>
          <t>BOLLNÄS</t>
        </is>
      </c>
      <c r="G1424" t="n">
        <v>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10828-2026</t>
        </is>
      </c>
      <c r="B1425" s="1" t="n">
        <v>46078</v>
      </c>
      <c r="C1425" s="1" t="n">
        <v>46180</v>
      </c>
      <c r="D1425" t="inlineStr">
        <is>
          <t>GÄVLEBORGS LÄN</t>
        </is>
      </c>
      <c r="E1425" t="inlineStr">
        <is>
          <t>BOLLNÄS</t>
        </is>
      </c>
      <c r="F1425" t="inlineStr">
        <is>
          <t>Bergvik skog väst AB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10833-2026</t>
        </is>
      </c>
      <c r="B1426" s="1" t="n">
        <v>46078</v>
      </c>
      <c r="C1426" s="1" t="n">
        <v>46180</v>
      </c>
      <c r="D1426" t="inlineStr">
        <is>
          <t>GÄVLEBORGS LÄN</t>
        </is>
      </c>
      <c r="E1426" t="inlineStr">
        <is>
          <t>BOLLNÄS</t>
        </is>
      </c>
      <c r="F1426" t="inlineStr">
        <is>
          <t>Bergvik skog väst AB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10918-2026</t>
        </is>
      </c>
      <c r="B1427" s="1" t="n">
        <v>46079</v>
      </c>
      <c r="C1427" s="1" t="n">
        <v>46180</v>
      </c>
      <c r="D1427" t="inlineStr">
        <is>
          <t>GÄVLEBORGS LÄN</t>
        </is>
      </c>
      <c r="E1427" t="inlineStr">
        <is>
          <t>BOLLNÄS</t>
        </is>
      </c>
      <c r="F1427" t="inlineStr">
        <is>
          <t>Bergvik skog väst AB</t>
        </is>
      </c>
      <c r="G1427" t="n">
        <v>11.5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10923-2026</t>
        </is>
      </c>
      <c r="B1428" s="1" t="n">
        <v>46079.34003472222</v>
      </c>
      <c r="C1428" s="1" t="n">
        <v>46180</v>
      </c>
      <c r="D1428" t="inlineStr">
        <is>
          <t>GÄVLEBORGS LÄN</t>
        </is>
      </c>
      <c r="E1428" t="inlineStr">
        <is>
          <t>BOLLNÄS</t>
        </is>
      </c>
      <c r="G1428" t="n">
        <v>3.8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11047-2026</t>
        </is>
      </c>
      <c r="B1429" s="1" t="n">
        <v>46079</v>
      </c>
      <c r="C1429" s="1" t="n">
        <v>46180</v>
      </c>
      <c r="D1429" t="inlineStr">
        <is>
          <t>GÄVLEBORGS LÄN</t>
        </is>
      </c>
      <c r="E1429" t="inlineStr">
        <is>
          <t>BOLLNÄS</t>
        </is>
      </c>
      <c r="F1429" t="inlineStr">
        <is>
          <t>Bergvik skog väst AB</t>
        </is>
      </c>
      <c r="G1429" t="n">
        <v>4.3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10811-2026</t>
        </is>
      </c>
      <c r="B1430" s="1" t="n">
        <v>46078.60513888889</v>
      </c>
      <c r="C1430" s="1" t="n">
        <v>46180</v>
      </c>
      <c r="D1430" t="inlineStr">
        <is>
          <t>GÄVLEBORGS LÄN</t>
        </is>
      </c>
      <c r="E1430" t="inlineStr">
        <is>
          <t>BOLLNÄS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10844-2026</t>
        </is>
      </c>
      <c r="B1431" s="1" t="n">
        <v>46078</v>
      </c>
      <c r="C1431" s="1" t="n">
        <v>46180</v>
      </c>
      <c r="D1431" t="inlineStr">
        <is>
          <t>GÄVLEBORGS LÄN</t>
        </is>
      </c>
      <c r="E1431" t="inlineStr">
        <is>
          <t>BOLLNÄS</t>
        </is>
      </c>
      <c r="F1431" t="inlineStr">
        <is>
          <t>Bergvik skog väst AB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10904-2026</t>
        </is>
      </c>
      <c r="B1432" s="1" t="n">
        <v>46079.27765046297</v>
      </c>
      <c r="C1432" s="1" t="n">
        <v>46180</v>
      </c>
      <c r="D1432" t="inlineStr">
        <is>
          <t>GÄVLEBORGS LÄN</t>
        </is>
      </c>
      <c r="E1432" t="inlineStr">
        <is>
          <t>BOLLNÄS</t>
        </is>
      </c>
      <c r="F1432" t="inlineStr">
        <is>
          <t>Bergvik skog väst AB</t>
        </is>
      </c>
      <c r="G1432" t="n">
        <v>3.1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11133-2026</t>
        </is>
      </c>
      <c r="B1433" s="1" t="n">
        <v>46079.73822916667</v>
      </c>
      <c r="C1433" s="1" t="n">
        <v>46180</v>
      </c>
      <c r="D1433" t="inlineStr">
        <is>
          <t>GÄVLEBORGS LÄN</t>
        </is>
      </c>
      <c r="E1433" t="inlineStr">
        <is>
          <t>BOLLNÄS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10956-2026</t>
        </is>
      </c>
      <c r="B1434" s="1" t="n">
        <v>46079</v>
      </c>
      <c r="C1434" s="1" t="n">
        <v>46180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Bergvik skog väst AB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10997-2026</t>
        </is>
      </c>
      <c r="B1435" s="1" t="n">
        <v>46079</v>
      </c>
      <c r="C1435" s="1" t="n">
        <v>46180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Bergvik skog väst AB</t>
        </is>
      </c>
      <c r="G1435" t="n">
        <v>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10674-2026</t>
        </is>
      </c>
      <c r="B1436" s="1" t="n">
        <v>46078.40658564815</v>
      </c>
      <c r="C1436" s="1" t="n">
        <v>46180</v>
      </c>
      <c r="D1436" t="inlineStr">
        <is>
          <t>GÄVLEBORGS LÄN</t>
        </is>
      </c>
      <c r="E1436" t="inlineStr">
        <is>
          <t>BOLLNÄS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52501-2025</t>
        </is>
      </c>
      <c r="B1437" s="1" t="n">
        <v>45954</v>
      </c>
      <c r="C1437" s="1" t="n">
        <v>46180</v>
      </c>
      <c r="D1437" t="inlineStr">
        <is>
          <t>GÄVLEBORGS LÄN</t>
        </is>
      </c>
      <c r="E1437" t="inlineStr">
        <is>
          <t>BOLLNÄS</t>
        </is>
      </c>
      <c r="G1437" t="n">
        <v>7.2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52432-2025</t>
        </is>
      </c>
      <c r="B1438" s="1" t="n">
        <v>45954.38655092593</v>
      </c>
      <c r="C1438" s="1" t="n">
        <v>46180</v>
      </c>
      <c r="D1438" t="inlineStr">
        <is>
          <t>GÄVLEBORGS LÄN</t>
        </is>
      </c>
      <c r="E1438" t="inlineStr">
        <is>
          <t>BOLLNÄS</t>
        </is>
      </c>
      <c r="G1438" t="n">
        <v>7.2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11101-2026</t>
        </is>
      </c>
      <c r="B1439" s="1" t="n">
        <v>46079.65098379629</v>
      </c>
      <c r="C1439" s="1" t="n">
        <v>46180</v>
      </c>
      <c r="D1439" t="inlineStr">
        <is>
          <t>GÄVLEBORGS LÄN</t>
        </is>
      </c>
      <c r="E1439" t="inlineStr">
        <is>
          <t>BOLLNÄS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10624-2026</t>
        </is>
      </c>
      <c r="B1440" s="1" t="n">
        <v>46078.28386574074</v>
      </c>
      <c r="C1440" s="1" t="n">
        <v>46180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Bergvik skog väst AB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10627-2026</t>
        </is>
      </c>
      <c r="B1441" s="1" t="n">
        <v>46078.28824074074</v>
      </c>
      <c r="C1441" s="1" t="n">
        <v>46180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Bergvik skog väst AB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10874-2026</t>
        </is>
      </c>
      <c r="B1442" s="1" t="n">
        <v>46078</v>
      </c>
      <c r="C1442" s="1" t="n">
        <v>46180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Bergvik skog väst AB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10897-2026</t>
        </is>
      </c>
      <c r="B1443" s="1" t="n">
        <v>46078.85790509259</v>
      </c>
      <c r="C1443" s="1" t="n">
        <v>46180</v>
      </c>
      <c r="D1443" t="inlineStr">
        <is>
          <t>GÄVLEBORGS LÄN</t>
        </is>
      </c>
      <c r="E1443" t="inlineStr">
        <is>
          <t>BOLLNÄS</t>
        </is>
      </c>
      <c r="G1443" t="n">
        <v>7.9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10914-2026</t>
        </is>
      </c>
      <c r="B1444" s="1" t="n">
        <v>46079</v>
      </c>
      <c r="C1444" s="1" t="n">
        <v>46180</v>
      </c>
      <c r="D1444" t="inlineStr">
        <is>
          <t>GÄVLEBORGS LÄN</t>
        </is>
      </c>
      <c r="E1444" t="inlineStr">
        <is>
          <t>BOLLNÄS</t>
        </is>
      </c>
      <c r="F1444" t="inlineStr">
        <is>
          <t>Bergvik skog väst AB</t>
        </is>
      </c>
      <c r="G1444" t="n">
        <v>46.5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10920-2026</t>
        </is>
      </c>
      <c r="B1445" s="1" t="n">
        <v>46079</v>
      </c>
      <c r="C1445" s="1" t="n">
        <v>46180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Bergvik skog väst AB</t>
        </is>
      </c>
      <c r="G1445" t="n">
        <v>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10610-2026</t>
        </is>
      </c>
      <c r="B1446" s="1" t="n">
        <v>46077.81421296296</v>
      </c>
      <c r="C1446" s="1" t="n">
        <v>46180</v>
      </c>
      <c r="D1446" t="inlineStr">
        <is>
          <t>GÄVLEBORGS LÄN</t>
        </is>
      </c>
      <c r="E1446" t="inlineStr">
        <is>
          <t>BOLLNÄS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10612-2026</t>
        </is>
      </c>
      <c r="B1447" s="1" t="n">
        <v>46077.83755787037</v>
      </c>
      <c r="C1447" s="1" t="n">
        <v>46180</v>
      </c>
      <c r="D1447" t="inlineStr">
        <is>
          <t>GÄVLEBORGS LÄN</t>
        </is>
      </c>
      <c r="E1447" t="inlineStr">
        <is>
          <t>BOLLNÄS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10888-2026</t>
        </is>
      </c>
      <c r="B1448" s="1" t="n">
        <v>46078.76486111111</v>
      </c>
      <c r="C1448" s="1" t="n">
        <v>46180</v>
      </c>
      <c r="D1448" t="inlineStr">
        <is>
          <t>GÄVLEBORGS LÄN</t>
        </is>
      </c>
      <c r="E1448" t="inlineStr">
        <is>
          <t>BOLLNÄS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10889-2026</t>
        </is>
      </c>
      <c r="B1449" s="1" t="n">
        <v>46078.77356481482</v>
      </c>
      <c r="C1449" s="1" t="n">
        <v>46180</v>
      </c>
      <c r="D1449" t="inlineStr">
        <is>
          <t>GÄVLEBORGS LÄN</t>
        </is>
      </c>
      <c r="E1449" t="inlineStr">
        <is>
          <t>BOLLNÄS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10896-2026</t>
        </is>
      </c>
      <c r="B1450" s="1" t="n">
        <v>46078.83668981482</v>
      </c>
      <c r="C1450" s="1" t="n">
        <v>46180</v>
      </c>
      <c r="D1450" t="inlineStr">
        <is>
          <t>GÄVLEBORGS LÄN</t>
        </is>
      </c>
      <c r="E1450" t="inlineStr">
        <is>
          <t>BOLLNÄS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10898-2026</t>
        </is>
      </c>
      <c r="B1451" s="1" t="n">
        <v>46078.86609953704</v>
      </c>
      <c r="C1451" s="1" t="n">
        <v>46180</v>
      </c>
      <c r="D1451" t="inlineStr">
        <is>
          <t>GÄVLEBORGS LÄN</t>
        </is>
      </c>
      <c r="E1451" t="inlineStr">
        <is>
          <t>BOLLNÄS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10900-2026</t>
        </is>
      </c>
      <c r="B1452" s="1" t="n">
        <v>46078.88635416667</v>
      </c>
      <c r="C1452" s="1" t="n">
        <v>46180</v>
      </c>
      <c r="D1452" t="inlineStr">
        <is>
          <t>GÄVLEBORGS LÄN</t>
        </is>
      </c>
      <c r="E1452" t="inlineStr">
        <is>
          <t>BOLLNÄS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11118-2026</t>
        </is>
      </c>
      <c r="B1453" s="1" t="n">
        <v>46079.67105324074</v>
      </c>
      <c r="C1453" s="1" t="n">
        <v>46180</v>
      </c>
      <c r="D1453" t="inlineStr">
        <is>
          <t>GÄVLEBORGS LÄN</t>
        </is>
      </c>
      <c r="E1453" t="inlineStr">
        <is>
          <t>BOLLNÄS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10798-2026</t>
        </is>
      </c>
      <c r="B1454" s="1" t="n">
        <v>46078.59535879629</v>
      </c>
      <c r="C1454" s="1" t="n">
        <v>46180</v>
      </c>
      <c r="D1454" t="inlineStr">
        <is>
          <t>GÄVLEBORGS LÄN</t>
        </is>
      </c>
      <c r="E1454" t="inlineStr">
        <is>
          <t>BOLLNÄS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10809-2026</t>
        </is>
      </c>
      <c r="B1455" s="1" t="n">
        <v>46078.60459490741</v>
      </c>
      <c r="C1455" s="1" t="n">
        <v>46180</v>
      </c>
      <c r="D1455" t="inlineStr">
        <is>
          <t>GÄVLEBORGS LÄN</t>
        </is>
      </c>
      <c r="E1455" t="inlineStr">
        <is>
          <t>BOLLNÄS</t>
        </is>
      </c>
      <c r="G1455" t="n">
        <v>4.2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10810-2026</t>
        </is>
      </c>
      <c r="B1456" s="1" t="n">
        <v>46078.60465277778</v>
      </c>
      <c r="C1456" s="1" t="n">
        <v>46180</v>
      </c>
      <c r="D1456" t="inlineStr">
        <is>
          <t>GÄVLEBORGS LÄN</t>
        </is>
      </c>
      <c r="E1456" t="inlineStr">
        <is>
          <t>BOLLNÄS</t>
        </is>
      </c>
      <c r="G1456" t="n">
        <v>4.9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10881-2026</t>
        </is>
      </c>
      <c r="B1457" s="1" t="n">
        <v>46078.74398148148</v>
      </c>
      <c r="C1457" s="1" t="n">
        <v>46180</v>
      </c>
      <c r="D1457" t="inlineStr">
        <is>
          <t>GÄVLEBORGS LÄN</t>
        </is>
      </c>
      <c r="E1457" t="inlineStr">
        <is>
          <t>BOLLNÄS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10882-2026</t>
        </is>
      </c>
      <c r="B1458" s="1" t="n">
        <v>46078.75336805556</v>
      </c>
      <c r="C1458" s="1" t="n">
        <v>46180</v>
      </c>
      <c r="D1458" t="inlineStr">
        <is>
          <t>GÄVLEBORGS LÄN</t>
        </is>
      </c>
      <c r="E1458" t="inlineStr">
        <is>
          <t>BOLLNÄS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53198-2025</t>
        </is>
      </c>
      <c r="B1459" s="1" t="n">
        <v>45958.57416666667</v>
      </c>
      <c r="C1459" s="1" t="n">
        <v>46180</v>
      </c>
      <c r="D1459" t="inlineStr">
        <is>
          <t>GÄVLEBORGS LÄN</t>
        </is>
      </c>
      <c r="E1459" t="inlineStr">
        <is>
          <t>BOLLNÄS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10748-2026</t>
        </is>
      </c>
      <c r="B1460" s="1" t="n">
        <v>46078.52678240741</v>
      </c>
      <c r="C1460" s="1" t="n">
        <v>46180</v>
      </c>
      <c r="D1460" t="inlineStr">
        <is>
          <t>GÄVLEBORGS LÄN</t>
        </is>
      </c>
      <c r="E1460" t="inlineStr">
        <is>
          <t>BOLLNÄS</t>
        </is>
      </c>
      <c r="G1460" t="n">
        <v>5.8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10964-2026</t>
        </is>
      </c>
      <c r="B1461" s="1" t="n">
        <v>46079.43271990741</v>
      </c>
      <c r="C1461" s="1" t="n">
        <v>46180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6.8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11016-2026</t>
        </is>
      </c>
      <c r="B1462" s="1" t="n">
        <v>46079</v>
      </c>
      <c r="C1462" s="1" t="n">
        <v>46180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11062-2026</t>
        </is>
      </c>
      <c r="B1463" s="1" t="n">
        <v>46079</v>
      </c>
      <c r="C1463" s="1" t="n">
        <v>46180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11090-2026</t>
        </is>
      </c>
      <c r="B1464" s="1" t="n">
        <v>46079.63704861111</v>
      </c>
      <c r="C1464" s="1" t="n">
        <v>46180</v>
      </c>
      <c r="D1464" t="inlineStr">
        <is>
          <t>GÄVLEBORGS LÄN</t>
        </is>
      </c>
      <c r="E1464" t="inlineStr">
        <is>
          <t>BOLLNÄS</t>
        </is>
      </c>
      <c r="G1464" t="n">
        <v>6.6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11120-2026</t>
        </is>
      </c>
      <c r="B1465" s="1" t="n">
        <v>46079.6802662037</v>
      </c>
      <c r="C1465" s="1" t="n">
        <v>46180</v>
      </c>
      <c r="D1465" t="inlineStr">
        <is>
          <t>GÄVLEBORGS LÄN</t>
        </is>
      </c>
      <c r="E1465" t="inlineStr">
        <is>
          <t>BOLLNÄS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10795-2026</t>
        </is>
      </c>
      <c r="B1466" s="1" t="n">
        <v>46078</v>
      </c>
      <c r="C1466" s="1" t="n">
        <v>46180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10967-2026</t>
        </is>
      </c>
      <c r="B1467" s="1" t="n">
        <v>46079</v>
      </c>
      <c r="C1467" s="1" t="n">
        <v>46180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10743-2026</t>
        </is>
      </c>
      <c r="B1468" s="1" t="n">
        <v>46078</v>
      </c>
      <c r="C1468" s="1" t="n">
        <v>46180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50746-2025</t>
        </is>
      </c>
      <c r="B1469" s="1" t="n">
        <v>45946.3878587963</v>
      </c>
      <c r="C1469" s="1" t="n">
        <v>46180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11028-2026</t>
        </is>
      </c>
      <c r="B1470" s="1" t="n">
        <v>46079.56643518519</v>
      </c>
      <c r="C1470" s="1" t="n">
        <v>46180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10766-2026</t>
        </is>
      </c>
      <c r="B1471" s="1" t="n">
        <v>46078.56611111111</v>
      </c>
      <c r="C1471" s="1" t="n">
        <v>46180</v>
      </c>
      <c r="D1471" t="inlineStr">
        <is>
          <t>GÄVLEBORGS LÄN</t>
        </is>
      </c>
      <c r="E1471" t="inlineStr">
        <is>
          <t>BOLLNÄS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11044-2026</t>
        </is>
      </c>
      <c r="B1472" s="1" t="n">
        <v>46079</v>
      </c>
      <c r="C1472" s="1" t="n">
        <v>46180</v>
      </c>
      <c r="D1472" t="inlineStr">
        <is>
          <t>GÄVLEBORGS LÄN</t>
        </is>
      </c>
      <c r="E1472" t="inlineStr">
        <is>
          <t>BOLLNÄS</t>
        </is>
      </c>
      <c r="F1472" t="inlineStr">
        <is>
          <t>Bergvik skog väst AB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11076-2026</t>
        </is>
      </c>
      <c r="B1473" s="1" t="n">
        <v>46079.61701388889</v>
      </c>
      <c r="C1473" s="1" t="n">
        <v>46180</v>
      </c>
      <c r="D1473" t="inlineStr">
        <is>
          <t>GÄVLEBORGS LÄN</t>
        </is>
      </c>
      <c r="E1473" t="inlineStr">
        <is>
          <t>BOLLNÄS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10611-2026</t>
        </is>
      </c>
      <c r="B1474" s="1" t="n">
        <v>46077.83061342593</v>
      </c>
      <c r="C1474" s="1" t="n">
        <v>46180</v>
      </c>
      <c r="D1474" t="inlineStr">
        <is>
          <t>GÄVLEBORGS LÄN</t>
        </is>
      </c>
      <c r="E1474" t="inlineStr">
        <is>
          <t>BOLLNÄS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52308-2025</t>
        </is>
      </c>
      <c r="B1475" s="1" t="n">
        <v>45953.64344907407</v>
      </c>
      <c r="C1475" s="1" t="n">
        <v>46180</v>
      </c>
      <c r="D1475" t="inlineStr">
        <is>
          <t>GÄVLEBORGS LÄN</t>
        </is>
      </c>
      <c r="E1475" t="inlineStr">
        <is>
          <t>BOLLNÄS</t>
        </is>
      </c>
      <c r="G1475" t="n">
        <v>6.9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10614-2026</t>
        </is>
      </c>
      <c r="B1476" s="1" t="n">
        <v>46077.84810185185</v>
      </c>
      <c r="C1476" s="1" t="n">
        <v>46180</v>
      </c>
      <c r="D1476" t="inlineStr">
        <is>
          <t>GÄVLEBORGS LÄN</t>
        </is>
      </c>
      <c r="E1476" t="inlineStr">
        <is>
          <t>BOLLNÄS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10616-2026</t>
        </is>
      </c>
      <c r="B1477" s="1" t="n">
        <v>46077.85666666667</v>
      </c>
      <c r="C1477" s="1" t="n">
        <v>46180</v>
      </c>
      <c r="D1477" t="inlineStr">
        <is>
          <t>GÄVLEBORGS LÄN</t>
        </is>
      </c>
      <c r="E1477" t="inlineStr">
        <is>
          <t>BOLLNÄS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10618-2026</t>
        </is>
      </c>
      <c r="B1478" s="1" t="n">
        <v>46077.86887731482</v>
      </c>
      <c r="C1478" s="1" t="n">
        <v>46180</v>
      </c>
      <c r="D1478" t="inlineStr">
        <is>
          <t>GÄVLEBORGS LÄN</t>
        </is>
      </c>
      <c r="E1478" t="inlineStr">
        <is>
          <t>BOLLNÄS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10619-2026</t>
        </is>
      </c>
      <c r="B1479" s="1" t="n">
        <v>46077.87825231482</v>
      </c>
      <c r="C1479" s="1" t="n">
        <v>46180</v>
      </c>
      <c r="D1479" t="inlineStr">
        <is>
          <t>GÄVLEBORGS LÄN</t>
        </is>
      </c>
      <c r="E1479" t="inlineStr">
        <is>
          <t>BOLLNÄS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10790-2026</t>
        </is>
      </c>
      <c r="B1480" s="1" t="n">
        <v>46078</v>
      </c>
      <c r="C1480" s="1" t="n">
        <v>46180</v>
      </c>
      <c r="D1480" t="inlineStr">
        <is>
          <t>GÄVLEBORGS LÄN</t>
        </is>
      </c>
      <c r="E1480" t="inlineStr">
        <is>
          <t>BOLLNÄS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10805-2026</t>
        </is>
      </c>
      <c r="B1481" s="1" t="n">
        <v>46078</v>
      </c>
      <c r="C1481" s="1" t="n">
        <v>46180</v>
      </c>
      <c r="D1481" t="inlineStr">
        <is>
          <t>GÄVLEBORGS LÄN</t>
        </is>
      </c>
      <c r="E1481" t="inlineStr">
        <is>
          <t>BOLLNÄS</t>
        </is>
      </c>
      <c r="G1481" t="n">
        <v>9.6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10824-2026</t>
        </is>
      </c>
      <c r="B1482" s="1" t="n">
        <v>46078.62105324074</v>
      </c>
      <c r="C1482" s="1" t="n">
        <v>46180</v>
      </c>
      <c r="D1482" t="inlineStr">
        <is>
          <t>GÄVLEBORGS LÄN</t>
        </is>
      </c>
      <c r="E1482" t="inlineStr">
        <is>
          <t>BOLLNÄS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10857-2026</t>
        </is>
      </c>
      <c r="B1483" s="1" t="n">
        <v>46078.66210648148</v>
      </c>
      <c r="C1483" s="1" t="n">
        <v>46180</v>
      </c>
      <c r="D1483" t="inlineStr">
        <is>
          <t>GÄVLEBORGS LÄN</t>
        </is>
      </c>
      <c r="E1483" t="inlineStr">
        <is>
          <t>BOLLNÄS</t>
        </is>
      </c>
      <c r="G1483" t="n">
        <v>6.4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53195-2025</t>
        </is>
      </c>
      <c r="B1484" s="1" t="n">
        <v>45958.57086805555</v>
      </c>
      <c r="C1484" s="1" t="n">
        <v>46180</v>
      </c>
      <c r="D1484" t="inlineStr">
        <is>
          <t>GÄVLEBORGS LÄN</t>
        </is>
      </c>
      <c r="E1484" t="inlineStr">
        <is>
          <t>BOLLNÄS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10736-2026</t>
        </is>
      </c>
      <c r="B1485" s="1" t="n">
        <v>46078</v>
      </c>
      <c r="C1485" s="1" t="n">
        <v>46180</v>
      </c>
      <c r="D1485" t="inlineStr">
        <is>
          <t>GÄVLEBORGS LÄN</t>
        </is>
      </c>
      <c r="E1485" t="inlineStr">
        <is>
          <t>BOLLNÄS</t>
        </is>
      </c>
      <c r="G1485" t="n">
        <v>3.1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10830-2026</t>
        </is>
      </c>
      <c r="B1486" s="1" t="n">
        <v>46078.62643518519</v>
      </c>
      <c r="C1486" s="1" t="n">
        <v>46180</v>
      </c>
      <c r="D1486" t="inlineStr">
        <is>
          <t>GÄVLEBORGS LÄN</t>
        </is>
      </c>
      <c r="E1486" t="inlineStr">
        <is>
          <t>BOLLNÄS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11019-2026</t>
        </is>
      </c>
      <c r="B1487" s="1" t="n">
        <v>46079</v>
      </c>
      <c r="C1487" s="1" t="n">
        <v>46180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Bergvik skog väst AB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11024-2026</t>
        </is>
      </c>
      <c r="B1488" s="1" t="n">
        <v>46079.5597337963</v>
      </c>
      <c r="C1488" s="1" t="n">
        <v>46180</v>
      </c>
      <c r="D1488" t="inlineStr">
        <is>
          <t>GÄVLEBORGS LÄN</t>
        </is>
      </c>
      <c r="E1488" t="inlineStr">
        <is>
          <t>BOLLNÄS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11053-2026</t>
        </is>
      </c>
      <c r="B1489" s="1" t="n">
        <v>46079</v>
      </c>
      <c r="C1489" s="1" t="n">
        <v>46180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Bergvik skog väst AB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10913-2026</t>
        </is>
      </c>
      <c r="B1490" s="1" t="n">
        <v>46079</v>
      </c>
      <c r="C1490" s="1" t="n">
        <v>46180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Bergvik skog väst AB</t>
        </is>
      </c>
      <c r="G1490" t="n">
        <v>4.4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10917-2026</t>
        </is>
      </c>
      <c r="B1491" s="1" t="n">
        <v>46079</v>
      </c>
      <c r="C1491" s="1" t="n">
        <v>46180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10724-2026</t>
        </is>
      </c>
      <c r="B1492" s="1" t="n">
        <v>46078.47144675926</v>
      </c>
      <c r="C1492" s="1" t="n">
        <v>46180</v>
      </c>
      <c r="D1492" t="inlineStr">
        <is>
          <t>GÄVLEBORGS LÄN</t>
        </is>
      </c>
      <c r="E1492" t="inlineStr">
        <is>
          <t>BOLLNÄS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10834-2026</t>
        </is>
      </c>
      <c r="B1493" s="1" t="n">
        <v>46078.63019675926</v>
      </c>
      <c r="C1493" s="1" t="n">
        <v>46180</v>
      </c>
      <c r="D1493" t="inlineStr">
        <is>
          <t>GÄVLEBORGS LÄN</t>
        </is>
      </c>
      <c r="E1493" t="inlineStr">
        <is>
          <t>BOLLNÄS</t>
        </is>
      </c>
      <c r="G1493" t="n">
        <v>4.7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10848-2026</t>
        </is>
      </c>
      <c r="B1494" s="1" t="n">
        <v>46078</v>
      </c>
      <c r="C1494" s="1" t="n">
        <v>46180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Bergvik skog väst AB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10875-2026</t>
        </is>
      </c>
      <c r="B1495" s="1" t="n">
        <v>46078</v>
      </c>
      <c r="C1495" s="1" t="n">
        <v>46180</v>
      </c>
      <c r="D1495" t="inlineStr">
        <is>
          <t>GÄVLEBORGS LÄN</t>
        </is>
      </c>
      <c r="E1495" t="inlineStr">
        <is>
          <t>BOLLNÄS</t>
        </is>
      </c>
      <c r="F1495" t="inlineStr">
        <is>
          <t>Bergvik skog väst AB</t>
        </is>
      </c>
      <c r="G1495" t="n">
        <v>5.9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10880-2026</t>
        </is>
      </c>
      <c r="B1496" s="1" t="n">
        <v>46078.73033564815</v>
      </c>
      <c r="C1496" s="1" t="n">
        <v>46180</v>
      </c>
      <c r="D1496" t="inlineStr">
        <is>
          <t>GÄVLEBORGS LÄN</t>
        </is>
      </c>
      <c r="E1496" t="inlineStr">
        <is>
          <t>BOLLNÄS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28795-2024</t>
        </is>
      </c>
      <c r="B1497" s="1" t="n">
        <v>45478.61697916667</v>
      </c>
      <c r="C1497" s="1" t="n">
        <v>46180</v>
      </c>
      <c r="D1497" t="inlineStr">
        <is>
          <t>GÄVLEBORGS LÄN</t>
        </is>
      </c>
      <c r="E1497" t="inlineStr">
        <is>
          <t>BOLLNÄS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28801-2024</t>
        </is>
      </c>
      <c r="B1498" s="1" t="n">
        <v>45478.62592592592</v>
      </c>
      <c r="C1498" s="1" t="n">
        <v>46180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5.2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11262-2026</t>
        </is>
      </c>
      <c r="B1499" s="1" t="n">
        <v>46080</v>
      </c>
      <c r="C1499" s="1" t="n">
        <v>46180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11309-2026</t>
        </is>
      </c>
      <c r="B1500" s="1" t="n">
        <v>46080.65710648148</v>
      </c>
      <c r="C1500" s="1" t="n">
        <v>46180</v>
      </c>
      <c r="D1500" t="inlineStr">
        <is>
          <t>GÄVLEBORGS LÄN</t>
        </is>
      </c>
      <c r="E1500" t="inlineStr">
        <is>
          <t>BOLLNÄS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11204-2026</t>
        </is>
      </c>
      <c r="B1501" s="1" t="n">
        <v>46080</v>
      </c>
      <c r="C1501" s="1" t="n">
        <v>46180</v>
      </c>
      <c r="D1501" t="inlineStr">
        <is>
          <t>GÄVLEBORGS LÄN</t>
        </is>
      </c>
      <c r="E1501" t="inlineStr">
        <is>
          <t>BOLLNÄS</t>
        </is>
      </c>
      <c r="F1501" t="inlineStr">
        <is>
          <t>Bergvik skog väst AB</t>
        </is>
      </c>
      <c r="G1501" t="n">
        <v>12.9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11208-2026</t>
        </is>
      </c>
      <c r="B1502" s="1" t="n">
        <v>46080.45855324074</v>
      </c>
      <c r="C1502" s="1" t="n">
        <v>46180</v>
      </c>
      <c r="D1502" t="inlineStr">
        <is>
          <t>GÄVLEBORGS LÄN</t>
        </is>
      </c>
      <c r="E1502" t="inlineStr">
        <is>
          <t>BOLLNÄS</t>
        </is>
      </c>
      <c r="G1502" t="n">
        <v>3.9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11226-2026</t>
        </is>
      </c>
      <c r="B1503" s="1" t="n">
        <v>46080</v>
      </c>
      <c r="C1503" s="1" t="n">
        <v>46180</v>
      </c>
      <c r="D1503" t="inlineStr">
        <is>
          <t>GÄVLEBORGS LÄN</t>
        </is>
      </c>
      <c r="E1503" t="inlineStr">
        <is>
          <t>BOLLNÄS</t>
        </is>
      </c>
      <c r="F1503" t="inlineStr">
        <is>
          <t>Bergvik skog väst AB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11242-2026</t>
        </is>
      </c>
      <c r="B1504" s="1" t="n">
        <v>46080.52664351852</v>
      </c>
      <c r="C1504" s="1" t="n">
        <v>46180</v>
      </c>
      <c r="D1504" t="inlineStr">
        <is>
          <t>GÄVLEBORGS LÄN</t>
        </is>
      </c>
      <c r="E1504" t="inlineStr">
        <is>
          <t>BOLLNÄS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11332-2026</t>
        </is>
      </c>
      <c r="B1505" s="1" t="n">
        <v>46082.39565972222</v>
      </c>
      <c r="C1505" s="1" t="n">
        <v>46180</v>
      </c>
      <c r="D1505" t="inlineStr">
        <is>
          <t>GÄVLEBORGS LÄN</t>
        </is>
      </c>
      <c r="E1505" t="inlineStr">
        <is>
          <t>BOLLNÄS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11335-2026</t>
        </is>
      </c>
      <c r="B1506" s="1" t="n">
        <v>46082.41400462963</v>
      </c>
      <c r="C1506" s="1" t="n">
        <v>46180</v>
      </c>
      <c r="D1506" t="inlineStr">
        <is>
          <t>GÄVLEBORGS LÄN</t>
        </is>
      </c>
      <c r="E1506" t="inlineStr">
        <is>
          <t>BOLLNÄS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11338-2026</t>
        </is>
      </c>
      <c r="B1507" s="1" t="n">
        <v>46082.42638888889</v>
      </c>
      <c r="C1507" s="1" t="n">
        <v>46180</v>
      </c>
      <c r="D1507" t="inlineStr">
        <is>
          <t>GÄVLEBORGS LÄN</t>
        </is>
      </c>
      <c r="E1507" t="inlineStr">
        <is>
          <t>BOLLNÄS</t>
        </is>
      </c>
      <c r="G1507" t="n">
        <v>5.1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11363-2026</t>
        </is>
      </c>
      <c r="B1508" s="1" t="n">
        <v>46083.35527777778</v>
      </c>
      <c r="C1508" s="1" t="n">
        <v>46180</v>
      </c>
      <c r="D1508" t="inlineStr">
        <is>
          <t>GÄVLEBORGS LÄN</t>
        </is>
      </c>
      <c r="E1508" t="inlineStr">
        <is>
          <t>BOLLNÄS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11367-2026</t>
        </is>
      </c>
      <c r="B1509" s="1" t="n">
        <v>46083.37726851852</v>
      </c>
      <c r="C1509" s="1" t="n">
        <v>46180</v>
      </c>
      <c r="D1509" t="inlineStr">
        <is>
          <t>GÄVLEBORGS LÄN</t>
        </is>
      </c>
      <c r="E1509" t="inlineStr">
        <is>
          <t>BOLLNÄS</t>
        </is>
      </c>
      <c r="G1509" t="n">
        <v>6.6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11479-2026</t>
        </is>
      </c>
      <c r="B1510" s="1" t="n">
        <v>46083.6</v>
      </c>
      <c r="C1510" s="1" t="n">
        <v>46180</v>
      </c>
      <c r="D1510" t="inlineStr">
        <is>
          <t>GÄVLEBORGS LÄN</t>
        </is>
      </c>
      <c r="E1510" t="inlineStr">
        <is>
          <t>BOLLNÄS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53444-2025</t>
        </is>
      </c>
      <c r="B1511" s="1" t="n">
        <v>45959.64644675926</v>
      </c>
      <c r="C1511" s="1" t="n">
        <v>46180</v>
      </c>
      <c r="D1511" t="inlineStr">
        <is>
          <t>GÄVLEBORGS LÄN</t>
        </is>
      </c>
      <c r="E1511" t="inlineStr">
        <is>
          <t>BOLLNÄS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11371-2026</t>
        </is>
      </c>
      <c r="B1512" s="1" t="n">
        <v>46083.38614583333</v>
      </c>
      <c r="C1512" s="1" t="n">
        <v>46180</v>
      </c>
      <c r="D1512" t="inlineStr">
        <is>
          <t>GÄVLEBORGS LÄN</t>
        </is>
      </c>
      <c r="E1512" t="inlineStr">
        <is>
          <t>BOLLNÄS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53490-2025</t>
        </is>
      </c>
      <c r="B1513" s="1" t="n">
        <v>45960.31584490741</v>
      </c>
      <c r="C1513" s="1" t="n">
        <v>46180</v>
      </c>
      <c r="D1513" t="inlineStr">
        <is>
          <t>GÄVLEBORGS LÄN</t>
        </is>
      </c>
      <c r="E1513" t="inlineStr">
        <is>
          <t>BOLLNÄS</t>
        </is>
      </c>
      <c r="G1513" t="n">
        <v>8.4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53599-2025</t>
        </is>
      </c>
      <c r="B1514" s="1" t="n">
        <v>45960.4559375</v>
      </c>
      <c r="C1514" s="1" t="n">
        <v>46180</v>
      </c>
      <c r="D1514" t="inlineStr">
        <is>
          <t>GÄVLEBORGS LÄN</t>
        </is>
      </c>
      <c r="E1514" t="inlineStr">
        <is>
          <t>BOLLNÄS</t>
        </is>
      </c>
      <c r="F1514" t="inlineStr">
        <is>
          <t>Bergvik skog väst AB</t>
        </is>
      </c>
      <c r="G1514" t="n">
        <v>3.2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53692-2025</t>
        </is>
      </c>
      <c r="B1515" s="1" t="n">
        <v>45960.58421296296</v>
      </c>
      <c r="C1515" s="1" t="n">
        <v>46180</v>
      </c>
      <c r="D1515" t="inlineStr">
        <is>
          <t>GÄVLEBORGS LÄN</t>
        </is>
      </c>
      <c r="E1515" t="inlineStr">
        <is>
          <t>BOLLNÄS</t>
        </is>
      </c>
      <c r="G1515" t="n">
        <v>3.8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54097-2025</t>
        </is>
      </c>
      <c r="B1516" s="1" t="n">
        <v>45964.40912037037</v>
      </c>
      <c r="C1516" s="1" t="n">
        <v>46180</v>
      </c>
      <c r="D1516" t="inlineStr">
        <is>
          <t>GÄVLEBORGS LÄN</t>
        </is>
      </c>
      <c r="E1516" t="inlineStr">
        <is>
          <t>BOLLNÄS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54149-2025</t>
        </is>
      </c>
      <c r="B1517" s="1" t="n">
        <v>45964.48533564815</v>
      </c>
      <c r="C1517" s="1" t="n">
        <v>46180</v>
      </c>
      <c r="D1517" t="inlineStr">
        <is>
          <t>GÄVLEBORGS LÄN</t>
        </is>
      </c>
      <c r="E1517" t="inlineStr">
        <is>
          <t>BOLLNÄS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54229-2025</t>
        </is>
      </c>
      <c r="B1518" s="1" t="n">
        <v>45964.61523148148</v>
      </c>
      <c r="C1518" s="1" t="n">
        <v>46180</v>
      </c>
      <c r="D1518" t="inlineStr">
        <is>
          <t>GÄVLEBORGS LÄN</t>
        </is>
      </c>
      <c r="E1518" t="inlineStr">
        <is>
          <t>BOLLNÄS</t>
        </is>
      </c>
      <c r="G1518" t="n">
        <v>6.2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54253-2025</t>
        </is>
      </c>
      <c r="B1519" s="1" t="n">
        <v>45964.65013888889</v>
      </c>
      <c r="C1519" s="1" t="n">
        <v>46180</v>
      </c>
      <c r="D1519" t="inlineStr">
        <is>
          <t>GÄVLEBORGS LÄN</t>
        </is>
      </c>
      <c r="E1519" t="inlineStr">
        <is>
          <t>BOLLNÄS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53817-2025</t>
        </is>
      </c>
      <c r="B1520" s="1" t="n">
        <v>45961.28778935185</v>
      </c>
      <c r="C1520" s="1" t="n">
        <v>46180</v>
      </c>
      <c r="D1520" t="inlineStr">
        <is>
          <t>GÄVLEBORGS LÄN</t>
        </is>
      </c>
      <c r="E1520" t="inlineStr">
        <is>
          <t>BOLLNÄS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53818-2025</t>
        </is>
      </c>
      <c r="B1521" s="1" t="n">
        <v>45961.29015046296</v>
      </c>
      <c r="C1521" s="1" t="n">
        <v>46180</v>
      </c>
      <c r="D1521" t="inlineStr">
        <is>
          <t>GÄVLEBORGS LÄN</t>
        </is>
      </c>
      <c r="E1521" t="inlineStr">
        <is>
          <t>BOLLNÄS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10838-2026</t>
        </is>
      </c>
      <c r="B1522" s="1" t="n">
        <v>46078</v>
      </c>
      <c r="C1522" s="1" t="n">
        <v>46180</v>
      </c>
      <c r="D1522" t="inlineStr">
        <is>
          <t>GÄVLEBORGS LÄN</t>
        </is>
      </c>
      <c r="E1522" t="inlineStr">
        <is>
          <t>BOLLNÄS</t>
        </is>
      </c>
      <c r="F1522" t="inlineStr">
        <is>
          <t>Bergvik skog väst AB</t>
        </is>
      </c>
      <c r="G1522" t="n">
        <v>7.8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54150-2025</t>
        </is>
      </c>
      <c r="B1523" s="1" t="n">
        <v>45964.48765046296</v>
      </c>
      <c r="C1523" s="1" t="n">
        <v>46180</v>
      </c>
      <c r="D1523" t="inlineStr">
        <is>
          <t>GÄVLEBORGS LÄN</t>
        </is>
      </c>
      <c r="E1523" t="inlineStr">
        <is>
          <t>BOLLNÄS</t>
        </is>
      </c>
      <c r="G1523" t="n">
        <v>3.6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54053-2025</t>
        </is>
      </c>
      <c r="B1524" s="1" t="n">
        <v>45964.28209490741</v>
      </c>
      <c r="C1524" s="1" t="n">
        <v>46180</v>
      </c>
      <c r="D1524" t="inlineStr">
        <is>
          <t>GÄVLEBORGS LÄN</t>
        </is>
      </c>
      <c r="E1524" t="inlineStr">
        <is>
          <t>BOLLNÄS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54013-2025</t>
        </is>
      </c>
      <c r="B1525" s="1" t="n">
        <v>45961.61868055556</v>
      </c>
      <c r="C1525" s="1" t="n">
        <v>46180</v>
      </c>
      <c r="D1525" t="inlineStr">
        <is>
          <t>GÄVLEBORGS LÄN</t>
        </is>
      </c>
      <c r="E1525" t="inlineStr">
        <is>
          <t>BOLLNÄS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11154-2026</t>
        </is>
      </c>
      <c r="B1526" s="1" t="n">
        <v>46080.33296296297</v>
      </c>
      <c r="C1526" s="1" t="n">
        <v>46180</v>
      </c>
      <c r="D1526" t="inlineStr">
        <is>
          <t>GÄVLEBORGS LÄN</t>
        </is>
      </c>
      <c r="E1526" t="inlineStr">
        <is>
          <t>BOLLNÄS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11185-2026</t>
        </is>
      </c>
      <c r="B1527" s="1" t="n">
        <v>46080.39857638889</v>
      </c>
      <c r="C1527" s="1" t="n">
        <v>46180</v>
      </c>
      <c r="D1527" t="inlineStr">
        <is>
          <t>GÄVLEBORGS LÄN</t>
        </is>
      </c>
      <c r="E1527" t="inlineStr">
        <is>
          <t>BOLLNÄS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11361-2026</t>
        </is>
      </c>
      <c r="B1528" s="1" t="n">
        <v>46083.35269675926</v>
      </c>
      <c r="C1528" s="1" t="n">
        <v>46180</v>
      </c>
      <c r="D1528" t="inlineStr">
        <is>
          <t>GÄVLEBORGS LÄN</t>
        </is>
      </c>
      <c r="E1528" t="inlineStr">
        <is>
          <t>BOLLNÄS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57887-2025</t>
        </is>
      </c>
      <c r="B1529" s="1" t="n">
        <v>45981</v>
      </c>
      <c r="C1529" s="1" t="n">
        <v>46180</v>
      </c>
      <c r="D1529" t="inlineStr">
        <is>
          <t>GÄVLEBORGS LÄN</t>
        </is>
      </c>
      <c r="E1529" t="inlineStr">
        <is>
          <t>BOLLNÄS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11344-2026</t>
        </is>
      </c>
      <c r="B1530" s="1" t="n">
        <v>46082</v>
      </c>
      <c r="C1530" s="1" t="n">
        <v>46180</v>
      </c>
      <c r="D1530" t="inlineStr">
        <is>
          <t>GÄVLEBORGS LÄN</t>
        </is>
      </c>
      <c r="E1530" t="inlineStr">
        <is>
          <t>BOLLNÄS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11345-2026</t>
        </is>
      </c>
      <c r="B1531" s="1" t="n">
        <v>46082</v>
      </c>
      <c r="C1531" s="1" t="n">
        <v>46180</v>
      </c>
      <c r="D1531" t="inlineStr">
        <is>
          <t>GÄVLEBORGS LÄN</t>
        </is>
      </c>
      <c r="E1531" t="inlineStr">
        <is>
          <t>BOLLNÄS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54423-2025</t>
        </is>
      </c>
      <c r="B1532" s="1" t="n">
        <v>45965.48761574074</v>
      </c>
      <c r="C1532" s="1" t="n">
        <v>46180</v>
      </c>
      <c r="D1532" t="inlineStr">
        <is>
          <t>GÄVLEBORGS LÄN</t>
        </is>
      </c>
      <c r="E1532" t="inlineStr">
        <is>
          <t>BOLLNÄS</t>
        </is>
      </c>
      <c r="F1532" t="inlineStr">
        <is>
          <t>Bergvik skog väst AB</t>
        </is>
      </c>
      <c r="G1532" t="n">
        <v>5.3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11366-2026</t>
        </is>
      </c>
      <c r="B1533" s="1" t="n">
        <v>46083.37273148148</v>
      </c>
      <c r="C1533" s="1" t="n">
        <v>46180</v>
      </c>
      <c r="D1533" t="inlineStr">
        <is>
          <t>GÄVLEBORGS LÄN</t>
        </is>
      </c>
      <c r="E1533" t="inlineStr">
        <is>
          <t>BOLLNÄS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31848-2021</t>
        </is>
      </c>
      <c r="B1534" s="1" t="n">
        <v>44370</v>
      </c>
      <c r="C1534" s="1" t="n">
        <v>46180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54370-2025</t>
        </is>
      </c>
      <c r="B1535" s="1" t="n">
        <v>45965.40790509259</v>
      </c>
      <c r="C1535" s="1" t="n">
        <v>46180</v>
      </c>
      <c r="D1535" t="inlineStr">
        <is>
          <t>GÄVLEBORGS LÄN</t>
        </is>
      </c>
      <c r="E1535" t="inlineStr">
        <is>
          <t>BOLLNÄS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11294-2026</t>
        </is>
      </c>
      <c r="B1536" s="1" t="n">
        <v>46080.61887731482</v>
      </c>
      <c r="C1536" s="1" t="n">
        <v>46180</v>
      </c>
      <c r="D1536" t="inlineStr">
        <is>
          <t>GÄVLEBORGS LÄN</t>
        </is>
      </c>
      <c r="E1536" t="inlineStr">
        <is>
          <t>BOLLNÄS</t>
        </is>
      </c>
      <c r="G1536" t="n">
        <v>5.7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11241-2026</t>
        </is>
      </c>
      <c r="B1537" s="1" t="n">
        <v>46080.52244212963</v>
      </c>
      <c r="C1537" s="1" t="n">
        <v>46180</v>
      </c>
      <c r="D1537" t="inlineStr">
        <is>
          <t>GÄVLEBORGS LÄN</t>
        </is>
      </c>
      <c r="E1537" t="inlineStr">
        <is>
          <t>BOLLNÄS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11301-2026</t>
        </is>
      </c>
      <c r="B1538" s="1" t="n">
        <v>46080.63306712963</v>
      </c>
      <c r="C1538" s="1" t="n">
        <v>46180</v>
      </c>
      <c r="D1538" t="inlineStr">
        <is>
          <t>GÄVLEBORGS LÄN</t>
        </is>
      </c>
      <c r="E1538" t="inlineStr">
        <is>
          <t>BOLLNÄS</t>
        </is>
      </c>
      <c r="G1538" t="n">
        <v>3.6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11515-2026</t>
        </is>
      </c>
      <c r="B1539" s="1" t="n">
        <v>46083.66195601852</v>
      </c>
      <c r="C1539" s="1" t="n">
        <v>46180</v>
      </c>
      <c r="D1539" t="inlineStr">
        <is>
          <t>GÄVLEBORGS LÄN</t>
        </is>
      </c>
      <c r="E1539" t="inlineStr">
        <is>
          <t>BOLLNÄS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11209-2026</t>
        </is>
      </c>
      <c r="B1540" s="1" t="n">
        <v>46080.45927083334</v>
      </c>
      <c r="C1540" s="1" t="n">
        <v>46180</v>
      </c>
      <c r="D1540" t="inlineStr">
        <is>
          <t>GÄVLEBORGS LÄN</t>
        </is>
      </c>
      <c r="E1540" t="inlineStr">
        <is>
          <t>BOLLNÄS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11217-2026</t>
        </is>
      </c>
      <c r="B1541" s="1" t="n">
        <v>46080</v>
      </c>
      <c r="C1541" s="1" t="n">
        <v>46180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Bergvik skog väst AB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11218-2026</t>
        </is>
      </c>
      <c r="B1542" s="1" t="n">
        <v>46080</v>
      </c>
      <c r="C1542" s="1" t="n">
        <v>46180</v>
      </c>
      <c r="D1542" t="inlineStr">
        <is>
          <t>GÄVLEBORGS LÄN</t>
        </is>
      </c>
      <c r="E1542" t="inlineStr">
        <is>
          <t>BOLLNÄS</t>
        </is>
      </c>
      <c r="F1542" t="inlineStr">
        <is>
          <t>Bergvik skog väst AB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11519-2026</t>
        </is>
      </c>
      <c r="B1543" s="1" t="n">
        <v>46083.66590277778</v>
      </c>
      <c r="C1543" s="1" t="n">
        <v>46180</v>
      </c>
      <c r="D1543" t="inlineStr">
        <is>
          <t>GÄVLEBORGS LÄN</t>
        </is>
      </c>
      <c r="E1543" t="inlineStr">
        <is>
          <t>BOLLNÄS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11139-2026</t>
        </is>
      </c>
      <c r="B1544" s="1" t="n">
        <v>46079.81462962963</v>
      </c>
      <c r="C1544" s="1" t="n">
        <v>46180</v>
      </c>
      <c r="D1544" t="inlineStr">
        <is>
          <t>GÄVLEBORGS LÄN</t>
        </is>
      </c>
      <c r="E1544" t="inlineStr">
        <is>
          <t>BOLLNÄS</t>
        </is>
      </c>
      <c r="G1544" t="n">
        <v>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11293-2026</t>
        </is>
      </c>
      <c r="B1545" s="1" t="n">
        <v>46080.61508101852</v>
      </c>
      <c r="C1545" s="1" t="n">
        <v>46180</v>
      </c>
      <c r="D1545" t="inlineStr">
        <is>
          <t>GÄVLEBORGS LÄN</t>
        </is>
      </c>
      <c r="E1545" t="inlineStr">
        <is>
          <t>BOLLNÄS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11308-2026</t>
        </is>
      </c>
      <c r="B1546" s="1" t="n">
        <v>46080.65394675926</v>
      </c>
      <c r="C1546" s="1" t="n">
        <v>46180</v>
      </c>
      <c r="D1546" t="inlineStr">
        <is>
          <t>GÄVLEBORGS LÄN</t>
        </is>
      </c>
      <c r="E1546" t="inlineStr">
        <is>
          <t>BOLLNÄS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11333-2026</t>
        </is>
      </c>
      <c r="B1547" s="1" t="n">
        <v>46082.4059837963</v>
      </c>
      <c r="C1547" s="1" t="n">
        <v>46180</v>
      </c>
      <c r="D1547" t="inlineStr">
        <is>
          <t>GÄVLEBORGS LÄN</t>
        </is>
      </c>
      <c r="E1547" t="inlineStr">
        <is>
          <t>BOLLNÄS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11369-2026</t>
        </is>
      </c>
      <c r="B1548" s="1" t="n">
        <v>46083.38438657407</v>
      </c>
      <c r="C1548" s="1" t="n">
        <v>46180</v>
      </c>
      <c r="D1548" t="inlineStr">
        <is>
          <t>GÄVLEBORGS LÄN</t>
        </is>
      </c>
      <c r="E1548" t="inlineStr">
        <is>
          <t>BOLLNÄS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11480-2026</t>
        </is>
      </c>
      <c r="B1549" s="1" t="n">
        <v>46083.60142361111</v>
      </c>
      <c r="C1549" s="1" t="n">
        <v>46180</v>
      </c>
      <c r="D1549" t="inlineStr">
        <is>
          <t>GÄVLEBORGS LÄN</t>
        </is>
      </c>
      <c r="E1549" t="inlineStr">
        <is>
          <t>BOLLNÄS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11153-2026</t>
        </is>
      </c>
      <c r="B1550" s="1" t="n">
        <v>46080</v>
      </c>
      <c r="C1550" s="1" t="n">
        <v>46180</v>
      </c>
      <c r="D1550" t="inlineStr">
        <is>
          <t>GÄVLEBORGS LÄN</t>
        </is>
      </c>
      <c r="E1550" t="inlineStr">
        <is>
          <t>BOLLNÄS</t>
        </is>
      </c>
      <c r="F1550" t="inlineStr">
        <is>
          <t>Bergvik skog väst AB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11135-2026</t>
        </is>
      </c>
      <c r="B1551" s="1" t="n">
        <v>46079.75282407407</v>
      </c>
      <c r="C1551" s="1" t="n">
        <v>46180</v>
      </c>
      <c r="D1551" t="inlineStr">
        <is>
          <t>GÄVLEBORGS LÄN</t>
        </is>
      </c>
      <c r="E1551" t="inlineStr">
        <is>
          <t>BOLLNÄS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11149-2026</t>
        </is>
      </c>
      <c r="B1552" s="1" t="n">
        <v>46080.28920138889</v>
      </c>
      <c r="C1552" s="1" t="n">
        <v>46180</v>
      </c>
      <c r="D1552" t="inlineStr">
        <is>
          <t>GÄVLEBORGS LÄN</t>
        </is>
      </c>
      <c r="E1552" t="inlineStr">
        <is>
          <t>BOLLNÄS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11164-2026</t>
        </is>
      </c>
      <c r="B1553" s="1" t="n">
        <v>46080.34565972222</v>
      </c>
      <c r="C1553" s="1" t="n">
        <v>46180</v>
      </c>
      <c r="D1553" t="inlineStr">
        <is>
          <t>GÄVLEBORGS LÄN</t>
        </is>
      </c>
      <c r="E1553" t="inlineStr">
        <is>
          <t>BOLLNÄS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11166-2026</t>
        </is>
      </c>
      <c r="B1554" s="1" t="n">
        <v>46080.35614583334</v>
      </c>
      <c r="C1554" s="1" t="n">
        <v>46180</v>
      </c>
      <c r="D1554" t="inlineStr">
        <is>
          <t>GÄVLEBORGS LÄN</t>
        </is>
      </c>
      <c r="E1554" t="inlineStr">
        <is>
          <t>BOLLNÄS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11189-2026</t>
        </is>
      </c>
      <c r="B1555" s="1" t="n">
        <v>46080.41451388889</v>
      </c>
      <c r="C1555" s="1" t="n">
        <v>46180</v>
      </c>
      <c r="D1555" t="inlineStr">
        <is>
          <t>GÄVLEBORGS LÄN</t>
        </is>
      </c>
      <c r="E1555" t="inlineStr">
        <is>
          <t>BOLLNÄS</t>
        </is>
      </c>
      <c r="G1555" t="n">
        <v>20.7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11206-2026</t>
        </is>
      </c>
      <c r="B1556" s="1" t="n">
        <v>46080</v>
      </c>
      <c r="C1556" s="1" t="n">
        <v>46180</v>
      </c>
      <c r="D1556" t="inlineStr">
        <is>
          <t>GÄVLEBORGS LÄN</t>
        </is>
      </c>
      <c r="E1556" t="inlineStr">
        <is>
          <t>BOLLNÄS</t>
        </is>
      </c>
      <c r="F1556" t="inlineStr">
        <is>
          <t>Bergvik skog väst AB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11227-2026</t>
        </is>
      </c>
      <c r="B1557" s="1" t="n">
        <v>46080.4875462963</v>
      </c>
      <c r="C1557" s="1" t="n">
        <v>46180</v>
      </c>
      <c r="D1557" t="inlineStr">
        <is>
          <t>GÄVLEBORGS LÄN</t>
        </is>
      </c>
      <c r="E1557" t="inlineStr">
        <is>
          <t>BOLLNÄS</t>
        </is>
      </c>
      <c r="F1557" t="inlineStr">
        <is>
          <t>Kommuner</t>
        </is>
      </c>
      <c r="G1557" t="n">
        <v>7.1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11289-2026</t>
        </is>
      </c>
      <c r="B1558" s="1" t="n">
        <v>46080</v>
      </c>
      <c r="C1558" s="1" t="n">
        <v>46180</v>
      </c>
      <c r="D1558" t="inlineStr">
        <is>
          <t>GÄVLEBORGS LÄN</t>
        </is>
      </c>
      <c r="E1558" t="inlineStr">
        <is>
          <t>BOLLNÄS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34464-2021</t>
        </is>
      </c>
      <c r="B1559" s="1" t="n">
        <v>44381</v>
      </c>
      <c r="C1559" s="1" t="n">
        <v>46180</v>
      </c>
      <c r="D1559" t="inlineStr">
        <is>
          <t>GÄVLEBORGS LÄN</t>
        </is>
      </c>
      <c r="E1559" t="inlineStr">
        <is>
          <t>BOLLNÄS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34562-2021</t>
        </is>
      </c>
      <c r="B1560" s="1" t="n">
        <v>44382</v>
      </c>
      <c r="C1560" s="1" t="n">
        <v>46180</v>
      </c>
      <c r="D1560" t="inlineStr">
        <is>
          <t>GÄVLEBORGS LÄN</t>
        </is>
      </c>
      <c r="E1560" t="inlineStr">
        <is>
          <t>BOLLNÄS</t>
        </is>
      </c>
      <c r="F1560" t="inlineStr">
        <is>
          <t>Bergvik skog väst AB</t>
        </is>
      </c>
      <c r="G1560" t="n">
        <v>8.800000000000001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11328-2026</t>
        </is>
      </c>
      <c r="B1561" s="1" t="n">
        <v>46081.50668981481</v>
      </c>
      <c r="C1561" s="1" t="n">
        <v>46180</v>
      </c>
      <c r="D1561" t="inlineStr">
        <is>
          <t>GÄVLEBORGS LÄN</t>
        </is>
      </c>
      <c r="E1561" t="inlineStr">
        <is>
          <t>BOLLNÄS</t>
        </is>
      </c>
      <c r="G1561" t="n">
        <v>5.1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11343-2026</t>
        </is>
      </c>
      <c r="B1562" s="1" t="n">
        <v>46082</v>
      </c>
      <c r="C1562" s="1" t="n">
        <v>46180</v>
      </c>
      <c r="D1562" t="inlineStr">
        <is>
          <t>GÄVLEBORGS LÄN</t>
        </is>
      </c>
      <c r="E1562" t="inlineStr">
        <is>
          <t>BOLLNÄS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11356-2026</t>
        </is>
      </c>
      <c r="B1563" s="1" t="n">
        <v>46083</v>
      </c>
      <c r="C1563" s="1" t="n">
        <v>46180</v>
      </c>
      <c r="D1563" t="inlineStr">
        <is>
          <t>GÄVLEBORGS LÄN</t>
        </is>
      </c>
      <c r="E1563" t="inlineStr">
        <is>
          <t>BOLLNÄS</t>
        </is>
      </c>
      <c r="F1563" t="inlineStr">
        <is>
          <t>Bergvik skog väst AB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11210-2026</t>
        </is>
      </c>
      <c r="B1564" s="1" t="n">
        <v>46080.46190972222</v>
      </c>
      <c r="C1564" s="1" t="n">
        <v>46180</v>
      </c>
      <c r="D1564" t="inlineStr">
        <is>
          <t>GÄVLEBORGS LÄN</t>
        </is>
      </c>
      <c r="E1564" t="inlineStr">
        <is>
          <t>BOLLNÄS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11929-2026</t>
        </is>
      </c>
      <c r="B1565" s="1" t="n">
        <v>46085</v>
      </c>
      <c r="C1565" s="1" t="n">
        <v>46180</v>
      </c>
      <c r="D1565" t="inlineStr">
        <is>
          <t>GÄVLEBORGS LÄN</t>
        </is>
      </c>
      <c r="E1565" t="inlineStr">
        <is>
          <t>BOLLNÄS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11939-2026</t>
        </is>
      </c>
      <c r="B1566" s="1" t="n">
        <v>46085</v>
      </c>
      <c r="C1566" s="1" t="n">
        <v>46180</v>
      </c>
      <c r="D1566" t="inlineStr">
        <is>
          <t>GÄVLEBORGS LÄN</t>
        </is>
      </c>
      <c r="E1566" t="inlineStr">
        <is>
          <t>BOLLNÄS</t>
        </is>
      </c>
      <c r="G1566" t="n">
        <v>4.1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12013-2026</t>
        </is>
      </c>
      <c r="B1567" s="1" t="n">
        <v>46085</v>
      </c>
      <c r="C1567" s="1" t="n">
        <v>46180</v>
      </c>
      <c r="D1567" t="inlineStr">
        <is>
          <t>GÄVLEBORGS LÄN</t>
        </is>
      </c>
      <c r="E1567" t="inlineStr">
        <is>
          <t>BOLLNÄS</t>
        </is>
      </c>
      <c r="F1567" t="inlineStr">
        <is>
          <t>Kyrkan</t>
        </is>
      </c>
      <c r="G1567" t="n">
        <v>4.7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11613-2026</t>
        </is>
      </c>
      <c r="B1568" s="1" t="n">
        <v>46084.44259259259</v>
      </c>
      <c r="C1568" s="1" t="n">
        <v>46180</v>
      </c>
      <c r="D1568" t="inlineStr">
        <is>
          <t>GÄVLEBORGS LÄN</t>
        </is>
      </c>
      <c r="E1568" t="inlineStr">
        <is>
          <t>BOLLNÄS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11656-2026</t>
        </is>
      </c>
      <c r="B1569" s="1" t="n">
        <v>46084.53690972222</v>
      </c>
      <c r="C1569" s="1" t="n">
        <v>46180</v>
      </c>
      <c r="D1569" t="inlineStr">
        <is>
          <t>GÄVLEBORGS LÄN</t>
        </is>
      </c>
      <c r="E1569" t="inlineStr">
        <is>
          <t>BOLLNÄS</t>
        </is>
      </c>
      <c r="G1569" t="n">
        <v>7.1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11906-2026</t>
        </is>
      </c>
      <c r="B1570" s="1" t="n">
        <v>46085.54364583334</v>
      </c>
      <c r="C1570" s="1" t="n">
        <v>46180</v>
      </c>
      <c r="D1570" t="inlineStr">
        <is>
          <t>GÄVLEBORGS LÄN</t>
        </is>
      </c>
      <c r="E1570" t="inlineStr">
        <is>
          <t>BOLLNÄS</t>
        </is>
      </c>
      <c r="F1570" t="inlineStr">
        <is>
          <t>Bergvik skog väst AB</t>
        </is>
      </c>
      <c r="G1570" t="n">
        <v>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11591-2026</t>
        </is>
      </c>
      <c r="B1571" s="1" t="n">
        <v>46084</v>
      </c>
      <c r="C1571" s="1" t="n">
        <v>46180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Bergvik skog väst AB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11546-2026</t>
        </is>
      </c>
      <c r="B1572" s="1" t="n">
        <v>46084.24528935185</v>
      </c>
      <c r="C1572" s="1" t="n">
        <v>46180</v>
      </c>
      <c r="D1572" t="inlineStr">
        <is>
          <t>GÄVLEBORGS LÄN</t>
        </is>
      </c>
      <c r="E1572" t="inlineStr">
        <is>
          <t>BOLLNÄS</t>
        </is>
      </c>
      <c r="G1572" t="n">
        <v>3.3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11547-2026</t>
        </is>
      </c>
      <c r="B1573" s="1" t="n">
        <v>46084.25488425926</v>
      </c>
      <c r="C1573" s="1" t="n">
        <v>46180</v>
      </c>
      <c r="D1573" t="inlineStr">
        <is>
          <t>GÄVLEBORGS LÄN</t>
        </is>
      </c>
      <c r="E1573" t="inlineStr">
        <is>
          <t>BOLLNÄS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11552-2026</t>
        </is>
      </c>
      <c r="B1574" s="1" t="n">
        <v>46084.31731481481</v>
      </c>
      <c r="C1574" s="1" t="n">
        <v>46180</v>
      </c>
      <c r="D1574" t="inlineStr">
        <is>
          <t>GÄVLEBORGS LÄN</t>
        </is>
      </c>
      <c r="E1574" t="inlineStr">
        <is>
          <t>BOLLNÄS</t>
        </is>
      </c>
      <c r="G1574" t="n">
        <v>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11679-2026</t>
        </is>
      </c>
      <c r="B1575" s="1" t="n">
        <v>46084.57226851852</v>
      </c>
      <c r="C1575" s="1" t="n">
        <v>46180</v>
      </c>
      <c r="D1575" t="inlineStr">
        <is>
          <t>GÄVLEBORGS LÄN</t>
        </is>
      </c>
      <c r="E1575" t="inlineStr">
        <is>
          <t>BOLLNÄS</t>
        </is>
      </c>
      <c r="G1575" t="n">
        <v>11.9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11680-2026</t>
        </is>
      </c>
      <c r="B1576" s="1" t="n">
        <v>46084.57291666666</v>
      </c>
      <c r="C1576" s="1" t="n">
        <v>46180</v>
      </c>
      <c r="D1576" t="inlineStr">
        <is>
          <t>GÄVLEBORGS LÄN</t>
        </is>
      </c>
      <c r="E1576" t="inlineStr">
        <is>
          <t>BOLLNÄS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11550-2026</t>
        </is>
      </c>
      <c r="B1577" s="1" t="n">
        <v>46084.31346064815</v>
      </c>
      <c r="C1577" s="1" t="n">
        <v>46180</v>
      </c>
      <c r="D1577" t="inlineStr">
        <is>
          <t>GÄVLEBORGS LÄN</t>
        </is>
      </c>
      <c r="E1577" t="inlineStr">
        <is>
          <t>BOLLNÄS</t>
        </is>
      </c>
      <c r="G1577" t="n">
        <v>14.1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11729-2026</t>
        </is>
      </c>
      <c r="B1578" s="1" t="n">
        <v>46084.63584490741</v>
      </c>
      <c r="C1578" s="1" t="n">
        <v>46180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11844-2026</t>
        </is>
      </c>
      <c r="B1579" s="1" t="n">
        <v>46085.45496527778</v>
      </c>
      <c r="C1579" s="1" t="n">
        <v>46180</v>
      </c>
      <c r="D1579" t="inlineStr">
        <is>
          <t>GÄVLEBORGS LÄN</t>
        </is>
      </c>
      <c r="E1579" t="inlineStr">
        <is>
          <t>BOLLNÄS</t>
        </is>
      </c>
      <c r="F1579" t="inlineStr">
        <is>
          <t>Bergvik skog väst AB</t>
        </is>
      </c>
      <c r="G1579" t="n">
        <v>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11854-2026</t>
        </is>
      </c>
      <c r="B1580" s="1" t="n">
        <v>46085.46924768519</v>
      </c>
      <c r="C1580" s="1" t="n">
        <v>46180</v>
      </c>
      <c r="D1580" t="inlineStr">
        <is>
          <t>GÄVLEBORGS LÄN</t>
        </is>
      </c>
      <c r="E1580" t="inlineStr">
        <is>
          <t>BOLLNÄS</t>
        </is>
      </c>
      <c r="F1580" t="inlineStr">
        <is>
          <t>Bergvik skog väst AB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11805-2026</t>
        </is>
      </c>
      <c r="B1581" s="1" t="n">
        <v>46085.35973379629</v>
      </c>
      <c r="C1581" s="1" t="n">
        <v>46180</v>
      </c>
      <c r="D1581" t="inlineStr">
        <is>
          <t>GÄVLEBORGS LÄN</t>
        </is>
      </c>
      <c r="E1581" t="inlineStr">
        <is>
          <t>BOLLNÄS</t>
        </is>
      </c>
      <c r="F1581" t="inlineStr">
        <is>
          <t>Bergvik skog väst AB</t>
        </is>
      </c>
      <c r="G1581" t="n">
        <v>5.1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59331-2022</t>
        </is>
      </c>
      <c r="B1582" s="1" t="n">
        <v>44904.6508912037</v>
      </c>
      <c r="C1582" s="1" t="n">
        <v>46180</v>
      </c>
      <c r="D1582" t="inlineStr">
        <is>
          <t>GÄVLEBORGS LÄN</t>
        </is>
      </c>
      <c r="E1582" t="inlineStr">
        <is>
          <t>BOLLNÄS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11866-2026</t>
        </is>
      </c>
      <c r="B1583" s="1" t="n">
        <v>46085.48005787037</v>
      </c>
      <c r="C1583" s="1" t="n">
        <v>46180</v>
      </c>
      <c r="D1583" t="inlineStr">
        <is>
          <t>GÄVLEBORGS LÄN</t>
        </is>
      </c>
      <c r="E1583" t="inlineStr">
        <is>
          <t>BOLLNÄS</t>
        </is>
      </c>
      <c r="F1583" t="inlineStr">
        <is>
          <t>Bergvik skog väst AB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11931-2026</t>
        </is>
      </c>
      <c r="B1584" s="1" t="n">
        <v>46085</v>
      </c>
      <c r="C1584" s="1" t="n">
        <v>46180</v>
      </c>
      <c r="D1584" t="inlineStr">
        <is>
          <t>GÄVLEBORGS LÄN</t>
        </is>
      </c>
      <c r="E1584" t="inlineStr">
        <is>
          <t>BOLLNÄS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29219-2024</t>
        </is>
      </c>
      <c r="B1585" s="1" t="n">
        <v>45482.70034722222</v>
      </c>
      <c r="C1585" s="1" t="n">
        <v>46180</v>
      </c>
      <c r="D1585" t="inlineStr">
        <is>
          <t>GÄVLEBORGS LÄN</t>
        </is>
      </c>
      <c r="E1585" t="inlineStr">
        <is>
          <t>BOLLNÄS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11936-2026</t>
        </is>
      </c>
      <c r="B1586" s="1" t="n">
        <v>46085</v>
      </c>
      <c r="C1586" s="1" t="n">
        <v>46180</v>
      </c>
      <c r="D1586" t="inlineStr">
        <is>
          <t>GÄVLEBORGS LÄN</t>
        </is>
      </c>
      <c r="E1586" t="inlineStr">
        <is>
          <t>BOLLNÄS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11937-2026</t>
        </is>
      </c>
      <c r="B1587" s="1" t="n">
        <v>46085</v>
      </c>
      <c r="C1587" s="1" t="n">
        <v>46180</v>
      </c>
      <c r="D1587" t="inlineStr">
        <is>
          <t>GÄVLEBORGS LÄN</t>
        </is>
      </c>
      <c r="E1587" t="inlineStr">
        <is>
          <t>BOLLNÄS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14913-2025</t>
        </is>
      </c>
      <c r="B1588" s="1" t="n">
        <v>45743.52796296297</v>
      </c>
      <c r="C1588" s="1" t="n">
        <v>46180</v>
      </c>
      <c r="D1588" t="inlineStr">
        <is>
          <t>GÄVLEBORGS LÄN</t>
        </is>
      </c>
      <c r="E1588" t="inlineStr">
        <is>
          <t>BOLLNÄS</t>
        </is>
      </c>
      <c r="F1588" t="inlineStr">
        <is>
          <t>Bergvik skog väst AB</t>
        </is>
      </c>
      <c r="G1588" t="n">
        <v>9.199999999999999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12001-2026</t>
        </is>
      </c>
      <c r="B1589" s="1" t="n">
        <v>46085.66960648148</v>
      </c>
      <c r="C1589" s="1" t="n">
        <v>46180</v>
      </c>
      <c r="D1589" t="inlineStr">
        <is>
          <t>GÄVLEBORGS LÄN</t>
        </is>
      </c>
      <c r="E1589" t="inlineStr">
        <is>
          <t>BOLLNÄS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12007-2026</t>
        </is>
      </c>
      <c r="B1590" s="1" t="n">
        <v>46085.68770833333</v>
      </c>
      <c r="C1590" s="1" t="n">
        <v>46180</v>
      </c>
      <c r="D1590" t="inlineStr">
        <is>
          <t>GÄVLEBORGS LÄN</t>
        </is>
      </c>
      <c r="E1590" t="inlineStr">
        <is>
          <t>BOLLNÄS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12014-2026</t>
        </is>
      </c>
      <c r="B1591" s="1" t="n">
        <v>46085.69798611111</v>
      </c>
      <c r="C1591" s="1" t="n">
        <v>46180</v>
      </c>
      <c r="D1591" t="inlineStr">
        <is>
          <t>GÄVLEBORGS LÄN</t>
        </is>
      </c>
      <c r="E1591" t="inlineStr">
        <is>
          <t>BOLLNÄS</t>
        </is>
      </c>
      <c r="G1591" t="n">
        <v>4.9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11658-2026</t>
        </is>
      </c>
      <c r="B1592" s="1" t="n">
        <v>46084.53973379629</v>
      </c>
      <c r="C1592" s="1" t="n">
        <v>46180</v>
      </c>
      <c r="D1592" t="inlineStr">
        <is>
          <t>GÄVLEBORGS LÄN</t>
        </is>
      </c>
      <c r="E1592" t="inlineStr">
        <is>
          <t>BOLLNÄS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6219-2025</t>
        </is>
      </c>
      <c r="B1593" s="1" t="n">
        <v>45698.53550925926</v>
      </c>
      <c r="C1593" s="1" t="n">
        <v>46180</v>
      </c>
      <c r="D1593" t="inlineStr">
        <is>
          <t>GÄVLEBORGS LÄN</t>
        </is>
      </c>
      <c r="E1593" t="inlineStr">
        <is>
          <t>BOLLNÄS</t>
        </is>
      </c>
      <c r="G1593" t="n">
        <v>3.7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11742-2026</t>
        </is>
      </c>
      <c r="B1594" s="1" t="n">
        <v>46084</v>
      </c>
      <c r="C1594" s="1" t="n">
        <v>46180</v>
      </c>
      <c r="D1594" t="inlineStr">
        <is>
          <t>GÄVLEBORGS LÄN</t>
        </is>
      </c>
      <c r="E1594" t="inlineStr">
        <is>
          <t>BOLLNÄS</t>
        </is>
      </c>
      <c r="F1594" t="inlineStr">
        <is>
          <t>Bergvik skog väst AB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11545-2026</t>
        </is>
      </c>
      <c r="B1595" s="1" t="n">
        <v>46084.23214120371</v>
      </c>
      <c r="C1595" s="1" t="n">
        <v>46180</v>
      </c>
      <c r="D1595" t="inlineStr">
        <is>
          <t>GÄVLEBORGS LÄN</t>
        </is>
      </c>
      <c r="E1595" t="inlineStr">
        <is>
          <t>BOLLNÄS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11594-2026</t>
        </is>
      </c>
      <c r="B1596" s="1" t="n">
        <v>46084</v>
      </c>
      <c r="C1596" s="1" t="n">
        <v>46180</v>
      </c>
      <c r="D1596" t="inlineStr">
        <is>
          <t>GÄVLEBORGS LÄN</t>
        </is>
      </c>
      <c r="E1596" t="inlineStr">
        <is>
          <t>BOLLNÄS</t>
        </is>
      </c>
      <c r="F1596" t="inlineStr">
        <is>
          <t>Bergvik skog väst AB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55191-2025</t>
        </is>
      </c>
      <c r="B1597" s="1" t="n">
        <v>45968.5480787037</v>
      </c>
      <c r="C1597" s="1" t="n">
        <v>46180</v>
      </c>
      <c r="D1597" t="inlineStr">
        <is>
          <t>GÄVLEBORGS LÄN</t>
        </is>
      </c>
      <c r="E1597" t="inlineStr">
        <is>
          <t>BOLLNÄS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11881-2026</t>
        </is>
      </c>
      <c r="B1598" s="1" t="n">
        <v>46085</v>
      </c>
      <c r="C1598" s="1" t="n">
        <v>46180</v>
      </c>
      <c r="D1598" t="inlineStr">
        <is>
          <t>GÄVLEBORGS LÄN</t>
        </is>
      </c>
      <c r="E1598" t="inlineStr">
        <is>
          <t>BOLLNÄS</t>
        </is>
      </c>
      <c r="F1598" t="inlineStr">
        <is>
          <t>Bergvik skog väst AB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11942-2026</t>
        </is>
      </c>
      <c r="B1599" s="1" t="n">
        <v>46085</v>
      </c>
      <c r="C1599" s="1" t="n">
        <v>46180</v>
      </c>
      <c r="D1599" t="inlineStr">
        <is>
          <t>GÄVLEBORGS LÄN</t>
        </is>
      </c>
      <c r="E1599" t="inlineStr">
        <is>
          <t>BOLLNÄS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11948-2026</t>
        </is>
      </c>
      <c r="B1600" s="1" t="n">
        <v>46085.6009375</v>
      </c>
      <c r="C1600" s="1" t="n">
        <v>46180</v>
      </c>
      <c r="D1600" t="inlineStr">
        <is>
          <t>GÄVLEBORGS LÄN</t>
        </is>
      </c>
      <c r="E1600" t="inlineStr">
        <is>
          <t>BOLLNÄS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62123-2024</t>
        </is>
      </c>
      <c r="B1601" s="1" t="n">
        <v>45646</v>
      </c>
      <c r="C1601" s="1" t="n">
        <v>46180</v>
      </c>
      <c r="D1601" t="inlineStr">
        <is>
          <t>GÄVLEBORGS LÄN</t>
        </is>
      </c>
      <c r="E1601" t="inlineStr">
        <is>
          <t>BOLLNÄS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11994-2026</t>
        </is>
      </c>
      <c r="B1602" s="1" t="n">
        <v>46085</v>
      </c>
      <c r="C1602" s="1" t="n">
        <v>46180</v>
      </c>
      <c r="D1602" t="inlineStr">
        <is>
          <t>GÄVLEBORGS LÄN</t>
        </is>
      </c>
      <c r="E1602" t="inlineStr">
        <is>
          <t>BOLLNÄS</t>
        </is>
      </c>
      <c r="G1602" t="n">
        <v>4.2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12002-2026</t>
        </is>
      </c>
      <c r="B1603" s="1" t="n">
        <v>46085.67070601852</v>
      </c>
      <c r="C1603" s="1" t="n">
        <v>46180</v>
      </c>
      <c r="D1603" t="inlineStr">
        <is>
          <t>GÄVLEBORGS LÄN</t>
        </is>
      </c>
      <c r="E1603" t="inlineStr">
        <is>
          <t>BOLLNÄS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12006-2026</t>
        </is>
      </c>
      <c r="B1604" s="1" t="n">
        <v>46085.68457175926</v>
      </c>
      <c r="C1604" s="1" t="n">
        <v>46180</v>
      </c>
      <c r="D1604" t="inlineStr">
        <is>
          <t>GÄVLEBORGS LÄN</t>
        </is>
      </c>
      <c r="E1604" t="inlineStr">
        <is>
          <t>BOLLNÄS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12010-2026</t>
        </is>
      </c>
      <c r="B1605" s="1" t="n">
        <v>46085.69233796297</v>
      </c>
      <c r="C1605" s="1" t="n">
        <v>46180</v>
      </c>
      <c r="D1605" t="inlineStr">
        <is>
          <t>GÄVLEBORGS LÄN</t>
        </is>
      </c>
      <c r="E1605" t="inlineStr">
        <is>
          <t>BOLLNÄS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15142-2023</t>
        </is>
      </c>
      <c r="B1606" s="1" t="n">
        <v>45016</v>
      </c>
      <c r="C1606" s="1" t="n">
        <v>46180</v>
      </c>
      <c r="D1606" t="inlineStr">
        <is>
          <t>GÄVLEBORGS LÄN</t>
        </is>
      </c>
      <c r="E1606" t="inlineStr">
        <is>
          <t>BOLLNÄS</t>
        </is>
      </c>
      <c r="G1606" t="n">
        <v>4.7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11883-2026</t>
        </is>
      </c>
      <c r="B1607" s="1" t="n">
        <v>46085.50563657407</v>
      </c>
      <c r="C1607" s="1" t="n">
        <v>46180</v>
      </c>
      <c r="D1607" t="inlineStr">
        <is>
          <t>GÄVLEBORGS LÄN</t>
        </is>
      </c>
      <c r="E1607" t="inlineStr">
        <is>
          <t>BOLLNÄS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55164-2025</t>
        </is>
      </c>
      <c r="B1608" s="1" t="n">
        <v>45968.48046296297</v>
      </c>
      <c r="C1608" s="1" t="n">
        <v>46180</v>
      </c>
      <c r="D1608" t="inlineStr">
        <is>
          <t>GÄVLEBORGS LÄN</t>
        </is>
      </c>
      <c r="E1608" t="inlineStr">
        <is>
          <t>BOLLNÄS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226-2025</t>
        </is>
      </c>
      <c r="B1609" s="1" t="n">
        <v>45660</v>
      </c>
      <c r="C1609" s="1" t="n">
        <v>46180</v>
      </c>
      <c r="D1609" t="inlineStr">
        <is>
          <t>GÄVLEBORGS LÄN</t>
        </is>
      </c>
      <c r="E1609" t="inlineStr">
        <is>
          <t>BOLLNÄS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30523-2021</t>
        </is>
      </c>
      <c r="B1610" s="1" t="n">
        <v>44364</v>
      </c>
      <c r="C1610" s="1" t="n">
        <v>46180</v>
      </c>
      <c r="D1610" t="inlineStr">
        <is>
          <t>GÄVLEBORGS LÄN</t>
        </is>
      </c>
      <c r="E1610" t="inlineStr">
        <is>
          <t>BOLLNÄS</t>
        </is>
      </c>
      <c r="G1610" t="n">
        <v>3.2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5778-2026</t>
        </is>
      </c>
      <c r="B1611" s="1" t="n">
        <v>46051.65603009259</v>
      </c>
      <c r="C1611" s="1" t="n">
        <v>46180</v>
      </c>
      <c r="D1611" t="inlineStr">
        <is>
          <t>GÄVLEBORGS LÄN</t>
        </is>
      </c>
      <c r="E1611" t="inlineStr">
        <is>
          <t>BOLLNÄS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2935-2023</t>
        </is>
      </c>
      <c r="B1612" s="1" t="n">
        <v>44944</v>
      </c>
      <c r="C1612" s="1" t="n">
        <v>46180</v>
      </c>
      <c r="D1612" t="inlineStr">
        <is>
          <t>GÄVLEBORGS LÄN</t>
        </is>
      </c>
      <c r="E1612" t="inlineStr">
        <is>
          <t>BOLLNÄS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2798-2025</t>
        </is>
      </c>
      <c r="B1613" s="1" t="n">
        <v>45677.57865740741</v>
      </c>
      <c r="C1613" s="1" t="n">
        <v>46180</v>
      </c>
      <c r="D1613" t="inlineStr">
        <is>
          <t>GÄVLEBORGS LÄN</t>
        </is>
      </c>
      <c r="E1613" t="inlineStr">
        <is>
          <t>BOLLNÄS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11561-2026</t>
        </is>
      </c>
      <c r="B1614" s="1" t="n">
        <v>46084.35042824074</v>
      </c>
      <c r="C1614" s="1" t="n">
        <v>46180</v>
      </c>
      <c r="D1614" t="inlineStr">
        <is>
          <t>GÄVLEBORGS LÄN</t>
        </is>
      </c>
      <c r="E1614" t="inlineStr">
        <is>
          <t>BOLLNÄS</t>
        </is>
      </c>
      <c r="G1614" t="n">
        <v>8.199999999999999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11840-2026</t>
        </is>
      </c>
      <c r="B1615" s="1" t="n">
        <v>46085</v>
      </c>
      <c r="C1615" s="1" t="n">
        <v>46180</v>
      </c>
      <c r="D1615" t="inlineStr">
        <is>
          <t>GÄVLEBORGS LÄN</t>
        </is>
      </c>
      <c r="E1615" t="inlineStr">
        <is>
          <t>BOLLNÄS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12134-2026</t>
        </is>
      </c>
      <c r="B1616" s="1" t="n">
        <v>46086</v>
      </c>
      <c r="C1616" s="1" t="n">
        <v>46180</v>
      </c>
      <c r="D1616" t="inlineStr">
        <is>
          <t>GÄVLEBORGS LÄN</t>
        </is>
      </c>
      <c r="E1616" t="inlineStr">
        <is>
          <t>BOLLNÄS</t>
        </is>
      </c>
      <c r="F1616" t="inlineStr">
        <is>
          <t>Bergvik skog väst AB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12139-2026</t>
        </is>
      </c>
      <c r="B1617" s="1" t="n">
        <v>46086</v>
      </c>
      <c r="C1617" s="1" t="n">
        <v>46180</v>
      </c>
      <c r="D1617" t="inlineStr">
        <is>
          <t>GÄVLEBORGS LÄN</t>
        </is>
      </c>
      <c r="E1617" t="inlineStr">
        <is>
          <t>BOLLNÄS</t>
        </is>
      </c>
      <c r="F1617" t="inlineStr">
        <is>
          <t>Bergvik skog väst AB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12145-2026</t>
        </is>
      </c>
      <c r="B1618" s="1" t="n">
        <v>46086.58074074074</v>
      </c>
      <c r="C1618" s="1" t="n">
        <v>46180</v>
      </c>
      <c r="D1618" t="inlineStr">
        <is>
          <t>GÄVLEBORGS LÄN</t>
        </is>
      </c>
      <c r="E1618" t="inlineStr">
        <is>
          <t>BOLLNÄS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12275-2026</t>
        </is>
      </c>
      <c r="B1619" s="1" t="n">
        <v>46087.52469907407</v>
      </c>
      <c r="C1619" s="1" t="n">
        <v>46180</v>
      </c>
      <c r="D1619" t="inlineStr">
        <is>
          <t>GÄVLEBORGS LÄN</t>
        </is>
      </c>
      <c r="E1619" t="inlineStr">
        <is>
          <t>BOLLNÄS</t>
        </is>
      </c>
      <c r="F1619" t="inlineStr">
        <is>
          <t>Kyrkan</t>
        </is>
      </c>
      <c r="G1619" t="n">
        <v>3.5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56188-2025</t>
        </is>
      </c>
      <c r="B1620" s="1" t="n">
        <v>45974.42587962963</v>
      </c>
      <c r="C1620" s="1" t="n">
        <v>46180</v>
      </c>
      <c r="D1620" t="inlineStr">
        <is>
          <t>GÄVLEBORGS LÄN</t>
        </is>
      </c>
      <c r="E1620" t="inlineStr">
        <is>
          <t>BOLLNÄS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12324-2026</t>
        </is>
      </c>
      <c r="B1621" s="1" t="n">
        <v>46087.60901620371</v>
      </c>
      <c r="C1621" s="1" t="n">
        <v>46180</v>
      </c>
      <c r="D1621" t="inlineStr">
        <is>
          <t>GÄVLEBORGS LÄN</t>
        </is>
      </c>
      <c r="E1621" t="inlineStr">
        <is>
          <t>BOLLNÄS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12141-2026</t>
        </is>
      </c>
      <c r="B1622" s="1" t="n">
        <v>46086.57013888889</v>
      </c>
      <c r="C1622" s="1" t="n">
        <v>46180</v>
      </c>
      <c r="D1622" t="inlineStr">
        <is>
          <t>GÄVLEBORGS LÄN</t>
        </is>
      </c>
      <c r="E1622" t="inlineStr">
        <is>
          <t>BOLLNÄS</t>
        </is>
      </c>
      <c r="G1622" t="n">
        <v>7.3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12065-2026</t>
        </is>
      </c>
      <c r="B1623" s="1" t="n">
        <v>46086</v>
      </c>
      <c r="C1623" s="1" t="n">
        <v>46180</v>
      </c>
      <c r="D1623" t="inlineStr">
        <is>
          <t>GÄVLEBORGS LÄN</t>
        </is>
      </c>
      <c r="E1623" t="inlineStr">
        <is>
          <t>BOLLNÄS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12325-2026</t>
        </is>
      </c>
      <c r="B1624" s="1" t="n">
        <v>46087.6118287037</v>
      </c>
      <c r="C1624" s="1" t="n">
        <v>46180</v>
      </c>
      <c r="D1624" t="inlineStr">
        <is>
          <t>GÄVLEBORGS LÄN</t>
        </is>
      </c>
      <c r="E1624" t="inlineStr">
        <is>
          <t>BOLLNÄS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55930-2025</t>
        </is>
      </c>
      <c r="B1625" s="1" t="n">
        <v>45973.43680555555</v>
      </c>
      <c r="C1625" s="1" t="n">
        <v>46180</v>
      </c>
      <c r="D1625" t="inlineStr">
        <is>
          <t>GÄVLEBORGS LÄN</t>
        </is>
      </c>
      <c r="E1625" t="inlineStr">
        <is>
          <t>BOLLNÄS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9050-2026</t>
        </is>
      </c>
      <c r="B1626" s="1" t="n">
        <v>46069</v>
      </c>
      <c r="C1626" s="1" t="n">
        <v>46180</v>
      </c>
      <c r="D1626" t="inlineStr">
        <is>
          <t>GÄVLEBORGS LÄN</t>
        </is>
      </c>
      <c r="E1626" t="inlineStr">
        <is>
          <t>BOLLNÄS</t>
        </is>
      </c>
      <c r="F1626" t="inlineStr">
        <is>
          <t>Bergvik skog väst AB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12239-2026</t>
        </is>
      </c>
      <c r="B1627" s="1" t="n">
        <v>46087</v>
      </c>
      <c r="C1627" s="1" t="n">
        <v>46180</v>
      </c>
      <c r="D1627" t="inlineStr">
        <is>
          <t>GÄVLEBORGS LÄN</t>
        </is>
      </c>
      <c r="E1627" t="inlineStr">
        <is>
          <t>BOLLNÄS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12243-2026</t>
        </is>
      </c>
      <c r="B1628" s="1" t="n">
        <v>46087</v>
      </c>
      <c r="C1628" s="1" t="n">
        <v>46180</v>
      </c>
      <c r="D1628" t="inlineStr">
        <is>
          <t>GÄVLEBORGS LÄN</t>
        </is>
      </c>
      <c r="E1628" t="inlineStr">
        <is>
          <t>BOLLNÄS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12138-2026</t>
        </is>
      </c>
      <c r="B1629" s="1" t="n">
        <v>46086.56346064815</v>
      </c>
      <c r="C1629" s="1" t="n">
        <v>46180</v>
      </c>
      <c r="D1629" t="inlineStr">
        <is>
          <t>GÄVLEBORGS LÄN</t>
        </is>
      </c>
      <c r="E1629" t="inlineStr">
        <is>
          <t>BOLLNÄS</t>
        </is>
      </c>
      <c r="G1629" t="n">
        <v>13.4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12142-2026</t>
        </is>
      </c>
      <c r="B1630" s="1" t="n">
        <v>46086</v>
      </c>
      <c r="C1630" s="1" t="n">
        <v>46180</v>
      </c>
      <c r="D1630" t="inlineStr">
        <is>
          <t>GÄVLEBORGS LÄN</t>
        </is>
      </c>
      <c r="E1630" t="inlineStr">
        <is>
          <t>BOLLNÄS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12207-2026</t>
        </is>
      </c>
      <c r="B1631" s="1" t="n">
        <v>46087.33609953704</v>
      </c>
      <c r="C1631" s="1" t="n">
        <v>46180</v>
      </c>
      <c r="D1631" t="inlineStr">
        <is>
          <t>GÄVLEBORGS LÄN</t>
        </is>
      </c>
      <c r="E1631" t="inlineStr">
        <is>
          <t>BOLLNÄS</t>
        </is>
      </c>
      <c r="G1631" t="n">
        <v>3.2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32174-2021</t>
        </is>
      </c>
      <c r="B1632" s="1" t="n">
        <v>44371</v>
      </c>
      <c r="C1632" s="1" t="n">
        <v>46180</v>
      </c>
      <c r="D1632" t="inlineStr">
        <is>
          <t>GÄVLEBORGS LÄN</t>
        </is>
      </c>
      <c r="E1632" t="inlineStr">
        <is>
          <t>BOLLNÄS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56328-2025</t>
        </is>
      </c>
      <c r="B1633" s="1" t="n">
        <v>45974.6381712963</v>
      </c>
      <c r="C1633" s="1" t="n">
        <v>46180</v>
      </c>
      <c r="D1633" t="inlineStr">
        <is>
          <t>GÄVLEBORGS LÄN</t>
        </is>
      </c>
      <c r="E1633" t="inlineStr">
        <is>
          <t>BOLLNÄS</t>
        </is>
      </c>
      <c r="G1633" t="n">
        <v>2.7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12217-2026</t>
        </is>
      </c>
      <c r="B1634" s="1" t="n">
        <v>46087</v>
      </c>
      <c r="C1634" s="1" t="n">
        <v>46180</v>
      </c>
      <c r="D1634" t="inlineStr">
        <is>
          <t>GÄVLEBORGS LÄN</t>
        </is>
      </c>
      <c r="E1634" t="inlineStr">
        <is>
          <t>BOLLNÄS</t>
        </is>
      </c>
      <c r="G1634" t="n">
        <v>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12221-2026</t>
        </is>
      </c>
      <c r="B1635" s="1" t="n">
        <v>46087</v>
      </c>
      <c r="C1635" s="1" t="n">
        <v>46180</v>
      </c>
      <c r="D1635" t="inlineStr">
        <is>
          <t>GÄVLEBORGS LÄN</t>
        </is>
      </c>
      <c r="E1635" t="inlineStr">
        <is>
          <t>BOLLNÄS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12342-2026</t>
        </is>
      </c>
      <c r="B1636" s="1" t="n">
        <v>46087.66733796296</v>
      </c>
      <c r="C1636" s="1" t="n">
        <v>46180</v>
      </c>
      <c r="D1636" t="inlineStr">
        <is>
          <t>GÄVLEBORGS LÄN</t>
        </is>
      </c>
      <c r="E1636" t="inlineStr">
        <is>
          <t>BOLLNÄS</t>
        </is>
      </c>
      <c r="F1636" t="inlineStr">
        <is>
          <t>Kyrkan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12155-2026</t>
        </is>
      </c>
      <c r="B1637" s="1" t="n">
        <v>46086</v>
      </c>
      <c r="C1637" s="1" t="n">
        <v>46180</v>
      </c>
      <c r="D1637" t="inlineStr">
        <is>
          <t>GÄVLEBORGS LÄN</t>
        </is>
      </c>
      <c r="E1637" t="inlineStr">
        <is>
          <t>BOLLNÄS</t>
        </is>
      </c>
      <c r="G1637" t="n">
        <v>4.4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12215-2026</t>
        </is>
      </c>
      <c r="B1638" s="1" t="n">
        <v>46087</v>
      </c>
      <c r="C1638" s="1" t="n">
        <v>46180</v>
      </c>
      <c r="D1638" t="inlineStr">
        <is>
          <t>GÄVLEBORGS LÄN</t>
        </is>
      </c>
      <c r="E1638" t="inlineStr">
        <is>
          <t>BOLLNÄS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12218-2026</t>
        </is>
      </c>
      <c r="B1639" s="1" t="n">
        <v>46087</v>
      </c>
      <c r="C1639" s="1" t="n">
        <v>46180</v>
      </c>
      <c r="D1639" t="inlineStr">
        <is>
          <t>GÄVLEBORGS LÄN</t>
        </is>
      </c>
      <c r="E1639" t="inlineStr">
        <is>
          <t>BOLLNÄS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12220-2026</t>
        </is>
      </c>
      <c r="B1640" s="1" t="n">
        <v>46087.36475694444</v>
      </c>
      <c r="C1640" s="1" t="n">
        <v>46180</v>
      </c>
      <c r="D1640" t="inlineStr">
        <is>
          <t>GÄVLEBORGS LÄN</t>
        </is>
      </c>
      <c r="E1640" t="inlineStr">
        <is>
          <t>BOLLNÄS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12438-2026</t>
        </is>
      </c>
      <c r="B1641" s="1" t="n">
        <v>46090</v>
      </c>
      <c r="C1641" s="1" t="n">
        <v>46180</v>
      </c>
      <c r="D1641" t="inlineStr">
        <is>
          <t>GÄVLEBORGS LÄN</t>
        </is>
      </c>
      <c r="E1641" t="inlineStr">
        <is>
          <t>BOLLNÄS</t>
        </is>
      </c>
      <c r="G1641" t="n">
        <v>14.1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12449-2026</t>
        </is>
      </c>
      <c r="B1642" s="1" t="n">
        <v>46090.49640046297</v>
      </c>
      <c r="C1642" s="1" t="n">
        <v>46180</v>
      </c>
      <c r="D1642" t="inlineStr">
        <is>
          <t>GÄVLEBORGS LÄN</t>
        </is>
      </c>
      <c r="E1642" t="inlineStr">
        <is>
          <t>BOLLNÄS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12368-2026</t>
        </is>
      </c>
      <c r="B1643" s="1" t="n">
        <v>46089</v>
      </c>
      <c r="C1643" s="1" t="n">
        <v>46180</v>
      </c>
      <c r="D1643" t="inlineStr">
        <is>
          <t>GÄVLEBORGS LÄN</t>
        </is>
      </c>
      <c r="E1643" t="inlineStr">
        <is>
          <t>BOLLNÄS</t>
        </is>
      </c>
      <c r="F1643" t="inlineStr">
        <is>
          <t>Bergvik skog väst AB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12378-2026</t>
        </is>
      </c>
      <c r="B1644" s="1" t="n">
        <v>46090</v>
      </c>
      <c r="C1644" s="1" t="n">
        <v>46180</v>
      </c>
      <c r="D1644" t="inlineStr">
        <is>
          <t>GÄVLEBORGS LÄN</t>
        </is>
      </c>
      <c r="E1644" t="inlineStr">
        <is>
          <t>BOLLNÄS</t>
        </is>
      </c>
      <c r="F1644" t="inlineStr">
        <is>
          <t>Bergvik skog väst AB</t>
        </is>
      </c>
      <c r="G1644" t="n">
        <v>8.6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576-2026</t>
        </is>
      </c>
      <c r="B1645" s="1" t="n">
        <v>46029</v>
      </c>
      <c r="C1645" s="1" t="n">
        <v>46180</v>
      </c>
      <c r="D1645" t="inlineStr">
        <is>
          <t>GÄVLEBORGS LÄN</t>
        </is>
      </c>
      <c r="E1645" t="inlineStr">
        <is>
          <t>BOLLNÄS</t>
        </is>
      </c>
      <c r="G1645" t="n">
        <v>25.2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56596-2025</t>
        </is>
      </c>
      <c r="B1646" s="1" t="n">
        <v>45975.56984953704</v>
      </c>
      <c r="C1646" s="1" t="n">
        <v>46180</v>
      </c>
      <c r="D1646" t="inlineStr">
        <is>
          <t>GÄVLEBORGS LÄN</t>
        </is>
      </c>
      <c r="E1646" t="inlineStr">
        <is>
          <t>BOLLNÄS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20517-2025</t>
        </is>
      </c>
      <c r="B1647" s="1" t="n">
        <v>45775.59769675926</v>
      </c>
      <c r="C1647" s="1" t="n">
        <v>46180</v>
      </c>
      <c r="D1647" t="inlineStr">
        <is>
          <t>GÄVLEBORGS LÄN</t>
        </is>
      </c>
      <c r="E1647" t="inlineStr">
        <is>
          <t>BOLLNÄS</t>
        </is>
      </c>
      <c r="G1647" t="n">
        <v>8.4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12371-2026</t>
        </is>
      </c>
      <c r="B1648" s="1" t="n">
        <v>46089</v>
      </c>
      <c r="C1648" s="1" t="n">
        <v>46180</v>
      </c>
      <c r="D1648" t="inlineStr">
        <is>
          <t>GÄVLEBORGS LÄN</t>
        </is>
      </c>
      <c r="E1648" t="inlineStr">
        <is>
          <t>BOLLNÄS</t>
        </is>
      </c>
      <c r="G1648" t="n">
        <v>3.6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56733-2025</t>
        </is>
      </c>
      <c r="B1649" s="1" t="n">
        <v>45978.33262731481</v>
      </c>
      <c r="C1649" s="1" t="n">
        <v>46180</v>
      </c>
      <c r="D1649" t="inlineStr">
        <is>
          <t>GÄVLEBORGS LÄN</t>
        </is>
      </c>
      <c r="E1649" t="inlineStr">
        <is>
          <t>BOLLNÄS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12763-2026</t>
        </is>
      </c>
      <c r="B1650" s="1" t="n">
        <v>46091.66438657408</v>
      </c>
      <c r="C1650" s="1" t="n">
        <v>46180</v>
      </c>
      <c r="D1650" t="inlineStr">
        <is>
          <t>GÄVLEBORGS LÄN</t>
        </is>
      </c>
      <c r="E1650" t="inlineStr">
        <is>
          <t>BOLLNÄS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12549-2026</t>
        </is>
      </c>
      <c r="B1651" s="1" t="n">
        <v>46090.63422453704</v>
      </c>
      <c r="C1651" s="1" t="n">
        <v>46180</v>
      </c>
      <c r="D1651" t="inlineStr">
        <is>
          <t>GÄVLEBORGS LÄN</t>
        </is>
      </c>
      <c r="E1651" t="inlineStr">
        <is>
          <t>BOLLNÄS</t>
        </is>
      </c>
      <c r="G1651" t="n">
        <v>7.5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12599-2026</t>
        </is>
      </c>
      <c r="B1652" s="1" t="n">
        <v>46091.33528935185</v>
      </c>
      <c r="C1652" s="1" t="n">
        <v>46180</v>
      </c>
      <c r="D1652" t="inlineStr">
        <is>
          <t>GÄVLEBORGS LÄN</t>
        </is>
      </c>
      <c r="E1652" t="inlineStr">
        <is>
          <t>BOLLNÄS</t>
        </is>
      </c>
      <c r="G1652" t="n">
        <v>3.8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12649-2026</t>
        </is>
      </c>
      <c r="B1653" s="1" t="n">
        <v>46091.48019675926</v>
      </c>
      <c r="C1653" s="1" t="n">
        <v>46180</v>
      </c>
      <c r="D1653" t="inlineStr">
        <is>
          <t>GÄVLEBORGS LÄN</t>
        </is>
      </c>
      <c r="E1653" t="inlineStr">
        <is>
          <t>BOLLNÄS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55860-2025</t>
        </is>
      </c>
      <c r="B1654" s="1" t="n">
        <v>45973</v>
      </c>
      <c r="C1654" s="1" t="n">
        <v>46180</v>
      </c>
      <c r="D1654" t="inlineStr">
        <is>
          <t>GÄVLEBORGS LÄN</t>
        </is>
      </c>
      <c r="E1654" t="inlineStr">
        <is>
          <t>BOLLNÄS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12454-2026</t>
        </is>
      </c>
      <c r="B1655" s="1" t="n">
        <v>46090</v>
      </c>
      <c r="C1655" s="1" t="n">
        <v>46180</v>
      </c>
      <c r="D1655" t="inlineStr">
        <is>
          <t>GÄVLEBORGS LÄN</t>
        </is>
      </c>
      <c r="E1655" t="inlineStr">
        <is>
          <t>BOLLNÄS</t>
        </is>
      </c>
      <c r="F1655" t="inlineStr">
        <is>
          <t>Bergvik skog väst AB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56958-2025</t>
        </is>
      </c>
      <c r="B1656" s="1" t="n">
        <v>45978.65644675926</v>
      </c>
      <c r="C1656" s="1" t="n">
        <v>46180</v>
      </c>
      <c r="D1656" t="inlineStr">
        <is>
          <t>GÄVLEBORGS LÄN</t>
        </is>
      </c>
      <c r="E1656" t="inlineStr">
        <is>
          <t>BOLLNÄS</t>
        </is>
      </c>
      <c r="G1656" t="n">
        <v>10.8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12575-2026</t>
        </is>
      </c>
      <c r="B1657" s="1" t="n">
        <v>46090.66576388889</v>
      </c>
      <c r="C1657" s="1" t="n">
        <v>46180</v>
      </c>
      <c r="D1657" t="inlineStr">
        <is>
          <t>GÄVLEBORGS LÄN</t>
        </is>
      </c>
      <c r="E1657" t="inlineStr">
        <is>
          <t>BOLLNÄS</t>
        </is>
      </c>
      <c r="F1657" t="inlineStr">
        <is>
          <t>Sveaskog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12595-2026</t>
        </is>
      </c>
      <c r="B1658" s="1" t="n">
        <v>46090.91140046297</v>
      </c>
      <c r="C1658" s="1" t="n">
        <v>46180</v>
      </c>
      <c r="D1658" t="inlineStr">
        <is>
          <t>GÄVLEBORGS LÄN</t>
        </is>
      </c>
      <c r="E1658" t="inlineStr">
        <is>
          <t>BOLLNÄS</t>
        </is>
      </c>
      <c r="G1658" t="n">
        <v>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12360-2026</t>
        </is>
      </c>
      <c r="B1659" s="1" t="n">
        <v>46088.72305555556</v>
      </c>
      <c r="C1659" s="1" t="n">
        <v>46180</v>
      </c>
      <c r="D1659" t="inlineStr">
        <is>
          <t>GÄVLEBORGS LÄN</t>
        </is>
      </c>
      <c r="E1659" t="inlineStr">
        <is>
          <t>BOLLNÄS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12406-2026</t>
        </is>
      </c>
      <c r="B1660" s="1" t="n">
        <v>46090.40547453704</v>
      </c>
      <c r="C1660" s="1" t="n">
        <v>46180</v>
      </c>
      <c r="D1660" t="inlineStr">
        <is>
          <t>GÄVLEBORGS LÄN</t>
        </is>
      </c>
      <c r="E1660" t="inlineStr">
        <is>
          <t>BOLLNÄS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12372-2026</t>
        </is>
      </c>
      <c r="B1661" s="1" t="n">
        <v>46090.22494212963</v>
      </c>
      <c r="C1661" s="1" t="n">
        <v>46180</v>
      </c>
      <c r="D1661" t="inlineStr">
        <is>
          <t>GÄVLEBORGS LÄN</t>
        </is>
      </c>
      <c r="E1661" t="inlineStr">
        <is>
          <t>BOLLNÄS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12728-2026</t>
        </is>
      </c>
      <c r="B1662" s="1" t="n">
        <v>46091.62447916667</v>
      </c>
      <c r="C1662" s="1" t="n">
        <v>46180</v>
      </c>
      <c r="D1662" t="inlineStr">
        <is>
          <t>GÄVLEBORGS LÄN</t>
        </is>
      </c>
      <c r="E1662" t="inlineStr">
        <is>
          <t>BOLLNÄS</t>
        </is>
      </c>
      <c r="G1662" t="n">
        <v>5.9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12374-2026</t>
        </is>
      </c>
      <c r="B1663" s="1" t="n">
        <v>46090</v>
      </c>
      <c r="C1663" s="1" t="n">
        <v>46180</v>
      </c>
      <c r="D1663" t="inlineStr">
        <is>
          <t>GÄVLEBORGS LÄN</t>
        </is>
      </c>
      <c r="E1663" t="inlineStr">
        <is>
          <t>BOLLNÄS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12359-2026</t>
        </is>
      </c>
      <c r="B1664" s="1" t="n">
        <v>46088.68186342593</v>
      </c>
      <c r="C1664" s="1" t="n">
        <v>46180</v>
      </c>
      <c r="D1664" t="inlineStr">
        <is>
          <t>GÄVLEBORGS LÄN</t>
        </is>
      </c>
      <c r="E1664" t="inlineStr">
        <is>
          <t>BOLLNÄS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12361-2026</t>
        </is>
      </c>
      <c r="B1665" s="1" t="n">
        <v>46088</v>
      </c>
      <c r="C1665" s="1" t="n">
        <v>46180</v>
      </c>
      <c r="D1665" t="inlineStr">
        <is>
          <t>GÄVLEBORGS LÄN</t>
        </is>
      </c>
      <c r="E1665" t="inlineStr">
        <is>
          <t>BOLLNÄS</t>
        </is>
      </c>
      <c r="F1665" t="inlineStr">
        <is>
          <t>Bergvik skog väst AB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12446-2026</t>
        </is>
      </c>
      <c r="B1666" s="1" t="n">
        <v>46090.48908564815</v>
      </c>
      <c r="C1666" s="1" t="n">
        <v>46180</v>
      </c>
      <c r="D1666" t="inlineStr">
        <is>
          <t>GÄVLEBORGS LÄN</t>
        </is>
      </c>
      <c r="E1666" t="inlineStr">
        <is>
          <t>BOLLNÄS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12451-2026</t>
        </is>
      </c>
      <c r="B1667" s="1" t="n">
        <v>46090.49979166667</v>
      </c>
      <c r="C1667" s="1" t="n">
        <v>46180</v>
      </c>
      <c r="D1667" t="inlineStr">
        <is>
          <t>GÄVLEBORGS LÄN</t>
        </is>
      </c>
      <c r="E1667" t="inlineStr">
        <is>
          <t>BOLLNÄS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12455-2026</t>
        </is>
      </c>
      <c r="B1668" s="1" t="n">
        <v>46090.50673611111</v>
      </c>
      <c r="C1668" s="1" t="n">
        <v>46180</v>
      </c>
      <c r="D1668" t="inlineStr">
        <is>
          <t>GÄVLEBORGS LÄN</t>
        </is>
      </c>
      <c r="E1668" t="inlineStr">
        <is>
          <t>BOLLNÄS</t>
        </is>
      </c>
      <c r="G1668" t="n">
        <v>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56609-2025</t>
        </is>
      </c>
      <c r="B1669" s="1" t="n">
        <v>45975.58710648148</v>
      </c>
      <c r="C1669" s="1" t="n">
        <v>46180</v>
      </c>
      <c r="D1669" t="inlineStr">
        <is>
          <t>GÄVLEBORGS LÄN</t>
        </is>
      </c>
      <c r="E1669" t="inlineStr">
        <is>
          <t>BOLLNÄS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12723-2026</t>
        </is>
      </c>
      <c r="B1670" s="1" t="n">
        <v>46091</v>
      </c>
      <c r="C1670" s="1" t="n">
        <v>46180</v>
      </c>
      <c r="D1670" t="inlineStr">
        <is>
          <t>GÄVLEBORGS LÄN</t>
        </is>
      </c>
      <c r="E1670" t="inlineStr">
        <is>
          <t>BOLLNÄS</t>
        </is>
      </c>
      <c r="G1670" t="n">
        <v>65.3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12643-2026</t>
        </is>
      </c>
      <c r="B1671" s="1" t="n">
        <v>46091.47094907407</v>
      </c>
      <c r="C1671" s="1" t="n">
        <v>46180</v>
      </c>
      <c r="D1671" t="inlineStr">
        <is>
          <t>GÄVLEBORGS LÄN</t>
        </is>
      </c>
      <c r="E1671" t="inlineStr">
        <is>
          <t>BOLLNÄS</t>
        </is>
      </c>
      <c r="G1671" t="n">
        <v>13.9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56481-2025</t>
        </is>
      </c>
      <c r="B1672" s="1" t="n">
        <v>45975.39924768519</v>
      </c>
      <c r="C1672" s="1" t="n">
        <v>46180</v>
      </c>
      <c r="D1672" t="inlineStr">
        <is>
          <t>GÄVLEBORGS LÄN</t>
        </is>
      </c>
      <c r="E1672" t="inlineStr">
        <is>
          <t>BOLLNÄS</t>
        </is>
      </c>
      <c r="G1672" t="n">
        <v>2.7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42513-2022</t>
        </is>
      </c>
      <c r="B1673" s="1" t="n">
        <v>44831.59701388889</v>
      </c>
      <c r="C1673" s="1" t="n">
        <v>46180</v>
      </c>
      <c r="D1673" t="inlineStr">
        <is>
          <t>GÄVLEBORGS LÄN</t>
        </is>
      </c>
      <c r="E1673" t="inlineStr">
        <is>
          <t>BOLLNÄS</t>
        </is>
      </c>
      <c r="G1673" t="n">
        <v>6.3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12711-2026</t>
        </is>
      </c>
      <c r="B1674" s="1" t="n">
        <v>46091.58993055556</v>
      </c>
      <c r="C1674" s="1" t="n">
        <v>46180</v>
      </c>
      <c r="D1674" t="inlineStr">
        <is>
          <t>GÄVLEBORGS LÄN</t>
        </is>
      </c>
      <c r="E1674" t="inlineStr">
        <is>
          <t>BOLLNÄS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6767-2025</t>
        </is>
      </c>
      <c r="B1675" s="1" t="n">
        <v>45700.63662037037</v>
      </c>
      <c r="C1675" s="1" t="n">
        <v>46180</v>
      </c>
      <c r="D1675" t="inlineStr">
        <is>
          <t>GÄVLEBORGS LÄN</t>
        </is>
      </c>
      <c r="E1675" t="inlineStr">
        <is>
          <t>BOLLNÄS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12487-2026</t>
        </is>
      </c>
      <c r="B1676" s="1" t="n">
        <v>46090</v>
      </c>
      <c r="C1676" s="1" t="n">
        <v>46180</v>
      </c>
      <c r="D1676" t="inlineStr">
        <is>
          <t>GÄVLEBORGS LÄN</t>
        </is>
      </c>
      <c r="E1676" t="inlineStr">
        <is>
          <t>BOLLNÄS</t>
        </is>
      </c>
      <c r="F1676" t="inlineStr">
        <is>
          <t>Holmen skog AB</t>
        </is>
      </c>
      <c r="G1676" t="n">
        <v>8.199999999999999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12659-2026</t>
        </is>
      </c>
      <c r="B1677" s="1" t="n">
        <v>46091.49458333333</v>
      </c>
      <c r="C1677" s="1" t="n">
        <v>46180</v>
      </c>
      <c r="D1677" t="inlineStr">
        <is>
          <t>GÄVLEBORGS LÄN</t>
        </is>
      </c>
      <c r="E1677" t="inlineStr">
        <is>
          <t>BOLLNÄS</t>
        </is>
      </c>
      <c r="G1677" t="n">
        <v>8.699999999999999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57443-2025</t>
        </is>
      </c>
      <c r="B1678" s="1" t="n">
        <v>45980.48813657407</v>
      </c>
      <c r="C1678" s="1" t="n">
        <v>46180</v>
      </c>
      <c r="D1678" t="inlineStr">
        <is>
          <t>GÄVLEBORGS LÄN</t>
        </is>
      </c>
      <c r="E1678" t="inlineStr">
        <is>
          <t>BOLLNÄS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57445-2025</t>
        </is>
      </c>
      <c r="B1679" s="1" t="n">
        <v>45980.49053240741</v>
      </c>
      <c r="C1679" s="1" t="n">
        <v>46180</v>
      </c>
      <c r="D1679" t="inlineStr">
        <is>
          <t>GÄVLEBORGS LÄN</t>
        </is>
      </c>
      <c r="E1679" t="inlineStr">
        <is>
          <t>BOLLNÄS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58431-2021</t>
        </is>
      </c>
      <c r="B1680" s="1" t="n">
        <v>44488</v>
      </c>
      <c r="C1680" s="1" t="n">
        <v>46180</v>
      </c>
      <c r="D1680" t="inlineStr">
        <is>
          <t>GÄVLEBORGS LÄN</t>
        </is>
      </c>
      <c r="E1680" t="inlineStr">
        <is>
          <t>BOLLNÄS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57214-2025</t>
        </is>
      </c>
      <c r="B1681" s="1" t="n">
        <v>45979.60623842593</v>
      </c>
      <c r="C1681" s="1" t="n">
        <v>46180</v>
      </c>
      <c r="D1681" t="inlineStr">
        <is>
          <t>GÄVLEBORGS LÄN</t>
        </is>
      </c>
      <c r="E1681" t="inlineStr">
        <is>
          <t>BOLLNÄS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57054-2025</t>
        </is>
      </c>
      <c r="B1682" s="1" t="n">
        <v>45979.36201388889</v>
      </c>
      <c r="C1682" s="1" t="n">
        <v>46180</v>
      </c>
      <c r="D1682" t="inlineStr">
        <is>
          <t>GÄVLEBORGS LÄN</t>
        </is>
      </c>
      <c r="E1682" t="inlineStr">
        <is>
          <t>BOLLNÄS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12798-2026</t>
        </is>
      </c>
      <c r="B1683" s="1" t="n">
        <v>46092.36231481482</v>
      </c>
      <c r="C1683" s="1" t="n">
        <v>46180</v>
      </c>
      <c r="D1683" t="inlineStr">
        <is>
          <t>GÄVLEBORGS LÄN</t>
        </is>
      </c>
      <c r="E1683" t="inlineStr">
        <is>
          <t>BOLLNÄS</t>
        </is>
      </c>
      <c r="F1683" t="inlineStr">
        <is>
          <t>Bergvik skog väst AB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57151-2025</t>
        </is>
      </c>
      <c r="B1684" s="1" t="n">
        <v>45979.5083912037</v>
      </c>
      <c r="C1684" s="1" t="n">
        <v>46180</v>
      </c>
      <c r="D1684" t="inlineStr">
        <is>
          <t>GÄVLEBORGS LÄN</t>
        </is>
      </c>
      <c r="E1684" t="inlineStr">
        <is>
          <t>BOLLNÄS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13177-2026</t>
        </is>
      </c>
      <c r="B1685" s="1" t="n">
        <v>46093</v>
      </c>
      <c r="C1685" s="1" t="n">
        <v>46180</v>
      </c>
      <c r="D1685" t="inlineStr">
        <is>
          <t>GÄVLEBORGS LÄN</t>
        </is>
      </c>
      <c r="E1685" t="inlineStr">
        <is>
          <t>BOLLNÄS</t>
        </is>
      </c>
      <c r="G1685" t="n">
        <v>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12959-2026</t>
        </is>
      </c>
      <c r="B1686" s="1" t="n">
        <v>46092</v>
      </c>
      <c r="C1686" s="1" t="n">
        <v>46180</v>
      </c>
      <c r="D1686" t="inlineStr">
        <is>
          <t>GÄVLEBORGS LÄN</t>
        </is>
      </c>
      <c r="E1686" t="inlineStr">
        <is>
          <t>BOLLNÄS</t>
        </is>
      </c>
      <c r="F1686" t="inlineStr">
        <is>
          <t>Sveaskog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12992-2026</t>
        </is>
      </c>
      <c r="B1687" s="1" t="n">
        <v>46092.67420138889</v>
      </c>
      <c r="C1687" s="1" t="n">
        <v>46180</v>
      </c>
      <c r="D1687" t="inlineStr">
        <is>
          <t>GÄVLEBORGS LÄN</t>
        </is>
      </c>
      <c r="E1687" t="inlineStr">
        <is>
          <t>BOLLNÄS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13026-2026</t>
        </is>
      </c>
      <c r="B1688" s="1" t="n">
        <v>46092.88597222222</v>
      </c>
      <c r="C1688" s="1" t="n">
        <v>46180</v>
      </c>
      <c r="D1688" t="inlineStr">
        <is>
          <t>GÄVLEBORGS LÄN</t>
        </is>
      </c>
      <c r="E1688" t="inlineStr">
        <is>
          <t>BOLLNÄS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13034-2026</t>
        </is>
      </c>
      <c r="B1689" s="1" t="n">
        <v>46093.20652777778</v>
      </c>
      <c r="C1689" s="1" t="n">
        <v>46180</v>
      </c>
      <c r="D1689" t="inlineStr">
        <is>
          <t>GÄVLEBORGS LÄN</t>
        </is>
      </c>
      <c r="E1689" t="inlineStr">
        <is>
          <t>BOLLNÄS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13041-2026</t>
        </is>
      </c>
      <c r="B1690" s="1" t="n">
        <v>46093</v>
      </c>
      <c r="C1690" s="1" t="n">
        <v>46180</v>
      </c>
      <c r="D1690" t="inlineStr">
        <is>
          <t>GÄVLEBORGS LÄN</t>
        </is>
      </c>
      <c r="E1690" t="inlineStr">
        <is>
          <t>BOLLNÄS</t>
        </is>
      </c>
      <c r="G1690" t="n">
        <v>7.6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13052-2026</t>
        </is>
      </c>
      <c r="B1691" s="1" t="n">
        <v>46093</v>
      </c>
      <c r="C1691" s="1" t="n">
        <v>46180</v>
      </c>
      <c r="D1691" t="inlineStr">
        <is>
          <t>GÄVLEBORGS LÄN</t>
        </is>
      </c>
      <c r="E1691" t="inlineStr">
        <is>
          <t>BOLLNÄS</t>
        </is>
      </c>
      <c r="F1691" t="inlineStr">
        <is>
          <t>Bergvik skog väst AB</t>
        </is>
      </c>
      <c r="G1691" t="n">
        <v>28.3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13131-2026</t>
        </is>
      </c>
      <c r="B1692" s="1" t="n">
        <v>46093.47478009259</v>
      </c>
      <c r="C1692" s="1" t="n">
        <v>46180</v>
      </c>
      <c r="D1692" t="inlineStr">
        <is>
          <t>GÄVLEBORGS LÄN</t>
        </is>
      </c>
      <c r="E1692" t="inlineStr">
        <is>
          <t>BOLLNÄS</t>
        </is>
      </c>
      <c r="G1692" t="n">
        <v>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13150-2026</t>
        </is>
      </c>
      <c r="B1693" s="1" t="n">
        <v>46093</v>
      </c>
      <c r="C1693" s="1" t="n">
        <v>46180</v>
      </c>
      <c r="D1693" t="inlineStr">
        <is>
          <t>GÄVLEBORGS LÄN</t>
        </is>
      </c>
      <c r="E1693" t="inlineStr">
        <is>
          <t>BOLLNÄS</t>
        </is>
      </c>
      <c r="F1693" t="inlineStr">
        <is>
          <t>Sveaskog</t>
        </is>
      </c>
      <c r="G1693" t="n">
        <v>7.1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13207-2026</t>
        </is>
      </c>
      <c r="B1694" s="1" t="n">
        <v>46093.61097222222</v>
      </c>
      <c r="C1694" s="1" t="n">
        <v>46180</v>
      </c>
      <c r="D1694" t="inlineStr">
        <is>
          <t>GÄVLEBORGS LÄN</t>
        </is>
      </c>
      <c r="E1694" t="inlineStr">
        <is>
          <t>BOLLNÄS</t>
        </is>
      </c>
      <c r="F1694" t="inlineStr">
        <is>
          <t>Bergvik skog väst AB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13238-2026</t>
        </is>
      </c>
      <c r="B1695" s="1" t="n">
        <v>46093.64040509259</v>
      </c>
      <c r="C1695" s="1" t="n">
        <v>46180</v>
      </c>
      <c r="D1695" t="inlineStr">
        <is>
          <t>GÄVLEBORGS LÄN</t>
        </is>
      </c>
      <c r="E1695" t="inlineStr">
        <is>
          <t>BOLLNÄS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13263-2026</t>
        </is>
      </c>
      <c r="B1696" s="1" t="n">
        <v>46093.68078703704</v>
      </c>
      <c r="C1696" s="1" t="n">
        <v>46180</v>
      </c>
      <c r="D1696" t="inlineStr">
        <is>
          <t>GÄVLEBORGS LÄN</t>
        </is>
      </c>
      <c r="E1696" t="inlineStr">
        <is>
          <t>BOLLNÄS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13220-2026</t>
        </is>
      </c>
      <c r="B1697" s="1" t="n">
        <v>46093.62414351852</v>
      </c>
      <c r="C1697" s="1" t="n">
        <v>46180</v>
      </c>
      <c r="D1697" t="inlineStr">
        <is>
          <t>GÄVLEBORGS LÄN</t>
        </is>
      </c>
      <c r="E1697" t="inlineStr">
        <is>
          <t>BOLLNÄS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13221-2026</t>
        </is>
      </c>
      <c r="B1698" s="1" t="n">
        <v>46093</v>
      </c>
      <c r="C1698" s="1" t="n">
        <v>46180</v>
      </c>
      <c r="D1698" t="inlineStr">
        <is>
          <t>GÄVLEBORGS LÄN</t>
        </is>
      </c>
      <c r="E1698" t="inlineStr">
        <is>
          <t>BOLLNÄS</t>
        </is>
      </c>
      <c r="G1698" t="n">
        <v>21.4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13035-2026</t>
        </is>
      </c>
      <c r="B1699" s="1" t="n">
        <v>46093.21628472222</v>
      </c>
      <c r="C1699" s="1" t="n">
        <v>46180</v>
      </c>
      <c r="D1699" t="inlineStr">
        <is>
          <t>GÄVLEBORGS LÄN</t>
        </is>
      </c>
      <c r="E1699" t="inlineStr">
        <is>
          <t>BOLLNÄS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13083-2026</t>
        </is>
      </c>
      <c r="B1700" s="1" t="n">
        <v>46093</v>
      </c>
      <c r="C1700" s="1" t="n">
        <v>46180</v>
      </c>
      <c r="D1700" t="inlineStr">
        <is>
          <t>GÄVLEBORGS LÄN</t>
        </is>
      </c>
      <c r="E1700" t="inlineStr">
        <is>
          <t>BOLLNÄS</t>
        </is>
      </c>
      <c r="F1700" t="inlineStr">
        <is>
          <t>Bergvik skog väst AB</t>
        </is>
      </c>
      <c r="G1700" t="n">
        <v>4.2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12940-2026</t>
        </is>
      </c>
      <c r="B1701" s="1" t="n">
        <v>46092.62305555555</v>
      </c>
      <c r="C1701" s="1" t="n">
        <v>46180</v>
      </c>
      <c r="D1701" t="inlineStr">
        <is>
          <t>GÄVLEBORGS LÄN</t>
        </is>
      </c>
      <c r="E1701" t="inlineStr">
        <is>
          <t>BOLLNÄS</t>
        </is>
      </c>
      <c r="F1701" t="inlineStr">
        <is>
          <t>Sveaskog</t>
        </is>
      </c>
      <c r="G1701" t="n">
        <v>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13234-2026</t>
        </is>
      </c>
      <c r="B1702" s="1" t="n">
        <v>46093.63748842593</v>
      </c>
      <c r="C1702" s="1" t="n">
        <v>46180</v>
      </c>
      <c r="D1702" t="inlineStr">
        <is>
          <t>GÄVLEBORGS LÄN</t>
        </is>
      </c>
      <c r="E1702" t="inlineStr">
        <is>
          <t>BOLLNÄS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17061-2026</t>
        </is>
      </c>
      <c r="B1703" s="1" t="n">
        <v>46114.51012731482</v>
      </c>
      <c r="C1703" s="1" t="n">
        <v>46180</v>
      </c>
      <c r="D1703" t="inlineStr">
        <is>
          <t>GÄVLEBORGS LÄN</t>
        </is>
      </c>
      <c r="E1703" t="inlineStr">
        <is>
          <t>BOLLNÄS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12995-2026</t>
        </is>
      </c>
      <c r="B1704" s="1" t="n">
        <v>46092.68146990741</v>
      </c>
      <c r="C1704" s="1" t="n">
        <v>46180</v>
      </c>
      <c r="D1704" t="inlineStr">
        <is>
          <t>GÄVLEBORGS LÄN</t>
        </is>
      </c>
      <c r="E1704" t="inlineStr">
        <is>
          <t>BOLLNÄS</t>
        </is>
      </c>
      <c r="G1704" t="n">
        <v>5.5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13028-2026</t>
        </is>
      </c>
      <c r="B1705" s="1" t="n">
        <v>46092.88756944444</v>
      </c>
      <c r="C1705" s="1" t="n">
        <v>46180</v>
      </c>
      <c r="D1705" t="inlineStr">
        <is>
          <t>GÄVLEBORGS LÄN</t>
        </is>
      </c>
      <c r="E1705" t="inlineStr">
        <is>
          <t>BOLLNÄS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56453-2023</t>
        </is>
      </c>
      <c r="B1706" s="1" t="n">
        <v>45243</v>
      </c>
      <c r="C1706" s="1" t="n">
        <v>46180</v>
      </c>
      <c r="D1706" t="inlineStr">
        <is>
          <t>GÄVLEBORGS LÄN</t>
        </is>
      </c>
      <c r="E1706" t="inlineStr">
        <is>
          <t>BOLLNÄS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58112-2025</t>
        </is>
      </c>
      <c r="B1707" s="1" t="n">
        <v>45982.59918981481</v>
      </c>
      <c r="C1707" s="1" t="n">
        <v>46180</v>
      </c>
      <c r="D1707" t="inlineStr">
        <is>
          <t>GÄVLEBORGS LÄN</t>
        </is>
      </c>
      <c r="E1707" t="inlineStr">
        <is>
          <t>BOLLNÄS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58121-2025</t>
        </is>
      </c>
      <c r="B1708" s="1" t="n">
        <v>45982.60978009259</v>
      </c>
      <c r="C1708" s="1" t="n">
        <v>46180</v>
      </c>
      <c r="D1708" t="inlineStr">
        <is>
          <t>GÄVLEBORGS LÄN</t>
        </is>
      </c>
      <c r="E1708" t="inlineStr">
        <is>
          <t>BOLLNÄS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57707-2025</t>
        </is>
      </c>
      <c r="B1709" s="1" t="n">
        <v>45981.46956018519</v>
      </c>
      <c r="C1709" s="1" t="n">
        <v>46180</v>
      </c>
      <c r="D1709" t="inlineStr">
        <is>
          <t>GÄVLEBORGS LÄN</t>
        </is>
      </c>
      <c r="E1709" t="inlineStr">
        <is>
          <t>BOLLNÄS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13030-2026</t>
        </is>
      </c>
      <c r="B1710" s="1" t="n">
        <v>46092.89026620371</v>
      </c>
      <c r="C1710" s="1" t="n">
        <v>46180</v>
      </c>
      <c r="D1710" t="inlineStr">
        <is>
          <t>GÄVLEBORGS LÄN</t>
        </is>
      </c>
      <c r="E1710" t="inlineStr">
        <is>
          <t>BOLLNÄS</t>
        </is>
      </c>
      <c r="G1710" t="n">
        <v>12.2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12904-2026</t>
        </is>
      </c>
      <c r="B1711" s="1" t="n">
        <v>46092.57219907407</v>
      </c>
      <c r="C1711" s="1" t="n">
        <v>46180</v>
      </c>
      <c r="D1711" t="inlineStr">
        <is>
          <t>GÄVLEBORGS LÄN</t>
        </is>
      </c>
      <c r="E1711" t="inlineStr">
        <is>
          <t>BOLLNÄS</t>
        </is>
      </c>
      <c r="F1711" t="inlineStr">
        <is>
          <t>Bergvik skog väst AB</t>
        </is>
      </c>
      <c r="G1711" t="n">
        <v>3.9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3324-2026</t>
        </is>
      </c>
      <c r="B1712" s="1" t="n">
        <v>46041</v>
      </c>
      <c r="C1712" s="1" t="n">
        <v>46180</v>
      </c>
      <c r="D1712" t="inlineStr">
        <is>
          <t>GÄVLEBORGS LÄN</t>
        </is>
      </c>
      <c r="E1712" t="inlineStr">
        <is>
          <t>BOLLNÄS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13071-2026</t>
        </is>
      </c>
      <c r="B1713" s="1" t="n">
        <v>46093.36606481481</v>
      </c>
      <c r="C1713" s="1" t="n">
        <v>46180</v>
      </c>
      <c r="D1713" t="inlineStr">
        <is>
          <t>GÄVLEBORGS LÄN</t>
        </is>
      </c>
      <c r="E1713" t="inlineStr">
        <is>
          <t>BOLLNÄS</t>
        </is>
      </c>
      <c r="F1713" t="inlineStr">
        <is>
          <t>Bergvik skog väst AB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13088-2026</t>
        </is>
      </c>
      <c r="B1714" s="1" t="n">
        <v>46093</v>
      </c>
      <c r="C1714" s="1" t="n">
        <v>46180</v>
      </c>
      <c r="D1714" t="inlineStr">
        <is>
          <t>GÄVLEBORGS LÄN</t>
        </is>
      </c>
      <c r="E1714" t="inlineStr">
        <is>
          <t>BOLLNÄS</t>
        </is>
      </c>
      <c r="F1714" t="inlineStr">
        <is>
          <t>Bergvik skog väst AB</t>
        </is>
      </c>
      <c r="G1714" t="n">
        <v>32.8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10471-2026</t>
        </is>
      </c>
      <c r="B1715" s="1" t="n">
        <v>46077</v>
      </c>
      <c r="C1715" s="1" t="n">
        <v>46180</v>
      </c>
      <c r="D1715" t="inlineStr">
        <is>
          <t>GÄVLEBORGS LÄN</t>
        </is>
      </c>
      <c r="E1715" t="inlineStr">
        <is>
          <t>BOLLNÄS</t>
        </is>
      </c>
      <c r="G1715" t="n">
        <v>30.9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12945-2026</t>
        </is>
      </c>
      <c r="B1716" s="1" t="n">
        <v>46092.62686342592</v>
      </c>
      <c r="C1716" s="1" t="n">
        <v>46180</v>
      </c>
      <c r="D1716" t="inlineStr">
        <is>
          <t>GÄVLEBORGS LÄN</t>
        </is>
      </c>
      <c r="E1716" t="inlineStr">
        <is>
          <t>BOLLNÄS</t>
        </is>
      </c>
      <c r="F1716" t="inlineStr">
        <is>
          <t>Sveaskog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12951-2026</t>
        </is>
      </c>
      <c r="B1717" s="1" t="n">
        <v>46092</v>
      </c>
      <c r="C1717" s="1" t="n">
        <v>46180</v>
      </c>
      <c r="D1717" t="inlineStr">
        <is>
          <t>GÄVLEBORGS LÄN</t>
        </is>
      </c>
      <c r="E1717" t="inlineStr">
        <is>
          <t>BOLLNÄS</t>
        </is>
      </c>
      <c r="F1717" t="inlineStr">
        <is>
          <t>Sveaskog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12888-2026</t>
        </is>
      </c>
      <c r="B1718" s="1" t="n">
        <v>46092</v>
      </c>
      <c r="C1718" s="1" t="n">
        <v>46180</v>
      </c>
      <c r="D1718" t="inlineStr">
        <is>
          <t>GÄVLEBORGS LÄN</t>
        </is>
      </c>
      <c r="E1718" t="inlineStr">
        <is>
          <t>BOLLNÄS</t>
        </is>
      </c>
      <c r="F1718" t="inlineStr">
        <is>
          <t>Bergvik skog väst AB</t>
        </is>
      </c>
      <c r="G1718" t="n">
        <v>16.9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12895-2026</t>
        </is>
      </c>
      <c r="B1719" s="1" t="n">
        <v>46092</v>
      </c>
      <c r="C1719" s="1" t="n">
        <v>46180</v>
      </c>
      <c r="D1719" t="inlineStr">
        <is>
          <t>GÄVLEBORGS LÄN</t>
        </is>
      </c>
      <c r="E1719" t="inlineStr">
        <is>
          <t>BOLLNÄS</t>
        </is>
      </c>
      <c r="F1719" t="inlineStr">
        <is>
          <t>Bergvik skog väst AB</t>
        </is>
      </c>
      <c r="G1719" t="n">
        <v>6.6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13132-2026</t>
        </is>
      </c>
      <c r="B1720" s="1" t="n">
        <v>46093.47802083333</v>
      </c>
      <c r="C1720" s="1" t="n">
        <v>46180</v>
      </c>
      <c r="D1720" t="inlineStr">
        <is>
          <t>GÄVLEBORGS LÄN</t>
        </is>
      </c>
      <c r="E1720" t="inlineStr">
        <is>
          <t>BOLLNÄS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15654-2025</t>
        </is>
      </c>
      <c r="B1721" s="1" t="n">
        <v>45748.40988425926</v>
      </c>
      <c r="C1721" s="1" t="n">
        <v>46180</v>
      </c>
      <c r="D1721" t="inlineStr">
        <is>
          <t>GÄVLEBORGS LÄN</t>
        </is>
      </c>
      <c r="E1721" t="inlineStr">
        <is>
          <t>BOLLNÄS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13201-2026</t>
        </is>
      </c>
      <c r="B1722" s="1" t="n">
        <v>46093</v>
      </c>
      <c r="C1722" s="1" t="n">
        <v>46180</v>
      </c>
      <c r="D1722" t="inlineStr">
        <is>
          <t>GÄVLEBORGS LÄN</t>
        </is>
      </c>
      <c r="E1722" t="inlineStr">
        <is>
          <t>BOLLNÄS</t>
        </is>
      </c>
      <c r="F1722" t="inlineStr">
        <is>
          <t>Bergvik skog väst AB</t>
        </is>
      </c>
      <c r="G1722" t="n">
        <v>17.4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13157-2026</t>
        </is>
      </c>
      <c r="B1723" s="1" t="n">
        <v>46093</v>
      </c>
      <c r="C1723" s="1" t="n">
        <v>46180</v>
      </c>
      <c r="D1723" t="inlineStr">
        <is>
          <t>GÄVLEBORGS LÄN</t>
        </is>
      </c>
      <c r="E1723" t="inlineStr">
        <is>
          <t>BOLLNÄS</t>
        </is>
      </c>
      <c r="G1723" t="n">
        <v>5.3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13460-2026</t>
        </is>
      </c>
      <c r="B1724" s="1" t="n">
        <v>46093</v>
      </c>
      <c r="C1724" s="1" t="n">
        <v>46180</v>
      </c>
      <c r="D1724" t="inlineStr">
        <is>
          <t>GÄVLEBORGS LÄN</t>
        </is>
      </c>
      <c r="E1724" t="inlineStr">
        <is>
          <t>BOLLNÄS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13457-2026</t>
        </is>
      </c>
      <c r="B1725" s="1" t="n">
        <v>46093</v>
      </c>
      <c r="C1725" s="1" t="n">
        <v>46180</v>
      </c>
      <c r="D1725" t="inlineStr">
        <is>
          <t>GÄVLEBORGS LÄN</t>
        </is>
      </c>
      <c r="E1725" t="inlineStr">
        <is>
          <t>BOLLNÄS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12869-2026</t>
        </is>
      </c>
      <c r="B1726" s="1" t="n">
        <v>46092</v>
      </c>
      <c r="C1726" s="1" t="n">
        <v>46180</v>
      </c>
      <c r="D1726" t="inlineStr">
        <is>
          <t>GÄVLEBORGS LÄN</t>
        </is>
      </c>
      <c r="E1726" t="inlineStr">
        <is>
          <t>BOLLNÄS</t>
        </is>
      </c>
      <c r="G1726" t="n">
        <v>3.5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12880-2026</t>
        </is>
      </c>
      <c r="B1727" s="1" t="n">
        <v>46092.53164351852</v>
      </c>
      <c r="C1727" s="1" t="n">
        <v>46180</v>
      </c>
      <c r="D1727" t="inlineStr">
        <is>
          <t>GÄVLEBORGS LÄN</t>
        </is>
      </c>
      <c r="E1727" t="inlineStr">
        <is>
          <t>BOLLNÄS</t>
        </is>
      </c>
      <c r="F1727" t="inlineStr">
        <is>
          <t>Sveaskog</t>
        </is>
      </c>
      <c r="G1727" t="n">
        <v>4.9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13173-2026</t>
        </is>
      </c>
      <c r="B1728" s="1" t="n">
        <v>46093</v>
      </c>
      <c r="C1728" s="1" t="n">
        <v>46180</v>
      </c>
      <c r="D1728" t="inlineStr">
        <is>
          <t>GÄVLEBORGS LÄN</t>
        </is>
      </c>
      <c r="E1728" t="inlineStr">
        <is>
          <t>BOLLNÄS</t>
        </is>
      </c>
      <c r="G1728" t="n">
        <v>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13235-2026</t>
        </is>
      </c>
      <c r="B1729" s="1" t="n">
        <v>46093.63855324074</v>
      </c>
      <c r="C1729" s="1" t="n">
        <v>46180</v>
      </c>
      <c r="D1729" t="inlineStr">
        <is>
          <t>GÄVLEBORGS LÄN</t>
        </is>
      </c>
      <c r="E1729" t="inlineStr">
        <is>
          <t>BOLLNÄS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15355-2025</t>
        </is>
      </c>
      <c r="B1730" s="1" t="n">
        <v>45747.3884375</v>
      </c>
      <c r="C1730" s="1" t="n">
        <v>46180</v>
      </c>
      <c r="D1730" t="inlineStr">
        <is>
          <t>GÄVLEBORGS LÄN</t>
        </is>
      </c>
      <c r="E1730" t="inlineStr">
        <is>
          <t>BOLLNÄS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57706-2025</t>
        </is>
      </c>
      <c r="B1731" s="1" t="n">
        <v>45981.46954861111</v>
      </c>
      <c r="C1731" s="1" t="n">
        <v>46180</v>
      </c>
      <c r="D1731" t="inlineStr">
        <is>
          <t>GÄVLEBORGS LÄN</t>
        </is>
      </c>
      <c r="E1731" t="inlineStr">
        <is>
          <t>BOLLNÄS</t>
        </is>
      </c>
      <c r="G1731" t="n">
        <v>2.4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12843-2026</t>
        </is>
      </c>
      <c r="B1732" s="1" t="n">
        <v>46092.44523148148</v>
      </c>
      <c r="C1732" s="1" t="n">
        <v>46180</v>
      </c>
      <c r="D1732" t="inlineStr">
        <is>
          <t>GÄVLEBORGS LÄN</t>
        </is>
      </c>
      <c r="E1732" t="inlineStr">
        <is>
          <t>BOLLNÄS</t>
        </is>
      </c>
      <c r="F1732" t="inlineStr">
        <is>
          <t>Bergvik skog väst AB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13231-2026</t>
        </is>
      </c>
      <c r="B1733" s="1" t="n">
        <v>46093.63478009259</v>
      </c>
      <c r="C1733" s="1" t="n">
        <v>46180</v>
      </c>
      <c r="D1733" t="inlineStr">
        <is>
          <t>GÄVLEBORGS LÄN</t>
        </is>
      </c>
      <c r="E1733" t="inlineStr">
        <is>
          <t>BOLLNÄS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12871-2026</t>
        </is>
      </c>
      <c r="B1734" s="1" t="n">
        <v>46092</v>
      </c>
      <c r="C1734" s="1" t="n">
        <v>46180</v>
      </c>
      <c r="D1734" t="inlineStr">
        <is>
          <t>GÄVLEBORGS LÄN</t>
        </is>
      </c>
      <c r="E1734" t="inlineStr">
        <is>
          <t>BOLLNÄS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12962-2026</t>
        </is>
      </c>
      <c r="B1735" s="1" t="n">
        <v>46092.64484953704</v>
      </c>
      <c r="C1735" s="1" t="n">
        <v>46180</v>
      </c>
      <c r="D1735" t="inlineStr">
        <is>
          <t>GÄVLEBORGS LÄN</t>
        </is>
      </c>
      <c r="E1735" t="inlineStr">
        <is>
          <t>BOLLNÄS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57995-2025</t>
        </is>
      </c>
      <c r="B1736" s="1" t="n">
        <v>45982.43063657408</v>
      </c>
      <c r="C1736" s="1" t="n">
        <v>46180</v>
      </c>
      <c r="D1736" t="inlineStr">
        <is>
          <t>GÄVLEBORGS LÄN</t>
        </is>
      </c>
      <c r="E1736" t="inlineStr">
        <is>
          <t>BOLLNÄS</t>
        </is>
      </c>
      <c r="G1736" t="n">
        <v>3.2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57708-2025</t>
        </is>
      </c>
      <c r="B1737" s="1" t="n">
        <v>45981.46957175926</v>
      </c>
      <c r="C1737" s="1" t="n">
        <v>46180</v>
      </c>
      <c r="D1737" t="inlineStr">
        <is>
          <t>GÄVLEBORGS LÄN</t>
        </is>
      </c>
      <c r="E1737" t="inlineStr">
        <is>
          <t>BOLLNÄS</t>
        </is>
      </c>
      <c r="G1737" t="n">
        <v>3.4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5806-2022</t>
        </is>
      </c>
      <c r="B1738" s="1" t="n">
        <v>44596.5728125</v>
      </c>
      <c r="C1738" s="1" t="n">
        <v>46180</v>
      </c>
      <c r="D1738" t="inlineStr">
        <is>
          <t>GÄVLEBORGS LÄN</t>
        </is>
      </c>
      <c r="E1738" t="inlineStr">
        <is>
          <t>BOLLNÄS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13363-2026</t>
        </is>
      </c>
      <c r="B1739" s="1" t="n">
        <v>46094</v>
      </c>
      <c r="C1739" s="1" t="n">
        <v>46180</v>
      </c>
      <c r="D1739" t="inlineStr">
        <is>
          <t>GÄVLEBORGS LÄN</t>
        </is>
      </c>
      <c r="E1739" t="inlineStr">
        <is>
          <t>BOLLNÄS</t>
        </is>
      </c>
      <c r="G1739" t="n">
        <v>9.199999999999999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13407-2026</t>
        </is>
      </c>
      <c r="B1740" s="1" t="n">
        <v>46094.4528587963</v>
      </c>
      <c r="C1740" s="1" t="n">
        <v>46180</v>
      </c>
      <c r="D1740" t="inlineStr">
        <is>
          <t>GÄVLEBORGS LÄN</t>
        </is>
      </c>
      <c r="E1740" t="inlineStr">
        <is>
          <t>BOLLNÄS</t>
        </is>
      </c>
      <c r="F1740" t="inlineStr">
        <is>
          <t>Bergvik skog väst AB</t>
        </is>
      </c>
      <c r="G1740" t="n">
        <v>5.6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13418-2026</t>
        </is>
      </c>
      <c r="B1741" s="1" t="n">
        <v>46094.47327546297</v>
      </c>
      <c r="C1741" s="1" t="n">
        <v>46180</v>
      </c>
      <c r="D1741" t="inlineStr">
        <is>
          <t>GÄVLEBORGS LÄN</t>
        </is>
      </c>
      <c r="E1741" t="inlineStr">
        <is>
          <t>BOLLNÄS</t>
        </is>
      </c>
      <c r="G1741" t="n">
        <v>13.3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13427-2026</t>
        </is>
      </c>
      <c r="B1742" s="1" t="n">
        <v>46094.47943287037</v>
      </c>
      <c r="C1742" s="1" t="n">
        <v>46180</v>
      </c>
      <c r="D1742" t="inlineStr">
        <is>
          <t>GÄVLEBORGS LÄN</t>
        </is>
      </c>
      <c r="E1742" t="inlineStr">
        <is>
          <t>BOLLNÄS</t>
        </is>
      </c>
      <c r="G1742" t="n">
        <v>10.1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20177-2026</t>
        </is>
      </c>
      <c r="B1743" s="1" t="n">
        <v>46139.35946759259</v>
      </c>
      <c r="C1743" s="1" t="n">
        <v>46180</v>
      </c>
      <c r="D1743" t="inlineStr">
        <is>
          <t>GÄVLEBORGS LÄN</t>
        </is>
      </c>
      <c r="E1743" t="inlineStr">
        <is>
          <t>BOLLNÄS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20222-2026</t>
        </is>
      </c>
      <c r="B1744" s="1" t="n">
        <v>46139.44053240741</v>
      </c>
      <c r="C1744" s="1" t="n">
        <v>46180</v>
      </c>
      <c r="D1744" t="inlineStr">
        <is>
          <t>GÄVLEBORGS LÄN</t>
        </is>
      </c>
      <c r="E1744" t="inlineStr">
        <is>
          <t>BOLLNÄS</t>
        </is>
      </c>
      <c r="G1744" t="n">
        <v>18.3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58119-2025</t>
        </is>
      </c>
      <c r="B1745" s="1" t="n">
        <v>45982.60759259259</v>
      </c>
      <c r="C1745" s="1" t="n">
        <v>46180</v>
      </c>
      <c r="D1745" t="inlineStr">
        <is>
          <t>GÄVLEBORGS LÄN</t>
        </is>
      </c>
      <c r="E1745" t="inlineStr">
        <is>
          <t>BOLLNÄS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58127-2025</t>
        </is>
      </c>
      <c r="B1746" s="1" t="n">
        <v>45982.61534722222</v>
      </c>
      <c r="C1746" s="1" t="n">
        <v>46180</v>
      </c>
      <c r="D1746" t="inlineStr">
        <is>
          <t>GÄVLEBORGS LÄN</t>
        </is>
      </c>
      <c r="E1746" t="inlineStr">
        <is>
          <t>BOLLNÄS</t>
        </is>
      </c>
      <c r="G1746" t="n">
        <v>3.7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13447-2026</t>
        </is>
      </c>
      <c r="B1747" s="1" t="n">
        <v>46094.50988425926</v>
      </c>
      <c r="C1747" s="1" t="n">
        <v>46180</v>
      </c>
      <c r="D1747" t="inlineStr">
        <is>
          <t>GÄVLEBORGS LÄN</t>
        </is>
      </c>
      <c r="E1747" t="inlineStr">
        <is>
          <t>BOLLNÄS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20283-2026</t>
        </is>
      </c>
      <c r="B1748" s="1" t="n">
        <v>46139.54359953704</v>
      </c>
      <c r="C1748" s="1" t="n">
        <v>46180</v>
      </c>
      <c r="D1748" t="inlineStr">
        <is>
          <t>GÄVLEBORGS LÄN</t>
        </is>
      </c>
      <c r="E1748" t="inlineStr">
        <is>
          <t>BOLLNÄS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9964-2026</t>
        </is>
      </c>
      <c r="B1749" s="1" t="n">
        <v>46073</v>
      </c>
      <c r="C1749" s="1" t="n">
        <v>46180</v>
      </c>
      <c r="D1749" t="inlineStr">
        <is>
          <t>GÄVLEBORGS LÄN</t>
        </is>
      </c>
      <c r="E1749" t="inlineStr">
        <is>
          <t>BOLLNÄS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13497-2026</t>
        </is>
      </c>
      <c r="B1750" s="1" t="n">
        <v>46094</v>
      </c>
      <c r="C1750" s="1" t="n">
        <v>46180</v>
      </c>
      <c r="D1750" t="inlineStr">
        <is>
          <t>GÄVLEBORGS LÄN</t>
        </is>
      </c>
      <c r="E1750" t="inlineStr">
        <is>
          <t>BOLLNÄS</t>
        </is>
      </c>
      <c r="F1750" t="inlineStr">
        <is>
          <t>Bergvik skog väst AB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13549-2026</t>
        </is>
      </c>
      <c r="B1751" s="1" t="n">
        <v>46094.72072916666</v>
      </c>
      <c r="C1751" s="1" t="n">
        <v>46180</v>
      </c>
      <c r="D1751" t="inlineStr">
        <is>
          <t>GÄVLEBORGS LÄN</t>
        </is>
      </c>
      <c r="E1751" t="inlineStr">
        <is>
          <t>BOLLNÄS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8959-2026</t>
        </is>
      </c>
      <c r="B1752" s="1" t="n">
        <v>46069</v>
      </c>
      <c r="C1752" s="1" t="n">
        <v>46180</v>
      </c>
      <c r="D1752" t="inlineStr">
        <is>
          <t>GÄVLEBORGS LÄN</t>
        </is>
      </c>
      <c r="E1752" t="inlineStr">
        <is>
          <t>BOLLNÄS</t>
        </is>
      </c>
      <c r="F1752" t="inlineStr">
        <is>
          <t>Bergvik skog väst AB</t>
        </is>
      </c>
      <c r="G1752" t="n">
        <v>6.5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20032-2026</t>
        </is>
      </c>
      <c r="B1753" s="1" t="n">
        <v>46136.55145833334</v>
      </c>
      <c r="C1753" s="1" t="n">
        <v>46180</v>
      </c>
      <c r="D1753" t="inlineStr">
        <is>
          <t>GÄVLEBORGS LÄN</t>
        </is>
      </c>
      <c r="E1753" t="inlineStr">
        <is>
          <t>BOLLNÄS</t>
        </is>
      </c>
      <c r="F1753" t="inlineStr">
        <is>
          <t>Bergvik skog öst AB</t>
        </is>
      </c>
      <c r="G1753" t="n">
        <v>20.5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57893-2025</t>
        </is>
      </c>
      <c r="B1754" s="1" t="n">
        <v>45981.69824074074</v>
      </c>
      <c r="C1754" s="1" t="n">
        <v>46180</v>
      </c>
      <c r="D1754" t="inlineStr">
        <is>
          <t>GÄVLEBORGS LÄN</t>
        </is>
      </c>
      <c r="E1754" t="inlineStr">
        <is>
          <t>BOLLNÄS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20557-2023</t>
        </is>
      </c>
      <c r="B1755" s="1" t="n">
        <v>45057.62391203704</v>
      </c>
      <c r="C1755" s="1" t="n">
        <v>46180</v>
      </c>
      <c r="D1755" t="inlineStr">
        <is>
          <t>GÄVLEBORGS LÄN</t>
        </is>
      </c>
      <c r="E1755" t="inlineStr">
        <is>
          <t>BOLLNÄS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20264-2026</t>
        </is>
      </c>
      <c r="B1756" s="1" t="n">
        <v>46139.49767361111</v>
      </c>
      <c r="C1756" s="1" t="n">
        <v>46180</v>
      </c>
      <c r="D1756" t="inlineStr">
        <is>
          <t>GÄVLEBORGS LÄN</t>
        </is>
      </c>
      <c r="E1756" t="inlineStr">
        <is>
          <t>BOLLNÄS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20282-2026</t>
        </is>
      </c>
      <c r="B1757" s="1" t="n">
        <v>46139.54280092593</v>
      </c>
      <c r="C1757" s="1" t="n">
        <v>46180</v>
      </c>
      <c r="D1757" t="inlineStr">
        <is>
          <t>GÄVLEBORGS LÄN</t>
        </is>
      </c>
      <c r="E1757" t="inlineStr">
        <is>
          <t>BOLLNÄS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13331-2026</t>
        </is>
      </c>
      <c r="B1758" s="1" t="n">
        <v>46094.36899305556</v>
      </c>
      <c r="C1758" s="1" t="n">
        <v>46180</v>
      </c>
      <c r="D1758" t="inlineStr">
        <is>
          <t>GÄVLEBORGS LÄN</t>
        </is>
      </c>
      <c r="E1758" t="inlineStr">
        <is>
          <t>BOLLNÄS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13333-2026</t>
        </is>
      </c>
      <c r="B1759" s="1" t="n">
        <v>46094</v>
      </c>
      <c r="C1759" s="1" t="n">
        <v>46180</v>
      </c>
      <c r="D1759" t="inlineStr">
        <is>
          <t>GÄVLEBORGS LÄN</t>
        </is>
      </c>
      <c r="E1759" t="inlineStr">
        <is>
          <t>BOLLNÄS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20036-2026</t>
        </is>
      </c>
      <c r="B1760" s="1" t="n">
        <v>46136.55370370371</v>
      </c>
      <c r="C1760" s="1" t="n">
        <v>46180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Bergvik skog öst AB</t>
        </is>
      </c>
      <c r="G1760" t="n">
        <v>23.8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20287-2026</t>
        </is>
      </c>
      <c r="B1761" s="1" t="n">
        <v>46139.54623842592</v>
      </c>
      <c r="C1761" s="1" t="n">
        <v>46180</v>
      </c>
      <c r="D1761" t="inlineStr">
        <is>
          <t>GÄVLEBORGS LÄN</t>
        </is>
      </c>
      <c r="E1761" t="inlineStr">
        <is>
          <t>BOLLNÄS</t>
        </is>
      </c>
      <c r="G1761" t="n">
        <v>6.9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49445-2021</t>
        </is>
      </c>
      <c r="B1762" s="1" t="n">
        <v>44454</v>
      </c>
      <c r="C1762" s="1" t="n">
        <v>46180</v>
      </c>
      <c r="D1762" t="inlineStr">
        <is>
          <t>GÄVLEBORGS LÄN</t>
        </is>
      </c>
      <c r="E1762" t="inlineStr">
        <is>
          <t>BOLLNÄS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20227-2026</t>
        </is>
      </c>
      <c r="B1763" s="1" t="n">
        <v>46139.45105324074</v>
      </c>
      <c r="C1763" s="1" t="n">
        <v>46180</v>
      </c>
      <c r="D1763" t="inlineStr">
        <is>
          <t>GÄVLEBORGS LÄN</t>
        </is>
      </c>
      <c r="E1763" t="inlineStr">
        <is>
          <t>BOLLNÄS</t>
        </is>
      </c>
      <c r="F1763" t="inlineStr">
        <is>
          <t>Bergvik skog öst AB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20236-2026</t>
        </is>
      </c>
      <c r="B1764" s="1" t="n">
        <v>46139.46402777778</v>
      </c>
      <c r="C1764" s="1" t="n">
        <v>46180</v>
      </c>
      <c r="D1764" t="inlineStr">
        <is>
          <t>GÄVLEBORGS LÄN</t>
        </is>
      </c>
      <c r="E1764" t="inlineStr">
        <is>
          <t>BOLLNÄS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13653-2026</t>
        </is>
      </c>
      <c r="B1765" s="1" t="n">
        <v>46097.44431712963</v>
      </c>
      <c r="C1765" s="1" t="n">
        <v>46180</v>
      </c>
      <c r="D1765" t="inlineStr">
        <is>
          <t>GÄVLEBORGS LÄN</t>
        </is>
      </c>
      <c r="E1765" t="inlineStr">
        <is>
          <t>BOLLNÄS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13325-2026</t>
        </is>
      </c>
      <c r="B1766" s="1" t="n">
        <v>46094.35863425926</v>
      </c>
      <c r="C1766" s="1" t="n">
        <v>46180</v>
      </c>
      <c r="D1766" t="inlineStr">
        <is>
          <t>GÄVLEBORGS LÄN</t>
        </is>
      </c>
      <c r="E1766" t="inlineStr">
        <is>
          <t>BOLLNÄS</t>
        </is>
      </c>
      <c r="G1766" t="n">
        <v>3.8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13294-2026</t>
        </is>
      </c>
      <c r="B1767" s="1" t="n">
        <v>46094</v>
      </c>
      <c r="C1767" s="1" t="n">
        <v>46180</v>
      </c>
      <c r="D1767" t="inlineStr">
        <is>
          <t>GÄVLEBORGS LÄN</t>
        </is>
      </c>
      <c r="E1767" t="inlineStr">
        <is>
          <t>BOLLNÄS</t>
        </is>
      </c>
      <c r="G1767" t="n">
        <v>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13327-2026</t>
        </is>
      </c>
      <c r="B1768" s="1" t="n">
        <v>46094</v>
      </c>
      <c r="C1768" s="1" t="n">
        <v>46180</v>
      </c>
      <c r="D1768" t="inlineStr">
        <is>
          <t>GÄVLEBORGS LÄN</t>
        </is>
      </c>
      <c r="E1768" t="inlineStr">
        <is>
          <t>BOLLNÄS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13341-2026</t>
        </is>
      </c>
      <c r="B1769" s="1" t="n">
        <v>46094</v>
      </c>
      <c r="C1769" s="1" t="n">
        <v>46180</v>
      </c>
      <c r="D1769" t="inlineStr">
        <is>
          <t>GÄVLEBORGS LÄN</t>
        </is>
      </c>
      <c r="E1769" t="inlineStr">
        <is>
          <t>BOLLNÄS</t>
        </is>
      </c>
      <c r="G1769" t="n">
        <v>11.7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13346-2026</t>
        </is>
      </c>
      <c r="B1770" s="1" t="n">
        <v>46094.38118055555</v>
      </c>
      <c r="C1770" s="1" t="n">
        <v>46180</v>
      </c>
      <c r="D1770" t="inlineStr">
        <is>
          <t>GÄVLEBORGS LÄN</t>
        </is>
      </c>
      <c r="E1770" t="inlineStr">
        <is>
          <t>BOLLNÄS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13656-2026</t>
        </is>
      </c>
      <c r="B1771" s="1" t="n">
        <v>46097.45587962963</v>
      </c>
      <c r="C1771" s="1" t="n">
        <v>46180</v>
      </c>
      <c r="D1771" t="inlineStr">
        <is>
          <t>GÄVLEBORGS LÄN</t>
        </is>
      </c>
      <c r="E1771" t="inlineStr">
        <is>
          <t>BOLLNÄS</t>
        </is>
      </c>
      <c r="F1771" t="inlineStr">
        <is>
          <t>Bergvik skog väst AB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13657-2026</t>
        </is>
      </c>
      <c r="B1772" s="1" t="n">
        <v>46097.45652777778</v>
      </c>
      <c r="C1772" s="1" t="n">
        <v>46180</v>
      </c>
      <c r="D1772" t="inlineStr">
        <is>
          <t>GÄVLEBORGS LÄN</t>
        </is>
      </c>
      <c r="E1772" t="inlineStr">
        <is>
          <t>BOLLNÄS</t>
        </is>
      </c>
      <c r="F1772" t="inlineStr">
        <is>
          <t>Bergvik skog väst AB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13675-2026</t>
        </is>
      </c>
      <c r="B1773" s="1" t="n">
        <v>46097.49768518518</v>
      </c>
      <c r="C1773" s="1" t="n">
        <v>46180</v>
      </c>
      <c r="D1773" t="inlineStr">
        <is>
          <t>GÄVLEBORGS LÄN</t>
        </is>
      </c>
      <c r="E1773" t="inlineStr">
        <is>
          <t>BOLLNÄS</t>
        </is>
      </c>
      <c r="F1773" t="inlineStr">
        <is>
          <t>Bergvik skog väst AB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13296-2026</t>
        </is>
      </c>
      <c r="B1774" s="1" t="n">
        <v>46094</v>
      </c>
      <c r="C1774" s="1" t="n">
        <v>46180</v>
      </c>
      <c r="D1774" t="inlineStr">
        <is>
          <t>GÄVLEBORGS LÄN</t>
        </is>
      </c>
      <c r="E1774" t="inlineStr">
        <is>
          <t>BOLLNÄS</t>
        </is>
      </c>
      <c r="G1774" t="n">
        <v>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13308-2026</t>
        </is>
      </c>
      <c r="B1775" s="1" t="n">
        <v>46094</v>
      </c>
      <c r="C1775" s="1" t="n">
        <v>46180</v>
      </c>
      <c r="D1775" t="inlineStr">
        <is>
          <t>GÄVLEBORGS LÄN</t>
        </is>
      </c>
      <c r="E1775" t="inlineStr">
        <is>
          <t>BOLLNÄS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13345-2026</t>
        </is>
      </c>
      <c r="B1776" s="1" t="n">
        <v>46094.3784837963</v>
      </c>
      <c r="C1776" s="1" t="n">
        <v>46180</v>
      </c>
      <c r="D1776" t="inlineStr">
        <is>
          <t>GÄVLEBORGS LÄN</t>
        </is>
      </c>
      <c r="E1776" t="inlineStr">
        <is>
          <t>BOLLNÄS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13349-2026</t>
        </is>
      </c>
      <c r="B1777" s="1" t="n">
        <v>46094</v>
      </c>
      <c r="C1777" s="1" t="n">
        <v>46180</v>
      </c>
      <c r="D1777" t="inlineStr">
        <is>
          <t>GÄVLEBORGS LÄN</t>
        </is>
      </c>
      <c r="E1777" t="inlineStr">
        <is>
          <t>BOLLNÄS</t>
        </is>
      </c>
      <c r="G1777" t="n">
        <v>6.4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13356-2026</t>
        </is>
      </c>
      <c r="B1778" s="1" t="n">
        <v>46094.3946412037</v>
      </c>
      <c r="C1778" s="1" t="n">
        <v>46180</v>
      </c>
      <c r="D1778" t="inlineStr">
        <is>
          <t>GÄVLEBORGS LÄN</t>
        </is>
      </c>
      <c r="E1778" t="inlineStr">
        <is>
          <t>BOLLNÄS</t>
        </is>
      </c>
      <c r="F1778" t="inlineStr">
        <is>
          <t>Holmen skog AB</t>
        </is>
      </c>
      <c r="G1778" t="n">
        <v>6.8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13372-2026</t>
        </is>
      </c>
      <c r="B1779" s="1" t="n">
        <v>46094.41543981482</v>
      </c>
      <c r="C1779" s="1" t="n">
        <v>46180</v>
      </c>
      <c r="D1779" t="inlineStr">
        <is>
          <t>GÄVLEBORGS LÄN</t>
        </is>
      </c>
      <c r="E1779" t="inlineStr">
        <is>
          <t>BOLLNÄS</t>
        </is>
      </c>
      <c r="F1779" t="inlineStr">
        <is>
          <t>Holmen skog AB</t>
        </is>
      </c>
      <c r="G1779" t="n">
        <v>5.5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20189-2026</t>
        </is>
      </c>
      <c r="B1780" s="1" t="n">
        <v>46139.37150462963</v>
      </c>
      <c r="C1780" s="1" t="n">
        <v>46180</v>
      </c>
      <c r="D1780" t="inlineStr">
        <is>
          <t>GÄVLEBORGS LÄN</t>
        </is>
      </c>
      <c r="E1780" t="inlineStr">
        <is>
          <t>BOLLNÄS</t>
        </is>
      </c>
      <c r="G1780" t="n">
        <v>11.7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13624-2026</t>
        </is>
      </c>
      <c r="B1781" s="1" t="n">
        <v>46097.36164351852</v>
      </c>
      <c r="C1781" s="1" t="n">
        <v>46180</v>
      </c>
      <c r="D1781" t="inlineStr">
        <is>
          <t>GÄVLEBORGS LÄN</t>
        </is>
      </c>
      <c r="E1781" t="inlineStr">
        <is>
          <t>BOLLNÄS</t>
        </is>
      </c>
      <c r="G1781" t="n">
        <v>3.9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13646-2026</t>
        </is>
      </c>
      <c r="B1782" s="1" t="n">
        <v>46097.42412037037</v>
      </c>
      <c r="C1782" s="1" t="n">
        <v>46180</v>
      </c>
      <c r="D1782" t="inlineStr">
        <is>
          <t>GÄVLEBORGS LÄN</t>
        </is>
      </c>
      <c r="E1782" t="inlineStr">
        <is>
          <t>BOLLNÄS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20038-2026</t>
        </is>
      </c>
      <c r="B1783" s="1" t="n">
        <v>46136.55596064815</v>
      </c>
      <c r="C1783" s="1" t="n">
        <v>46180</v>
      </c>
      <c r="D1783" t="inlineStr">
        <is>
          <t>GÄVLEBORGS LÄN</t>
        </is>
      </c>
      <c r="E1783" t="inlineStr">
        <is>
          <t>BOLLNÄS</t>
        </is>
      </c>
      <c r="F1783" t="inlineStr">
        <is>
          <t>Bergvik skog öst AB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8955-2026</t>
        </is>
      </c>
      <c r="B1784" s="1" t="n">
        <v>46069</v>
      </c>
      <c r="C1784" s="1" t="n">
        <v>46180</v>
      </c>
      <c r="D1784" t="inlineStr">
        <is>
          <t>GÄVLEBORGS LÄN</t>
        </is>
      </c>
      <c r="E1784" t="inlineStr">
        <is>
          <t>BOLLNÄS</t>
        </is>
      </c>
      <c r="F1784" t="inlineStr">
        <is>
          <t>Bergvik skog väst AB</t>
        </is>
      </c>
      <c r="G1784" t="n">
        <v>3.1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13556-2026</t>
        </is>
      </c>
      <c r="B1785" s="1" t="n">
        <v>46094</v>
      </c>
      <c r="C1785" s="1" t="n">
        <v>46180</v>
      </c>
      <c r="D1785" t="inlineStr">
        <is>
          <t>GÄVLEBORGS LÄN</t>
        </is>
      </c>
      <c r="E1785" t="inlineStr">
        <is>
          <t>BOLLNÄS</t>
        </is>
      </c>
      <c r="G1785" t="n">
        <v>9.6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13679-2026</t>
        </is>
      </c>
      <c r="B1786" s="1" t="n">
        <v>46097.50550925926</v>
      </c>
      <c r="C1786" s="1" t="n">
        <v>46180</v>
      </c>
      <c r="D1786" t="inlineStr">
        <is>
          <t>GÄVLEBORGS LÄN</t>
        </is>
      </c>
      <c r="E1786" t="inlineStr">
        <is>
          <t>BOLLNÄS</t>
        </is>
      </c>
      <c r="F1786" t="inlineStr">
        <is>
          <t>Bergvik skog väst AB</t>
        </is>
      </c>
      <c r="G1786" t="n">
        <v>2.9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18013-2023</t>
        </is>
      </c>
      <c r="B1787" s="1" t="n">
        <v>45040.57412037037</v>
      </c>
      <c r="C1787" s="1" t="n">
        <v>46180</v>
      </c>
      <c r="D1787" t="inlineStr">
        <is>
          <t>GÄVLEBORGS LÄN</t>
        </is>
      </c>
      <c r="E1787" t="inlineStr">
        <is>
          <t>BOLLNÄS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20228-2026</t>
        </is>
      </c>
      <c r="B1788" s="1" t="n">
        <v>46139.45240740741</v>
      </c>
      <c r="C1788" s="1" t="n">
        <v>46180</v>
      </c>
      <c r="D1788" t="inlineStr">
        <is>
          <t>GÄVLEBORGS LÄN</t>
        </is>
      </c>
      <c r="E1788" t="inlineStr">
        <is>
          <t>BOLLNÄS</t>
        </is>
      </c>
      <c r="G1788" t="n">
        <v>13.5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13301-2026</t>
        </is>
      </c>
      <c r="B1789" s="1" t="n">
        <v>46094</v>
      </c>
      <c r="C1789" s="1" t="n">
        <v>46180</v>
      </c>
      <c r="D1789" t="inlineStr">
        <is>
          <t>GÄVLEBORGS LÄN</t>
        </is>
      </c>
      <c r="E1789" t="inlineStr">
        <is>
          <t>BOLLNÄS</t>
        </is>
      </c>
      <c r="G1789" t="n">
        <v>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58281-2025</t>
        </is>
      </c>
      <c r="B1790" s="1" t="n">
        <v>45985.44121527778</v>
      </c>
      <c r="C1790" s="1" t="n">
        <v>46180</v>
      </c>
      <c r="D1790" t="inlineStr">
        <is>
          <t>GÄVLEBORGS LÄN</t>
        </is>
      </c>
      <c r="E1790" t="inlineStr">
        <is>
          <t>BOLLNÄS</t>
        </is>
      </c>
      <c r="G1790" t="n">
        <v>2.3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13665-2026</t>
        </is>
      </c>
      <c r="B1791" s="1" t="n">
        <v>46097.46891203704</v>
      </c>
      <c r="C1791" s="1" t="n">
        <v>46180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7.6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13671-2026</t>
        </is>
      </c>
      <c r="B1792" s="1" t="n">
        <v>46097</v>
      </c>
      <c r="C1792" s="1" t="n">
        <v>46180</v>
      </c>
      <c r="D1792" t="inlineStr">
        <is>
          <t>GÄVLEBORGS LÄN</t>
        </is>
      </c>
      <c r="E1792" t="inlineStr">
        <is>
          <t>BOLLNÄS</t>
        </is>
      </c>
      <c r="F1792" t="inlineStr">
        <is>
          <t>Bergvik skog väst AB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13305-2026</t>
        </is>
      </c>
      <c r="B1793" s="1" t="n">
        <v>46094</v>
      </c>
      <c r="C1793" s="1" t="n">
        <v>46180</v>
      </c>
      <c r="D1793" t="inlineStr">
        <is>
          <t>GÄVLEBORGS LÄN</t>
        </is>
      </c>
      <c r="E1793" t="inlineStr">
        <is>
          <t>BOLLNÄS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13311-2026</t>
        </is>
      </c>
      <c r="B1794" s="1" t="n">
        <v>46094</v>
      </c>
      <c r="C1794" s="1" t="n">
        <v>46180</v>
      </c>
      <c r="D1794" t="inlineStr">
        <is>
          <t>GÄVLEBORGS LÄN</t>
        </is>
      </c>
      <c r="E1794" t="inlineStr">
        <is>
          <t>BOLLNÄS</t>
        </is>
      </c>
      <c r="G1794" t="n">
        <v>3.3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13324-2026</t>
        </is>
      </c>
      <c r="B1795" s="1" t="n">
        <v>46094.35413194444</v>
      </c>
      <c r="C1795" s="1" t="n">
        <v>46180</v>
      </c>
      <c r="D1795" t="inlineStr">
        <is>
          <t>GÄVLEBORGS LÄN</t>
        </is>
      </c>
      <c r="E1795" t="inlineStr">
        <is>
          <t>BOLLNÄS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13340-2026</t>
        </is>
      </c>
      <c r="B1796" s="1" t="n">
        <v>46094.37483796296</v>
      </c>
      <c r="C1796" s="1" t="n">
        <v>46180</v>
      </c>
      <c r="D1796" t="inlineStr">
        <is>
          <t>GÄVLEBORGS LÄN</t>
        </is>
      </c>
      <c r="E1796" t="inlineStr">
        <is>
          <t>BOLLNÄS</t>
        </is>
      </c>
      <c r="G1796" t="n">
        <v>7.2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20186-2026</t>
        </is>
      </c>
      <c r="B1797" s="1" t="n">
        <v>46139.36732638889</v>
      </c>
      <c r="C1797" s="1" t="n">
        <v>46180</v>
      </c>
      <c r="D1797" t="inlineStr">
        <is>
          <t>GÄVLEBORGS LÄN</t>
        </is>
      </c>
      <c r="E1797" t="inlineStr">
        <is>
          <t>BOLLNÄS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20192-2026</t>
        </is>
      </c>
      <c r="B1798" s="1" t="n">
        <v>46139.37245370371</v>
      </c>
      <c r="C1798" s="1" t="n">
        <v>46180</v>
      </c>
      <c r="D1798" t="inlineStr">
        <is>
          <t>GÄVLEBORGS LÄN</t>
        </is>
      </c>
      <c r="E1798" t="inlineStr">
        <is>
          <t>BOLLNÄS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20229-2026</t>
        </is>
      </c>
      <c r="B1799" s="1" t="n">
        <v>46139.45392361111</v>
      </c>
      <c r="C1799" s="1" t="n">
        <v>46180</v>
      </c>
      <c r="D1799" t="inlineStr">
        <is>
          <t>GÄVLEBORGS LÄN</t>
        </is>
      </c>
      <c r="E1799" t="inlineStr">
        <is>
          <t>BOLLNÄS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8957-2026</t>
        </is>
      </c>
      <c r="B1800" s="1" t="n">
        <v>46069</v>
      </c>
      <c r="C1800" s="1" t="n">
        <v>46180</v>
      </c>
      <c r="D1800" t="inlineStr">
        <is>
          <t>GÄVLEBORGS LÄN</t>
        </is>
      </c>
      <c r="E1800" t="inlineStr">
        <is>
          <t>BOLLNÄS</t>
        </is>
      </c>
      <c r="F1800" t="inlineStr">
        <is>
          <t>Bergvik skog väst AB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13421-2026</t>
        </is>
      </c>
      <c r="B1801" s="1" t="n">
        <v>46094.47552083333</v>
      </c>
      <c r="C1801" s="1" t="n">
        <v>46180</v>
      </c>
      <c r="D1801" t="inlineStr">
        <is>
          <t>GÄVLEBORGS LÄN</t>
        </is>
      </c>
      <c r="E1801" t="inlineStr">
        <is>
          <t>BOLLNÄS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13424-2026</t>
        </is>
      </c>
      <c r="B1802" s="1" t="n">
        <v>46094.47650462963</v>
      </c>
      <c r="C1802" s="1" t="n">
        <v>46180</v>
      </c>
      <c r="D1802" t="inlineStr">
        <is>
          <t>GÄVLEBORGS LÄN</t>
        </is>
      </c>
      <c r="E1802" t="inlineStr">
        <is>
          <t>BOLLNÄS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13440-2026</t>
        </is>
      </c>
      <c r="B1803" s="1" t="n">
        <v>46094</v>
      </c>
      <c r="C1803" s="1" t="n">
        <v>46180</v>
      </c>
      <c r="D1803" t="inlineStr">
        <is>
          <t>GÄVLEBORGS LÄN</t>
        </is>
      </c>
      <c r="E1803" t="inlineStr">
        <is>
          <t>BOLLNÄS</t>
        </is>
      </c>
      <c r="G1803" t="n">
        <v>6.3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20252-2026</t>
        </is>
      </c>
      <c r="B1804" s="1" t="n">
        <v>46139.48202546296</v>
      </c>
      <c r="C1804" s="1" t="n">
        <v>46180</v>
      </c>
      <c r="D1804" t="inlineStr">
        <is>
          <t>GÄVLEBORGS LÄN</t>
        </is>
      </c>
      <c r="E1804" t="inlineStr">
        <is>
          <t>BOLLNÄS</t>
        </is>
      </c>
      <c r="G1804" t="n">
        <v>6.4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58697-2025</t>
        </is>
      </c>
      <c r="B1805" s="1" t="n">
        <v>45986.58783564815</v>
      </c>
      <c r="C1805" s="1" t="n">
        <v>46180</v>
      </c>
      <c r="D1805" t="inlineStr">
        <is>
          <t>GÄVLEBORGS LÄN</t>
        </is>
      </c>
      <c r="E1805" t="inlineStr">
        <is>
          <t>BOLLNÄS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13613-2026</t>
        </is>
      </c>
      <c r="B1806" s="1" t="n">
        <v>46097.33965277778</v>
      </c>
      <c r="C1806" s="1" t="n">
        <v>46180</v>
      </c>
      <c r="D1806" t="inlineStr">
        <is>
          <t>GÄVLEBORGS LÄN</t>
        </is>
      </c>
      <c r="E1806" t="inlineStr">
        <is>
          <t>BOLLNÄS</t>
        </is>
      </c>
      <c r="F1806" t="inlineStr">
        <is>
          <t>Kyrkan</t>
        </is>
      </c>
      <c r="G1806" t="n">
        <v>7.1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13614-2026</t>
        </is>
      </c>
      <c r="B1807" s="1" t="n">
        <v>46097</v>
      </c>
      <c r="C1807" s="1" t="n">
        <v>46180</v>
      </c>
      <c r="D1807" t="inlineStr">
        <is>
          <t>GÄVLEBORGS LÄN</t>
        </is>
      </c>
      <c r="E1807" t="inlineStr">
        <is>
          <t>BOLLNÄS</t>
        </is>
      </c>
      <c r="F1807" t="inlineStr">
        <is>
          <t>Bergvik skog väst AB</t>
        </is>
      </c>
      <c r="G1807" t="n">
        <v>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13625-2026</t>
        </is>
      </c>
      <c r="B1808" s="1" t="n">
        <v>46097.36298611111</v>
      </c>
      <c r="C1808" s="1" t="n">
        <v>46180</v>
      </c>
      <c r="D1808" t="inlineStr">
        <is>
          <t>GÄVLEBORGS LÄN</t>
        </is>
      </c>
      <c r="E1808" t="inlineStr">
        <is>
          <t>BOLLNÄS</t>
        </is>
      </c>
      <c r="G1808" t="n">
        <v>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13732-2026</t>
        </is>
      </c>
      <c r="B1809" s="1" t="n">
        <v>46097.62387731481</v>
      </c>
      <c r="C1809" s="1" t="n">
        <v>46180</v>
      </c>
      <c r="D1809" t="inlineStr">
        <is>
          <t>GÄVLEBORGS LÄN</t>
        </is>
      </c>
      <c r="E1809" t="inlineStr">
        <is>
          <t>BOLLNÄS</t>
        </is>
      </c>
      <c r="G1809" t="n">
        <v>2.4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20178-2026</t>
        </is>
      </c>
      <c r="B1810" s="1" t="n">
        <v>46139.36027777778</v>
      </c>
      <c r="C1810" s="1" t="n">
        <v>46180</v>
      </c>
      <c r="D1810" t="inlineStr">
        <is>
          <t>GÄVLEBORGS LÄN</t>
        </is>
      </c>
      <c r="E1810" t="inlineStr">
        <is>
          <t>BOLLNÄS</t>
        </is>
      </c>
      <c r="G1810" t="n">
        <v>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20180-2026</t>
        </is>
      </c>
      <c r="B1811" s="1" t="n">
        <v>46139.36141203704</v>
      </c>
      <c r="C1811" s="1" t="n">
        <v>46180</v>
      </c>
      <c r="D1811" t="inlineStr">
        <is>
          <t>GÄVLEBORGS LÄN</t>
        </is>
      </c>
      <c r="E1811" t="inlineStr">
        <is>
          <t>BOLLNÄS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13450-2026</t>
        </is>
      </c>
      <c r="B1812" s="1" t="n">
        <v>46094</v>
      </c>
      <c r="C1812" s="1" t="n">
        <v>46180</v>
      </c>
      <c r="D1812" t="inlineStr">
        <is>
          <t>GÄVLEBORGS LÄN</t>
        </is>
      </c>
      <c r="E1812" t="inlineStr">
        <is>
          <t>BOLLNÄS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13596-2026</t>
        </is>
      </c>
      <c r="B1813" s="1" t="n">
        <v>46097.23204861111</v>
      </c>
      <c r="C1813" s="1" t="n">
        <v>46180</v>
      </c>
      <c r="D1813" t="inlineStr">
        <is>
          <t>GÄVLEBORGS LÄN</t>
        </is>
      </c>
      <c r="E1813" t="inlineStr">
        <is>
          <t>BOLLNÄS</t>
        </is>
      </c>
      <c r="G1813" t="n">
        <v>3.3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13597-2026</t>
        </is>
      </c>
      <c r="B1814" s="1" t="n">
        <v>46097.24393518519</v>
      </c>
      <c r="C1814" s="1" t="n">
        <v>46180</v>
      </c>
      <c r="D1814" t="inlineStr">
        <is>
          <t>GÄVLEBORGS LÄN</t>
        </is>
      </c>
      <c r="E1814" t="inlineStr">
        <is>
          <t>BOLLNÄS</t>
        </is>
      </c>
      <c r="G1814" t="n">
        <v>19.6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13702-2026</t>
        </is>
      </c>
      <c r="B1815" s="1" t="n">
        <v>46097.5663425926</v>
      </c>
      <c r="C1815" s="1" t="n">
        <v>46180</v>
      </c>
      <c r="D1815" t="inlineStr">
        <is>
          <t>GÄVLEBORGS LÄN</t>
        </is>
      </c>
      <c r="E1815" t="inlineStr">
        <is>
          <t>BOLLNÄS</t>
        </is>
      </c>
      <c r="G1815" t="n">
        <v>4.9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13680-2026</t>
        </is>
      </c>
      <c r="B1816" s="1" t="n">
        <v>46097</v>
      </c>
      <c r="C1816" s="1" t="n">
        <v>46180</v>
      </c>
      <c r="D1816" t="inlineStr">
        <is>
          <t>GÄVLEBORGS LÄN</t>
        </is>
      </c>
      <c r="E1816" t="inlineStr">
        <is>
          <t>BOLLNÄS</t>
        </is>
      </c>
      <c r="F1816" t="inlineStr">
        <is>
          <t>Bergvik skog väst AB</t>
        </is>
      </c>
      <c r="G1816" t="n">
        <v>6.1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20285-2026</t>
        </is>
      </c>
      <c r="B1817" s="1" t="n">
        <v>46139.54483796296</v>
      </c>
      <c r="C1817" s="1" t="n">
        <v>46180</v>
      </c>
      <c r="D1817" t="inlineStr">
        <is>
          <t>GÄVLEBORGS LÄN</t>
        </is>
      </c>
      <c r="E1817" t="inlineStr">
        <is>
          <t>BOLLNÄS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13357-2026</t>
        </is>
      </c>
      <c r="B1818" s="1" t="n">
        <v>46094.39489583333</v>
      </c>
      <c r="C1818" s="1" t="n">
        <v>46180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Bergvik skog väst AB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13358-2026</t>
        </is>
      </c>
      <c r="B1819" s="1" t="n">
        <v>46094</v>
      </c>
      <c r="C1819" s="1" t="n">
        <v>46180</v>
      </c>
      <c r="D1819" t="inlineStr">
        <is>
          <t>GÄVLEBORGS LÄN</t>
        </is>
      </c>
      <c r="E1819" t="inlineStr">
        <is>
          <t>BOLLNÄS</t>
        </is>
      </c>
      <c r="G1819" t="n">
        <v>7.4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13364-2026</t>
        </is>
      </c>
      <c r="B1820" s="1" t="n">
        <v>46094</v>
      </c>
      <c r="C1820" s="1" t="n">
        <v>46180</v>
      </c>
      <c r="D1820" t="inlineStr">
        <is>
          <t>GÄVLEBORGS LÄN</t>
        </is>
      </c>
      <c r="E1820" t="inlineStr">
        <is>
          <t>BOLLNÄS</t>
        </is>
      </c>
      <c r="G1820" t="n">
        <v>12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13368-2026</t>
        </is>
      </c>
      <c r="B1821" s="1" t="n">
        <v>46094</v>
      </c>
      <c r="C1821" s="1" t="n">
        <v>46180</v>
      </c>
      <c r="D1821" t="inlineStr">
        <is>
          <t>GÄVLEBORGS LÄN</t>
        </is>
      </c>
      <c r="E1821" t="inlineStr">
        <is>
          <t>BOLLNÄS</t>
        </is>
      </c>
      <c r="G1821" t="n">
        <v>22.6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13373-2026</t>
        </is>
      </c>
      <c r="B1822" s="1" t="n">
        <v>46094</v>
      </c>
      <c r="C1822" s="1" t="n">
        <v>46180</v>
      </c>
      <c r="D1822" t="inlineStr">
        <is>
          <t>GÄVLEBORGS LÄN</t>
        </is>
      </c>
      <c r="E1822" t="inlineStr">
        <is>
          <t>BOLLNÄS</t>
        </is>
      </c>
      <c r="G1822" t="n">
        <v>6.4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13378-2026</t>
        </is>
      </c>
      <c r="B1823" s="1" t="n">
        <v>46094</v>
      </c>
      <c r="C1823" s="1" t="n">
        <v>46180</v>
      </c>
      <c r="D1823" t="inlineStr">
        <is>
          <t>GÄVLEBORGS LÄN</t>
        </is>
      </c>
      <c r="E1823" t="inlineStr">
        <is>
          <t>BOLLNÄS</t>
        </is>
      </c>
      <c r="G1823" t="n">
        <v>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58279-2025</t>
        </is>
      </c>
      <c r="B1824" s="1" t="n">
        <v>45985.43799768519</v>
      </c>
      <c r="C1824" s="1" t="n">
        <v>46180</v>
      </c>
      <c r="D1824" t="inlineStr">
        <is>
          <t>GÄVLEBORGS LÄN</t>
        </is>
      </c>
      <c r="E1824" t="inlineStr">
        <is>
          <t>BOLLNÄS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13512-2026</t>
        </is>
      </c>
      <c r="B1825" s="1" t="n">
        <v>46094.60585648148</v>
      </c>
      <c r="C1825" s="1" t="n">
        <v>46180</v>
      </c>
      <c r="D1825" t="inlineStr">
        <is>
          <t>GÄVLEBORGS LÄN</t>
        </is>
      </c>
      <c r="E1825" t="inlineStr">
        <is>
          <t>BOLLNÄS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13540-2026</t>
        </is>
      </c>
      <c r="B1826" s="1" t="n">
        <v>46094.67141203704</v>
      </c>
      <c r="C1826" s="1" t="n">
        <v>46180</v>
      </c>
      <c r="D1826" t="inlineStr">
        <is>
          <t>GÄVLEBORGS LÄN</t>
        </is>
      </c>
      <c r="E1826" t="inlineStr">
        <is>
          <t>BOLLNÄS</t>
        </is>
      </c>
      <c r="G1826" t="n">
        <v>2.9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20181-2026</t>
        </is>
      </c>
      <c r="B1827" s="1" t="n">
        <v>46139.36243055556</v>
      </c>
      <c r="C1827" s="1" t="n">
        <v>46180</v>
      </c>
      <c r="D1827" t="inlineStr">
        <is>
          <t>GÄVLEBORGS LÄN</t>
        </is>
      </c>
      <c r="E1827" t="inlineStr">
        <is>
          <t>BOLLNÄS</t>
        </is>
      </c>
      <c r="G1827" t="n">
        <v>3.5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20361-2026</t>
        </is>
      </c>
      <c r="B1828" s="1" t="n">
        <v>46139.66560185186</v>
      </c>
      <c r="C1828" s="1" t="n">
        <v>46180</v>
      </c>
      <c r="D1828" t="inlineStr">
        <is>
          <t>GÄVLEBORGS LÄN</t>
        </is>
      </c>
      <c r="E1828" t="inlineStr">
        <is>
          <t>BOLLNÄS</t>
        </is>
      </c>
      <c r="G1828" t="n">
        <v>9.300000000000001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20268-2026</t>
        </is>
      </c>
      <c r="B1829" s="1" t="n">
        <v>46139.51104166666</v>
      </c>
      <c r="C1829" s="1" t="n">
        <v>46180</v>
      </c>
      <c r="D1829" t="inlineStr">
        <is>
          <t>GÄVLEBORGS LÄN</t>
        </is>
      </c>
      <c r="E1829" t="inlineStr">
        <is>
          <t>BOLLNÄS</t>
        </is>
      </c>
      <c r="F1829" t="inlineStr">
        <is>
          <t>Kyrkan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20271-2026</t>
        </is>
      </c>
      <c r="B1830" s="1" t="n">
        <v>46139.51938657407</v>
      </c>
      <c r="C1830" s="1" t="n">
        <v>46180</v>
      </c>
      <c r="D1830" t="inlineStr">
        <is>
          <t>GÄVLEBORGS LÄN</t>
        </is>
      </c>
      <c r="E1830" t="inlineStr">
        <is>
          <t>BOLLNÄS</t>
        </is>
      </c>
      <c r="F1830" t="inlineStr">
        <is>
          <t>Kyrkan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13595-2026</t>
        </is>
      </c>
      <c r="B1831" s="1" t="n">
        <v>46097.2145949074</v>
      </c>
      <c r="C1831" s="1" t="n">
        <v>46180</v>
      </c>
      <c r="D1831" t="inlineStr">
        <is>
          <t>GÄVLEBORGS LÄN</t>
        </is>
      </c>
      <c r="E1831" t="inlineStr">
        <is>
          <t>BOLLNÄS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13598-2026</t>
        </is>
      </c>
      <c r="B1832" s="1" t="n">
        <v>46097.27214120371</v>
      </c>
      <c r="C1832" s="1" t="n">
        <v>46180</v>
      </c>
      <c r="D1832" t="inlineStr">
        <is>
          <t>GÄVLEBORGS LÄN</t>
        </is>
      </c>
      <c r="E1832" t="inlineStr">
        <is>
          <t>BOLLNÄS</t>
        </is>
      </c>
      <c r="G1832" t="n">
        <v>3.1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13615-2026</t>
        </is>
      </c>
      <c r="B1833" s="1" t="n">
        <v>46097.34008101852</v>
      </c>
      <c r="C1833" s="1" t="n">
        <v>46180</v>
      </c>
      <c r="D1833" t="inlineStr">
        <is>
          <t>GÄVLEBORGS LÄN</t>
        </is>
      </c>
      <c r="E1833" t="inlineStr">
        <is>
          <t>BOLLNÄS</t>
        </is>
      </c>
      <c r="F1833" t="inlineStr">
        <is>
          <t>Bergvik skog väst AB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13626-2026</t>
        </is>
      </c>
      <c r="B1834" s="1" t="n">
        <v>46097.36490740741</v>
      </c>
      <c r="C1834" s="1" t="n">
        <v>46180</v>
      </c>
      <c r="D1834" t="inlineStr">
        <is>
          <t>GÄVLEBORGS LÄN</t>
        </is>
      </c>
      <c r="E1834" t="inlineStr">
        <is>
          <t>BOLLNÄS</t>
        </is>
      </c>
      <c r="G1834" t="n">
        <v>6.5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13548-2026</t>
        </is>
      </c>
      <c r="B1835" s="1" t="n">
        <v>46094.71488425926</v>
      </c>
      <c r="C1835" s="1" t="n">
        <v>46180</v>
      </c>
      <c r="D1835" t="inlineStr">
        <is>
          <t>GÄVLEBORGS LÄN</t>
        </is>
      </c>
      <c r="E1835" t="inlineStr">
        <is>
          <t>BOLLNÄS</t>
        </is>
      </c>
      <c r="G1835" t="n">
        <v>4.1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5561-2022</t>
        </is>
      </c>
      <c r="B1836" s="1" t="n">
        <v>44595</v>
      </c>
      <c r="C1836" s="1" t="n">
        <v>46180</v>
      </c>
      <c r="D1836" t="inlineStr">
        <is>
          <t>GÄVLEBORGS LÄN</t>
        </is>
      </c>
      <c r="E1836" t="inlineStr">
        <is>
          <t>BOLLNÄS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58808-2025</t>
        </is>
      </c>
      <c r="B1837" s="1" t="n">
        <v>45987.29195601852</v>
      </c>
      <c r="C1837" s="1" t="n">
        <v>46180</v>
      </c>
      <c r="D1837" t="inlineStr">
        <is>
          <t>GÄVLEBORGS LÄN</t>
        </is>
      </c>
      <c r="E1837" t="inlineStr">
        <is>
          <t>BOLLNÄS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58819-2025</t>
        </is>
      </c>
      <c r="B1838" s="1" t="n">
        <v>45987.34052083334</v>
      </c>
      <c r="C1838" s="1" t="n">
        <v>46180</v>
      </c>
      <c r="D1838" t="inlineStr">
        <is>
          <t>GÄVLEBORGS LÄN</t>
        </is>
      </c>
      <c r="E1838" t="inlineStr">
        <is>
          <t>BOLLNÄS</t>
        </is>
      </c>
      <c r="G1838" t="n">
        <v>8.699999999999999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59231-2025</t>
        </is>
      </c>
      <c r="B1839" s="1" t="n">
        <v>45988.62530092592</v>
      </c>
      <c r="C1839" s="1" t="n">
        <v>46180</v>
      </c>
      <c r="D1839" t="inlineStr">
        <is>
          <t>GÄVLEBORGS LÄN</t>
        </is>
      </c>
      <c r="E1839" t="inlineStr">
        <is>
          <t>BOLLNÄS</t>
        </is>
      </c>
      <c r="G1839" t="n">
        <v>4.1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58967-2025</t>
        </is>
      </c>
      <c r="B1840" s="1" t="n">
        <v>45987.6040625</v>
      </c>
      <c r="C1840" s="1" t="n">
        <v>46180</v>
      </c>
      <c r="D1840" t="inlineStr">
        <is>
          <t>GÄVLEBORGS LÄN</t>
        </is>
      </c>
      <c r="E1840" t="inlineStr">
        <is>
          <t>BOLLNÄS</t>
        </is>
      </c>
      <c r="G1840" t="n">
        <v>3.3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16919-2025</t>
        </is>
      </c>
      <c r="B1841" s="1" t="n">
        <v>45755.37341435185</v>
      </c>
      <c r="C1841" s="1" t="n">
        <v>46180</v>
      </c>
      <c r="D1841" t="inlineStr">
        <is>
          <t>GÄVLEBORGS LÄN</t>
        </is>
      </c>
      <c r="E1841" t="inlineStr">
        <is>
          <t>BOLLNÄS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59427-2025</t>
        </is>
      </c>
      <c r="B1842" s="1" t="n">
        <v>45989.5421875</v>
      </c>
      <c r="C1842" s="1" t="n">
        <v>46180</v>
      </c>
      <c r="D1842" t="inlineStr">
        <is>
          <t>GÄVLEBORGS LÄN</t>
        </is>
      </c>
      <c r="E1842" t="inlineStr">
        <is>
          <t>BOLLNÄS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48007-2022</t>
        </is>
      </c>
      <c r="B1843" s="1" t="n">
        <v>44855.65891203703</v>
      </c>
      <c r="C1843" s="1" t="n">
        <v>46180</v>
      </c>
      <c r="D1843" t="inlineStr">
        <is>
          <t>GÄVLEBORGS LÄN</t>
        </is>
      </c>
      <c r="E1843" t="inlineStr">
        <is>
          <t>BOLLNÄS</t>
        </is>
      </c>
      <c r="G1843" t="n">
        <v>4.3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27202-2024</t>
        </is>
      </c>
      <c r="B1844" s="1" t="n">
        <v>45471.6062962963</v>
      </c>
      <c r="C1844" s="1" t="n">
        <v>46180</v>
      </c>
      <c r="D1844" t="inlineStr">
        <is>
          <t>GÄVLEBORGS LÄN</t>
        </is>
      </c>
      <c r="E1844" t="inlineStr">
        <is>
          <t>BOLLNÄS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59428-2025</t>
        </is>
      </c>
      <c r="B1845" s="1" t="n">
        <v>45989.5432175926</v>
      </c>
      <c r="C1845" s="1" t="n">
        <v>46180</v>
      </c>
      <c r="D1845" t="inlineStr">
        <is>
          <t>GÄVLEBORGS LÄN</t>
        </is>
      </c>
      <c r="E1845" t="inlineStr">
        <is>
          <t>BOLLNÄS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59844-2025</t>
        </is>
      </c>
      <c r="B1846" s="1" t="n">
        <v>45992.6824537037</v>
      </c>
      <c r="C1846" s="1" t="n">
        <v>46180</v>
      </c>
      <c r="D1846" t="inlineStr">
        <is>
          <t>GÄVLEBORGS LÄN</t>
        </is>
      </c>
      <c r="E1846" t="inlineStr">
        <is>
          <t>BOLLNÄS</t>
        </is>
      </c>
      <c r="G1846" t="n">
        <v>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59441-2025</t>
        </is>
      </c>
      <c r="B1847" s="1" t="n">
        <v>45989.56060185185</v>
      </c>
      <c r="C1847" s="1" t="n">
        <v>46180</v>
      </c>
      <c r="D1847" t="inlineStr">
        <is>
          <t>GÄVLEBORGS LÄN</t>
        </is>
      </c>
      <c r="E1847" t="inlineStr">
        <is>
          <t>BOLLNÄS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20176-2026</t>
        </is>
      </c>
      <c r="B1848" s="1" t="n">
        <v>46139.3587962963</v>
      </c>
      <c r="C1848" s="1" t="n">
        <v>46180</v>
      </c>
      <c r="D1848" t="inlineStr">
        <is>
          <t>GÄVLEBORGS LÄN</t>
        </is>
      </c>
      <c r="E1848" t="inlineStr">
        <is>
          <t>BOLLNÄS</t>
        </is>
      </c>
      <c r="F1848" t="inlineStr">
        <is>
          <t>Kyrkan</t>
        </is>
      </c>
      <c r="G1848" t="n">
        <v>4.7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59362-2025</t>
        </is>
      </c>
      <c r="B1849" s="1" t="n">
        <v>45989.43668981481</v>
      </c>
      <c r="C1849" s="1" t="n">
        <v>46180</v>
      </c>
      <c r="D1849" t="inlineStr">
        <is>
          <t>GÄVLEBORGS LÄN</t>
        </is>
      </c>
      <c r="E1849" t="inlineStr">
        <is>
          <t>BOLLNÄS</t>
        </is>
      </c>
      <c r="F1849" t="inlineStr">
        <is>
          <t>Sveaskog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20216-2026</t>
        </is>
      </c>
      <c r="B1850" s="1" t="n">
        <v>46139.42833333334</v>
      </c>
      <c r="C1850" s="1" t="n">
        <v>46180</v>
      </c>
      <c r="D1850" t="inlineStr">
        <is>
          <t>GÄVLEBORGS LÄN</t>
        </is>
      </c>
      <c r="E1850" t="inlineStr">
        <is>
          <t>BOLLNÄS</t>
        </is>
      </c>
      <c r="F1850" t="inlineStr">
        <is>
          <t>Bergvik skog öst AB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20219-2026</t>
        </is>
      </c>
      <c r="B1851" s="1" t="n">
        <v>46139.43606481481</v>
      </c>
      <c r="C1851" s="1" t="n">
        <v>46180</v>
      </c>
      <c r="D1851" t="inlineStr">
        <is>
          <t>GÄVLEBORGS LÄN</t>
        </is>
      </c>
      <c r="E1851" t="inlineStr">
        <is>
          <t>BOLLNÄS</t>
        </is>
      </c>
      <c r="F1851" t="inlineStr">
        <is>
          <t>Bergvik skog öst AB</t>
        </is>
      </c>
      <c r="G1851" t="n">
        <v>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20292-2026</t>
        </is>
      </c>
      <c r="B1852" s="1" t="n">
        <v>46139.55296296296</v>
      </c>
      <c r="C1852" s="1" t="n">
        <v>46180</v>
      </c>
      <c r="D1852" t="inlineStr">
        <is>
          <t>GÄVLEBORGS LÄN</t>
        </is>
      </c>
      <c r="E1852" t="inlineStr">
        <is>
          <t>BOLLNÄS</t>
        </is>
      </c>
      <c r="G1852" t="n">
        <v>5.5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13731-2026</t>
        </is>
      </c>
      <c r="B1853" s="1" t="n">
        <v>46097.62304398148</v>
      </c>
      <c r="C1853" s="1" t="n">
        <v>46180</v>
      </c>
      <c r="D1853" t="inlineStr">
        <is>
          <t>GÄVLEBORGS LÄN</t>
        </is>
      </c>
      <c r="E1853" t="inlineStr">
        <is>
          <t>BOLLNÄS</t>
        </is>
      </c>
      <c r="G1853" t="n">
        <v>8.699999999999999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13292-2026</t>
        </is>
      </c>
      <c r="B1854" s="1" t="n">
        <v>46094</v>
      </c>
      <c r="C1854" s="1" t="n">
        <v>46180</v>
      </c>
      <c r="D1854" t="inlineStr">
        <is>
          <t>GÄVLEBORGS LÄN</t>
        </is>
      </c>
      <c r="E1854" t="inlineStr">
        <is>
          <t>BOLLNÄS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17401-2025</t>
        </is>
      </c>
      <c r="B1855" s="1" t="n">
        <v>45757.35046296296</v>
      </c>
      <c r="C1855" s="1" t="n">
        <v>46180</v>
      </c>
      <c r="D1855" t="inlineStr">
        <is>
          <t>GÄVLEBORGS LÄN</t>
        </is>
      </c>
      <c r="E1855" t="inlineStr">
        <is>
          <t>BOLLNÄS</t>
        </is>
      </c>
      <c r="G1855" t="n">
        <v>2.6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22646-2022</t>
        </is>
      </c>
      <c r="B1856" s="1" t="n">
        <v>44714.4553125</v>
      </c>
      <c r="C1856" s="1" t="n">
        <v>46180</v>
      </c>
      <c r="D1856" t="inlineStr">
        <is>
          <t>GÄVLEBORGS LÄN</t>
        </is>
      </c>
      <c r="E1856" t="inlineStr">
        <is>
          <t>BOLLNÄS</t>
        </is>
      </c>
      <c r="F1856" t="inlineStr">
        <is>
          <t>Bergvik skog väst AB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13862-2026</t>
        </is>
      </c>
      <c r="B1857" s="1" t="n">
        <v>46098</v>
      </c>
      <c r="C1857" s="1" t="n">
        <v>46180</v>
      </c>
      <c r="D1857" t="inlineStr">
        <is>
          <t>GÄVLEBORGS LÄN</t>
        </is>
      </c>
      <c r="E1857" t="inlineStr">
        <is>
          <t>BOLLNÄS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13865-2026</t>
        </is>
      </c>
      <c r="B1858" s="1" t="n">
        <v>46098</v>
      </c>
      <c r="C1858" s="1" t="n">
        <v>46180</v>
      </c>
      <c r="D1858" t="inlineStr">
        <is>
          <t>GÄVLEBORGS LÄN</t>
        </is>
      </c>
      <c r="E1858" t="inlineStr">
        <is>
          <t>BOLLNÄS</t>
        </is>
      </c>
      <c r="F1858" t="inlineStr">
        <is>
          <t>Bergvik skog väst AB</t>
        </is>
      </c>
      <c r="G1858" t="n">
        <v>9.1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4281-2026</t>
        </is>
      </c>
      <c r="B1859" s="1" t="n">
        <v>46045</v>
      </c>
      <c r="C1859" s="1" t="n">
        <v>46180</v>
      </c>
      <c r="D1859" t="inlineStr">
        <is>
          <t>GÄVLEBORGS LÄN</t>
        </is>
      </c>
      <c r="E1859" t="inlineStr">
        <is>
          <t>BOLLNÄS</t>
        </is>
      </c>
      <c r="G1859" t="n">
        <v>10.5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20486-2026</t>
        </is>
      </c>
      <c r="B1860" s="1" t="n">
        <v>46140.48925925926</v>
      </c>
      <c r="C1860" s="1" t="n">
        <v>46180</v>
      </c>
      <c r="D1860" t="inlineStr">
        <is>
          <t>GÄVLEBORGS LÄN</t>
        </is>
      </c>
      <c r="E1860" t="inlineStr">
        <is>
          <t>BOLLNÄS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14223-2026</t>
        </is>
      </c>
      <c r="B1861" s="1" t="n">
        <v>46099</v>
      </c>
      <c r="C1861" s="1" t="n">
        <v>46180</v>
      </c>
      <c r="D1861" t="inlineStr">
        <is>
          <t>GÄVLEBORGS LÄN</t>
        </is>
      </c>
      <c r="E1861" t="inlineStr">
        <is>
          <t>BOLLNÄS</t>
        </is>
      </c>
      <c r="F1861" t="inlineStr">
        <is>
          <t>Bergvik skog väst AB</t>
        </is>
      </c>
      <c r="G1861" t="n">
        <v>6.1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14256-2026</t>
        </is>
      </c>
      <c r="B1862" s="1" t="n">
        <v>46099.62702546296</v>
      </c>
      <c r="C1862" s="1" t="n">
        <v>46180</v>
      </c>
      <c r="D1862" t="inlineStr">
        <is>
          <t>GÄVLEBORGS LÄN</t>
        </is>
      </c>
      <c r="E1862" t="inlineStr">
        <is>
          <t>BOLLNÄS</t>
        </is>
      </c>
      <c r="G1862" t="n">
        <v>5.3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13806-2026</t>
        </is>
      </c>
      <c r="B1863" s="1" t="n">
        <v>46098.25068287037</v>
      </c>
      <c r="C1863" s="1" t="n">
        <v>46180</v>
      </c>
      <c r="D1863" t="inlineStr">
        <is>
          <t>GÄVLEBORGS LÄN</t>
        </is>
      </c>
      <c r="E1863" t="inlineStr">
        <is>
          <t>BOLLNÄS</t>
        </is>
      </c>
      <c r="G1863" t="n">
        <v>3.1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20534-2026</t>
        </is>
      </c>
      <c r="B1864" s="1" t="n">
        <v>46140.56502314815</v>
      </c>
      <c r="C1864" s="1" t="n">
        <v>46180</v>
      </c>
      <c r="D1864" t="inlineStr">
        <is>
          <t>GÄVLEBORGS LÄN</t>
        </is>
      </c>
      <c r="E1864" t="inlineStr">
        <is>
          <t>BOLLNÄS</t>
        </is>
      </c>
      <c r="G1864" t="n">
        <v>4.5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17964-2025</t>
        </is>
      </c>
      <c r="B1865" s="1" t="n">
        <v>45761</v>
      </c>
      <c r="C1865" s="1" t="n">
        <v>46180</v>
      </c>
      <c r="D1865" t="inlineStr">
        <is>
          <t>GÄVLEBORGS LÄN</t>
        </is>
      </c>
      <c r="E1865" t="inlineStr">
        <is>
          <t>BOLLNÄS</t>
        </is>
      </c>
      <c r="F1865" t="inlineStr">
        <is>
          <t>Kyrkan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13945-2026</t>
        </is>
      </c>
      <c r="B1866" s="1" t="n">
        <v>46098</v>
      </c>
      <c r="C1866" s="1" t="n">
        <v>46180</v>
      </c>
      <c r="D1866" t="inlineStr">
        <is>
          <t>GÄVLEBORGS LÄN</t>
        </is>
      </c>
      <c r="E1866" t="inlineStr">
        <is>
          <t>BOLLNÄS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13949-2026</t>
        </is>
      </c>
      <c r="B1867" s="1" t="n">
        <v>46098</v>
      </c>
      <c r="C1867" s="1" t="n">
        <v>46180</v>
      </c>
      <c r="D1867" t="inlineStr">
        <is>
          <t>GÄVLEBORGS LÄN</t>
        </is>
      </c>
      <c r="E1867" t="inlineStr">
        <is>
          <t>BOLLNÄS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13988-2026</t>
        </is>
      </c>
      <c r="B1868" s="1" t="n">
        <v>46098</v>
      </c>
      <c r="C1868" s="1" t="n">
        <v>46180</v>
      </c>
      <c r="D1868" t="inlineStr">
        <is>
          <t>GÄVLEBORGS LÄN</t>
        </is>
      </c>
      <c r="E1868" t="inlineStr">
        <is>
          <t>BOLLNÄS</t>
        </is>
      </c>
      <c r="F1868" t="inlineStr">
        <is>
          <t>Bergvik skog väst AB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13807-2026</t>
        </is>
      </c>
      <c r="B1869" s="1" t="n">
        <v>46098.27775462963</v>
      </c>
      <c r="C1869" s="1" t="n">
        <v>46180</v>
      </c>
      <c r="D1869" t="inlineStr">
        <is>
          <t>GÄVLEBORGS LÄN</t>
        </is>
      </c>
      <c r="E1869" t="inlineStr">
        <is>
          <t>BOLLNÄS</t>
        </is>
      </c>
      <c r="G1869" t="n">
        <v>4.4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5838-2026</t>
        </is>
      </c>
      <c r="B1870" s="1" t="n">
        <v>46052</v>
      </c>
      <c r="C1870" s="1" t="n">
        <v>46180</v>
      </c>
      <c r="D1870" t="inlineStr">
        <is>
          <t>GÄVLEBORGS LÄN</t>
        </is>
      </c>
      <c r="E1870" t="inlineStr">
        <is>
          <t>BOLLNÄS</t>
        </is>
      </c>
      <c r="G1870" t="n">
        <v>4.7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13914-2026</t>
        </is>
      </c>
      <c r="B1871" s="1" t="n">
        <v>46098</v>
      </c>
      <c r="C1871" s="1" t="n">
        <v>46180</v>
      </c>
      <c r="D1871" t="inlineStr">
        <is>
          <t>GÄVLEBORGS LÄN</t>
        </is>
      </c>
      <c r="E1871" t="inlineStr">
        <is>
          <t>BOLLNÄS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13918-2026</t>
        </is>
      </c>
      <c r="B1872" s="1" t="n">
        <v>46098</v>
      </c>
      <c r="C1872" s="1" t="n">
        <v>46180</v>
      </c>
      <c r="D1872" t="inlineStr">
        <is>
          <t>GÄVLEBORGS LÄN</t>
        </is>
      </c>
      <c r="E1872" t="inlineStr">
        <is>
          <t>BOLLNÄS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13925-2026</t>
        </is>
      </c>
      <c r="B1873" s="1" t="n">
        <v>46098</v>
      </c>
      <c r="C1873" s="1" t="n">
        <v>46180</v>
      </c>
      <c r="D1873" t="inlineStr">
        <is>
          <t>GÄVLEBORGS LÄN</t>
        </is>
      </c>
      <c r="E1873" t="inlineStr">
        <is>
          <t>BOLLNÄS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14174-2026</t>
        </is>
      </c>
      <c r="B1874" s="1" t="n">
        <v>46099.48884259259</v>
      </c>
      <c r="C1874" s="1" t="n">
        <v>46180</v>
      </c>
      <c r="D1874" t="inlineStr">
        <is>
          <t>GÄVLEBORGS LÄN</t>
        </is>
      </c>
      <c r="E1874" t="inlineStr">
        <is>
          <t>BOLLNÄS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14120-2026</t>
        </is>
      </c>
      <c r="B1875" s="1" t="n">
        <v>46099.43582175926</v>
      </c>
      <c r="C1875" s="1" t="n">
        <v>46180</v>
      </c>
      <c r="D1875" t="inlineStr">
        <is>
          <t>GÄVLEBORGS LÄN</t>
        </is>
      </c>
      <c r="E1875" t="inlineStr">
        <is>
          <t>BOLLNÄS</t>
        </is>
      </c>
      <c r="G1875" t="n">
        <v>2.5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14145-2026</t>
        </is>
      </c>
      <c r="B1876" s="1" t="n">
        <v>46099</v>
      </c>
      <c r="C1876" s="1" t="n">
        <v>46180</v>
      </c>
      <c r="D1876" t="inlineStr">
        <is>
          <t>GÄVLEBORGS LÄN</t>
        </is>
      </c>
      <c r="E1876" t="inlineStr">
        <is>
          <t>BOLLNÄS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14148-2026</t>
        </is>
      </c>
      <c r="B1877" s="1" t="n">
        <v>46099</v>
      </c>
      <c r="C1877" s="1" t="n">
        <v>46180</v>
      </c>
      <c r="D1877" t="inlineStr">
        <is>
          <t>GÄVLEBORGS LÄN</t>
        </is>
      </c>
      <c r="E1877" t="inlineStr">
        <is>
          <t>BOLLNÄS</t>
        </is>
      </c>
      <c r="G1877" t="n">
        <v>0.3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14172-2026</t>
        </is>
      </c>
      <c r="B1878" s="1" t="n">
        <v>46099.48793981481</v>
      </c>
      <c r="C1878" s="1" t="n">
        <v>46180</v>
      </c>
      <c r="D1878" t="inlineStr">
        <is>
          <t>GÄVLEBORGS LÄN</t>
        </is>
      </c>
      <c r="E1878" t="inlineStr">
        <is>
          <t>BOLLNÄS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14185-2026</t>
        </is>
      </c>
      <c r="B1879" s="1" t="n">
        <v>46099.50780092592</v>
      </c>
      <c r="C1879" s="1" t="n">
        <v>46180</v>
      </c>
      <c r="D1879" t="inlineStr">
        <is>
          <t>GÄVLEBORGS LÄN</t>
        </is>
      </c>
      <c r="E1879" t="inlineStr">
        <is>
          <t>BOLLNÄS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14146-2026</t>
        </is>
      </c>
      <c r="B1880" s="1" t="n">
        <v>46099</v>
      </c>
      <c r="C1880" s="1" t="n">
        <v>46180</v>
      </c>
      <c r="D1880" t="inlineStr">
        <is>
          <t>GÄVLEBORGS LÄN</t>
        </is>
      </c>
      <c r="E1880" t="inlineStr">
        <is>
          <t>BOLLNÄS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14171-2026</t>
        </is>
      </c>
      <c r="B1881" s="1" t="n">
        <v>46099.48715277778</v>
      </c>
      <c r="C1881" s="1" t="n">
        <v>46180</v>
      </c>
      <c r="D1881" t="inlineStr">
        <is>
          <t>GÄVLEBORGS LÄN</t>
        </is>
      </c>
      <c r="E1881" t="inlineStr">
        <is>
          <t>BOLLNÄS</t>
        </is>
      </c>
      <c r="F1881" t="inlineStr">
        <is>
          <t>Bergvik skog väst AB</t>
        </is>
      </c>
      <c r="G1881" t="n">
        <v>3.5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14183-2026</t>
        </is>
      </c>
      <c r="B1882" s="1" t="n">
        <v>46099.49972222222</v>
      </c>
      <c r="C1882" s="1" t="n">
        <v>46180</v>
      </c>
      <c r="D1882" t="inlineStr">
        <is>
          <t>GÄVLEBORGS LÄN</t>
        </is>
      </c>
      <c r="E1882" t="inlineStr">
        <is>
          <t>BOLLNÄS</t>
        </is>
      </c>
      <c r="G1882" t="n">
        <v>7.1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26304-2022</t>
        </is>
      </c>
      <c r="B1883" s="1" t="n">
        <v>44735.58756944445</v>
      </c>
      <c r="C1883" s="1" t="n">
        <v>46180</v>
      </c>
      <c r="D1883" t="inlineStr">
        <is>
          <t>GÄVLEBORGS LÄN</t>
        </is>
      </c>
      <c r="E1883" t="inlineStr">
        <is>
          <t>BOLLNÄS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20547-2026</t>
        </is>
      </c>
      <c r="B1884" s="1" t="n">
        <v>46140.58459490741</v>
      </c>
      <c r="C1884" s="1" t="n">
        <v>46180</v>
      </c>
      <c r="D1884" t="inlineStr">
        <is>
          <t>GÄVLEBORGS LÄN</t>
        </is>
      </c>
      <c r="E1884" t="inlineStr">
        <is>
          <t>BOLLNÄS</t>
        </is>
      </c>
      <c r="F1884" t="inlineStr">
        <is>
          <t>Bergvik skog väst AB</t>
        </is>
      </c>
      <c r="G1884" t="n">
        <v>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20548-2026</t>
        </is>
      </c>
      <c r="B1885" s="1" t="n">
        <v>46140.58533564815</v>
      </c>
      <c r="C1885" s="1" t="n">
        <v>46180</v>
      </c>
      <c r="D1885" t="inlineStr">
        <is>
          <t>GÄVLEBORGS LÄN</t>
        </is>
      </c>
      <c r="E1885" t="inlineStr">
        <is>
          <t>BOLLNÄS</t>
        </is>
      </c>
      <c r="G1885" t="n">
        <v>3.6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13803-2026</t>
        </is>
      </c>
      <c r="B1886" s="1" t="n">
        <v>46097.89324074074</v>
      </c>
      <c r="C1886" s="1" t="n">
        <v>46180</v>
      </c>
      <c r="D1886" t="inlineStr">
        <is>
          <t>GÄVLEBORGS LÄN</t>
        </is>
      </c>
      <c r="E1886" t="inlineStr">
        <is>
          <t>BOLLNÄS</t>
        </is>
      </c>
      <c r="G1886" t="n">
        <v>2.5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14141-2026</t>
        </is>
      </c>
      <c r="B1887" s="1" t="n">
        <v>46099</v>
      </c>
      <c r="C1887" s="1" t="n">
        <v>46180</v>
      </c>
      <c r="D1887" t="inlineStr">
        <is>
          <t>GÄVLEBORGS LÄN</t>
        </is>
      </c>
      <c r="E1887" t="inlineStr">
        <is>
          <t>BOLLNÄS</t>
        </is>
      </c>
      <c r="F1887" t="inlineStr">
        <is>
          <t>Bergvik skog väst AB</t>
        </is>
      </c>
      <c r="G1887" t="n">
        <v>6.8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14149-2026</t>
        </is>
      </c>
      <c r="B1888" s="1" t="n">
        <v>46099</v>
      </c>
      <c r="C1888" s="1" t="n">
        <v>46180</v>
      </c>
      <c r="D1888" t="inlineStr">
        <is>
          <t>GÄVLEBORGS LÄN</t>
        </is>
      </c>
      <c r="E1888" t="inlineStr">
        <is>
          <t>BOLLNÄS</t>
        </is>
      </c>
      <c r="F1888" t="inlineStr">
        <is>
          <t>Bergvik skog väst AB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14052-2026</t>
        </is>
      </c>
      <c r="B1889" s="1" t="n">
        <v>46099.30314814814</v>
      </c>
      <c r="C1889" s="1" t="n">
        <v>46180</v>
      </c>
      <c r="D1889" t="inlineStr">
        <is>
          <t>GÄVLEBORGS LÄN</t>
        </is>
      </c>
      <c r="E1889" t="inlineStr">
        <is>
          <t>BOLLNÄS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58100-2025</t>
        </is>
      </c>
      <c r="B1890" s="1" t="n">
        <v>45982.58819444444</v>
      </c>
      <c r="C1890" s="1" t="n">
        <v>46180</v>
      </c>
      <c r="D1890" t="inlineStr">
        <is>
          <t>GÄVLEBORGS LÄN</t>
        </is>
      </c>
      <c r="E1890" t="inlineStr">
        <is>
          <t>BOLLNÄS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13808-2026</t>
        </is>
      </c>
      <c r="B1891" s="1" t="n">
        <v>46098.28721064814</v>
      </c>
      <c r="C1891" s="1" t="n">
        <v>46180</v>
      </c>
      <c r="D1891" t="inlineStr">
        <is>
          <t>GÄVLEBORGS LÄN</t>
        </is>
      </c>
      <c r="E1891" t="inlineStr">
        <is>
          <t>BOLLNÄS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20762-2026</t>
        </is>
      </c>
      <c r="B1892" s="1" t="n">
        <v>46141.60680555556</v>
      </c>
      <c r="C1892" s="1" t="n">
        <v>46180</v>
      </c>
      <c r="D1892" t="inlineStr">
        <is>
          <t>GÄVLEBORGS LÄN</t>
        </is>
      </c>
      <c r="E1892" t="inlineStr">
        <is>
          <t>BOLLNÄS</t>
        </is>
      </c>
      <c r="F1892" t="inlineStr">
        <is>
          <t>Bergvik skog väst AB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12624-2025</t>
        </is>
      </c>
      <c r="B1893" s="1" t="n">
        <v>45733.36315972222</v>
      </c>
      <c r="C1893" s="1" t="n">
        <v>46180</v>
      </c>
      <c r="D1893" t="inlineStr">
        <is>
          <t>GÄVLEBORGS LÄN</t>
        </is>
      </c>
      <c r="E1893" t="inlineStr">
        <is>
          <t>BOLLNÄS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20760-2026</t>
        </is>
      </c>
      <c r="B1894" s="1" t="n">
        <v>46141.60490740741</v>
      </c>
      <c r="C1894" s="1" t="n">
        <v>46180</v>
      </c>
      <c r="D1894" t="inlineStr">
        <is>
          <t>GÄVLEBORGS LÄN</t>
        </is>
      </c>
      <c r="E1894" t="inlineStr">
        <is>
          <t>BOLLNÄS</t>
        </is>
      </c>
      <c r="G1894" t="n">
        <v>5.7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14155-2026</t>
        </is>
      </c>
      <c r="B1895" s="1" t="n">
        <v>46099</v>
      </c>
      <c r="C1895" s="1" t="n">
        <v>46180</v>
      </c>
      <c r="D1895" t="inlineStr">
        <is>
          <t>GÄVLEBORGS LÄN</t>
        </is>
      </c>
      <c r="E1895" t="inlineStr">
        <is>
          <t>BOLLNÄS</t>
        </is>
      </c>
      <c r="F1895" t="inlineStr">
        <is>
          <t>Bergvik skog väst AB</t>
        </is>
      </c>
      <c r="G1895" t="n">
        <v>2.8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14262-2026</t>
        </is>
      </c>
      <c r="B1896" s="1" t="n">
        <v>46099</v>
      </c>
      <c r="C1896" s="1" t="n">
        <v>46180</v>
      </c>
      <c r="D1896" t="inlineStr">
        <is>
          <t>GÄVLEBORGS LÄN</t>
        </is>
      </c>
      <c r="E1896" t="inlineStr">
        <is>
          <t>BOLLNÄS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20485-2026</t>
        </is>
      </c>
      <c r="B1897" s="1" t="n">
        <v>46140.48819444444</v>
      </c>
      <c r="C1897" s="1" t="n">
        <v>46180</v>
      </c>
      <c r="D1897" t="inlineStr">
        <is>
          <t>GÄVLEBORGS LÄN</t>
        </is>
      </c>
      <c r="E1897" t="inlineStr">
        <is>
          <t>BOLLNÄS</t>
        </is>
      </c>
      <c r="G1897" t="n">
        <v>2.8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61399-2023</t>
        </is>
      </c>
      <c r="B1898" s="1" t="n">
        <v>45264</v>
      </c>
      <c r="C1898" s="1" t="n">
        <v>46180</v>
      </c>
      <c r="D1898" t="inlineStr">
        <is>
          <t>GÄVLEBORGS LÄN</t>
        </is>
      </c>
      <c r="E1898" t="inlineStr">
        <is>
          <t>BOLLNÄS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35941-2022</t>
        </is>
      </c>
      <c r="B1899" s="1" t="n">
        <v>44802.5419675926</v>
      </c>
      <c r="C1899" s="1" t="n">
        <v>46180</v>
      </c>
      <c r="D1899" t="inlineStr">
        <is>
          <t>GÄVLEBORGS LÄN</t>
        </is>
      </c>
      <c r="E1899" t="inlineStr">
        <is>
          <t>BOLLNÄS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13878-2026</t>
        </is>
      </c>
      <c r="B1900" s="1" t="n">
        <v>46098</v>
      </c>
      <c r="C1900" s="1" t="n">
        <v>46180</v>
      </c>
      <c r="D1900" t="inlineStr">
        <is>
          <t>GÄVLEBORGS LÄN</t>
        </is>
      </c>
      <c r="E1900" t="inlineStr">
        <is>
          <t>BOLLNÄS</t>
        </is>
      </c>
      <c r="G1900" t="n">
        <v>8.699999999999999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20766-2026</t>
        </is>
      </c>
      <c r="B1901" s="1" t="n">
        <v>46141.61009259259</v>
      </c>
      <c r="C1901" s="1" t="n">
        <v>46180</v>
      </c>
      <c r="D1901" t="inlineStr">
        <is>
          <t>GÄVLEBORGS LÄN</t>
        </is>
      </c>
      <c r="E1901" t="inlineStr">
        <is>
          <t>BOLLNÄS</t>
        </is>
      </c>
      <c r="G1901" t="n">
        <v>2.5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14164-2026</t>
        </is>
      </c>
      <c r="B1902" s="1" t="n">
        <v>46099</v>
      </c>
      <c r="C1902" s="1" t="n">
        <v>46180</v>
      </c>
      <c r="D1902" t="inlineStr">
        <is>
          <t>GÄVLEBORGS LÄN</t>
        </is>
      </c>
      <c r="E1902" t="inlineStr">
        <is>
          <t>BOLLNÄS</t>
        </is>
      </c>
      <c r="F1902" t="inlineStr">
        <is>
          <t>Bergvik skog väst AB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13915-2026</t>
        </is>
      </c>
      <c r="B1903" s="1" t="n">
        <v>46098.48351851852</v>
      </c>
      <c r="C1903" s="1" t="n">
        <v>46180</v>
      </c>
      <c r="D1903" t="inlineStr">
        <is>
          <t>GÄVLEBORGS LÄN</t>
        </is>
      </c>
      <c r="E1903" t="inlineStr">
        <is>
          <t>BOLLNÄS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13854-2026</t>
        </is>
      </c>
      <c r="B1904" s="1" t="n">
        <v>46098.40371527777</v>
      </c>
      <c r="C1904" s="1" t="n">
        <v>46180</v>
      </c>
      <c r="D1904" t="inlineStr">
        <is>
          <t>GÄVLEBORGS LÄN</t>
        </is>
      </c>
      <c r="E1904" t="inlineStr">
        <is>
          <t>BOLLNÄS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13859-2026</t>
        </is>
      </c>
      <c r="B1905" s="1" t="n">
        <v>46098</v>
      </c>
      <c r="C1905" s="1" t="n">
        <v>46180</v>
      </c>
      <c r="D1905" t="inlineStr">
        <is>
          <t>GÄVLEBORGS LÄN</t>
        </is>
      </c>
      <c r="E1905" t="inlineStr">
        <is>
          <t>BOLLNÄS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13867-2026</t>
        </is>
      </c>
      <c r="B1906" s="1" t="n">
        <v>46098</v>
      </c>
      <c r="C1906" s="1" t="n">
        <v>46180</v>
      </c>
      <c r="D1906" t="inlineStr">
        <is>
          <t>GÄVLEBORGS LÄN</t>
        </is>
      </c>
      <c r="E1906" t="inlineStr">
        <is>
          <t>BOLLNÄS</t>
        </is>
      </c>
      <c r="F1906" t="inlineStr">
        <is>
          <t>Bergvik skog väst AB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14134-2026</t>
        </is>
      </c>
      <c r="B1907" s="1" t="n">
        <v>46099.45465277778</v>
      </c>
      <c r="C1907" s="1" t="n">
        <v>46180</v>
      </c>
      <c r="D1907" t="inlineStr">
        <is>
          <t>GÄVLEBORGS LÄN</t>
        </is>
      </c>
      <c r="E1907" t="inlineStr">
        <is>
          <t>BOLLNÄS</t>
        </is>
      </c>
      <c r="G1907" t="n">
        <v>3.3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20763-2026</t>
        </is>
      </c>
      <c r="B1908" s="1" t="n">
        <v>46141.60768518518</v>
      </c>
      <c r="C1908" s="1" t="n">
        <v>46180</v>
      </c>
      <c r="D1908" t="inlineStr">
        <is>
          <t>GÄVLEBORGS LÄN</t>
        </is>
      </c>
      <c r="E1908" t="inlineStr">
        <is>
          <t>BOLLNÄS</t>
        </is>
      </c>
      <c r="G1908" t="n">
        <v>8.4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14070-2026</t>
        </is>
      </c>
      <c r="B1909" s="1" t="n">
        <v>46099.351875</v>
      </c>
      <c r="C1909" s="1" t="n">
        <v>46180</v>
      </c>
      <c r="D1909" t="inlineStr">
        <is>
          <t>GÄVLEBORGS LÄN</t>
        </is>
      </c>
      <c r="E1909" t="inlineStr">
        <is>
          <t>BOLLNÄS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14216-2026</t>
        </is>
      </c>
      <c r="B1910" s="1" t="n">
        <v>46099</v>
      </c>
      <c r="C1910" s="1" t="n">
        <v>46180</v>
      </c>
      <c r="D1910" t="inlineStr">
        <is>
          <t>GÄVLEBORGS LÄN</t>
        </is>
      </c>
      <c r="E1910" t="inlineStr">
        <is>
          <t>BOLLNÄS</t>
        </is>
      </c>
      <c r="F1910" t="inlineStr">
        <is>
          <t>Bergvik skog väst AB</t>
        </is>
      </c>
      <c r="G1910" t="n">
        <v>7.1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14261-2025</t>
        </is>
      </c>
      <c r="B1911" s="1" t="n">
        <v>45740.629375</v>
      </c>
      <c r="C1911" s="1" t="n">
        <v>46180</v>
      </c>
      <c r="D1911" t="inlineStr">
        <is>
          <t>GÄVLEBORGS LÄN</t>
        </is>
      </c>
      <c r="E1911" t="inlineStr">
        <is>
          <t>BOLLNÄS</t>
        </is>
      </c>
      <c r="G1911" t="n">
        <v>0.1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60707-2025</t>
        </is>
      </c>
      <c r="B1912" s="1" t="n">
        <v>45996.61716435185</v>
      </c>
      <c r="C1912" s="1" t="n">
        <v>46180</v>
      </c>
      <c r="D1912" t="inlineStr">
        <is>
          <t>GÄVLEBORGS LÄN</t>
        </is>
      </c>
      <c r="E1912" t="inlineStr">
        <is>
          <t>BOLLNÄS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28179-2023</t>
        </is>
      </c>
      <c r="B1913" s="1" t="n">
        <v>45099.53201388889</v>
      </c>
      <c r="C1913" s="1" t="n">
        <v>46180</v>
      </c>
      <c r="D1913" t="inlineStr">
        <is>
          <t>GÄVLEBORGS LÄN</t>
        </is>
      </c>
      <c r="E1913" t="inlineStr">
        <is>
          <t>BOLLNÄS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60573-2025</t>
        </is>
      </c>
      <c r="B1914" s="1" t="n">
        <v>45996.24320601852</v>
      </c>
      <c r="C1914" s="1" t="n">
        <v>46180</v>
      </c>
      <c r="D1914" t="inlineStr">
        <is>
          <t>GÄVLEBORGS LÄN</t>
        </is>
      </c>
      <c r="E1914" t="inlineStr">
        <is>
          <t>BOLLNÄS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51666-2022</t>
        </is>
      </c>
      <c r="B1915" s="1" t="n">
        <v>44872.42103009259</v>
      </c>
      <c r="C1915" s="1" t="n">
        <v>46180</v>
      </c>
      <c r="D1915" t="inlineStr">
        <is>
          <t>GÄVLEBORGS LÄN</t>
        </is>
      </c>
      <c r="E1915" t="inlineStr">
        <is>
          <t>BOLLNÄS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29716-2023</t>
        </is>
      </c>
      <c r="B1916" s="1" t="n">
        <v>45107</v>
      </c>
      <c r="C1916" s="1" t="n">
        <v>46180</v>
      </c>
      <c r="D1916" t="inlineStr">
        <is>
          <t>GÄVLEBORGS LÄN</t>
        </is>
      </c>
      <c r="E1916" t="inlineStr">
        <is>
          <t>BOLLNÄS</t>
        </is>
      </c>
      <c r="F1916" t="inlineStr">
        <is>
          <t>Sveaskog</t>
        </is>
      </c>
      <c r="G1916" t="n">
        <v>7.3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60955-2025</t>
        </is>
      </c>
      <c r="B1917" s="1" t="n">
        <v>45999</v>
      </c>
      <c r="C1917" s="1" t="n">
        <v>46180</v>
      </c>
      <c r="D1917" t="inlineStr">
        <is>
          <t>GÄVLEBORGS LÄN</t>
        </is>
      </c>
      <c r="E1917" t="inlineStr">
        <is>
          <t>BOLLNÄS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60779-2025</t>
        </is>
      </c>
      <c r="B1918" s="1" t="n">
        <v>45999.39215277778</v>
      </c>
      <c r="C1918" s="1" t="n">
        <v>46180</v>
      </c>
      <c r="D1918" t="inlineStr">
        <is>
          <t>GÄVLEBORGS LÄN</t>
        </is>
      </c>
      <c r="E1918" t="inlineStr">
        <is>
          <t>BOLLNÄS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61043-2025</t>
        </is>
      </c>
      <c r="B1919" s="1" t="n">
        <v>46000.28028935185</v>
      </c>
      <c r="C1919" s="1" t="n">
        <v>46180</v>
      </c>
      <c r="D1919" t="inlineStr">
        <is>
          <t>GÄVLEBORGS LÄN</t>
        </is>
      </c>
      <c r="E1919" t="inlineStr">
        <is>
          <t>BOLLNÄS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60757-2025</t>
        </is>
      </c>
      <c r="B1920" s="1" t="n">
        <v>45999.38424768519</v>
      </c>
      <c r="C1920" s="1" t="n">
        <v>46180</v>
      </c>
      <c r="D1920" t="inlineStr">
        <is>
          <t>GÄVLEBORGS LÄN</t>
        </is>
      </c>
      <c r="E1920" t="inlineStr">
        <is>
          <t>BOLLNÄS</t>
        </is>
      </c>
      <c r="F1920" t="inlineStr">
        <is>
          <t>Bergvik skog väst AB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60810-2025</t>
        </is>
      </c>
      <c r="B1921" s="1" t="n">
        <v>45999.44400462963</v>
      </c>
      <c r="C1921" s="1" t="n">
        <v>46180</v>
      </c>
      <c r="D1921" t="inlineStr">
        <is>
          <t>GÄVLEBORGS LÄN</t>
        </is>
      </c>
      <c r="E1921" t="inlineStr">
        <is>
          <t>BOLLNÄS</t>
        </is>
      </c>
      <c r="G1921" t="n">
        <v>3.2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37780-2024</t>
        </is>
      </c>
      <c r="B1922" s="1" t="n">
        <v>45542.70951388889</v>
      </c>
      <c r="C1922" s="1" t="n">
        <v>46180</v>
      </c>
      <c r="D1922" t="inlineStr">
        <is>
          <t>GÄVLEBORGS LÄN</t>
        </is>
      </c>
      <c r="E1922" t="inlineStr">
        <is>
          <t>BOLLNÄS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13991-2026</t>
        </is>
      </c>
      <c r="B1923" s="1" t="n">
        <v>46098</v>
      </c>
      <c r="C1923" s="1" t="n">
        <v>46180</v>
      </c>
      <c r="D1923" t="inlineStr">
        <is>
          <t>GÄVLEBORGS LÄN</t>
        </is>
      </c>
      <c r="E1923" t="inlineStr">
        <is>
          <t>BOLLNÄS</t>
        </is>
      </c>
      <c r="F1923" t="inlineStr">
        <is>
          <t>Bergvik skog väst AB</t>
        </is>
      </c>
      <c r="G1923" t="n">
        <v>3.9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14133-2026</t>
        </is>
      </c>
      <c r="B1924" s="1" t="n">
        <v>46099</v>
      </c>
      <c r="C1924" s="1" t="n">
        <v>46180</v>
      </c>
      <c r="D1924" t="inlineStr">
        <is>
          <t>GÄVLEBORGS LÄN</t>
        </is>
      </c>
      <c r="E1924" t="inlineStr">
        <is>
          <t>BOLLNÄS</t>
        </is>
      </c>
      <c r="F1924" t="inlineStr">
        <is>
          <t>Bergvik skog väst AB</t>
        </is>
      </c>
      <c r="G1924" t="n">
        <v>7.4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14252-2026</t>
        </is>
      </c>
      <c r="B1925" s="1" t="n">
        <v>46099.61719907408</v>
      </c>
      <c r="C1925" s="1" t="n">
        <v>46180</v>
      </c>
      <c r="D1925" t="inlineStr">
        <is>
          <t>GÄVLEBORGS LÄN</t>
        </is>
      </c>
      <c r="E1925" t="inlineStr">
        <is>
          <t>BOLLNÄS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14121-2026</t>
        </is>
      </c>
      <c r="B1926" s="1" t="n">
        <v>46099</v>
      </c>
      <c r="C1926" s="1" t="n">
        <v>46180</v>
      </c>
      <c r="D1926" t="inlineStr">
        <is>
          <t>GÄVLEBORGS LÄN</t>
        </is>
      </c>
      <c r="E1926" t="inlineStr">
        <is>
          <t>BOLLNÄS</t>
        </is>
      </c>
      <c r="G1926" t="n">
        <v>2.5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14053-2026</t>
        </is>
      </c>
      <c r="B1927" s="1" t="n">
        <v>46099.31327546296</v>
      </c>
      <c r="C1927" s="1" t="n">
        <v>46180</v>
      </c>
      <c r="D1927" t="inlineStr">
        <is>
          <t>GÄVLEBORGS LÄN</t>
        </is>
      </c>
      <c r="E1927" t="inlineStr">
        <is>
          <t>BOLLNÄS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14166-2026</t>
        </is>
      </c>
      <c r="B1928" s="1" t="n">
        <v>46099</v>
      </c>
      <c r="C1928" s="1" t="n">
        <v>46180</v>
      </c>
      <c r="D1928" t="inlineStr">
        <is>
          <t>GÄVLEBORGS LÄN</t>
        </is>
      </c>
      <c r="E1928" t="inlineStr">
        <is>
          <t>BOLLNÄS</t>
        </is>
      </c>
      <c r="G1928" t="n">
        <v>3.8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20611-2026</t>
        </is>
      </c>
      <c r="B1929" s="1" t="n">
        <v>46140.70759259259</v>
      </c>
      <c r="C1929" s="1" t="n">
        <v>46180</v>
      </c>
      <c r="D1929" t="inlineStr">
        <is>
          <t>GÄVLEBORGS LÄN</t>
        </is>
      </c>
      <c r="E1929" t="inlineStr">
        <is>
          <t>BOLLNÄS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20901-2026</t>
        </is>
      </c>
      <c r="B1930" s="1" t="n">
        <v>46142.45746527778</v>
      </c>
      <c r="C1930" s="1" t="n">
        <v>46180</v>
      </c>
      <c r="D1930" t="inlineStr">
        <is>
          <t>GÄVLEBORGS LÄN</t>
        </is>
      </c>
      <c r="E1930" t="inlineStr">
        <is>
          <t>BOLLNÄS</t>
        </is>
      </c>
      <c r="G1930" t="n">
        <v>3.7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14497-2026</t>
        </is>
      </c>
      <c r="B1931" s="1" t="n">
        <v>46100.59907407407</v>
      </c>
      <c r="C1931" s="1" t="n">
        <v>46180</v>
      </c>
      <c r="D1931" t="inlineStr">
        <is>
          <t>GÄVLEBORGS LÄN</t>
        </is>
      </c>
      <c r="E1931" t="inlineStr">
        <is>
          <t>BOLLNÄS</t>
        </is>
      </c>
      <c r="G1931" t="n">
        <v>12.3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14504-2026</t>
        </is>
      </c>
      <c r="B1932" s="1" t="n">
        <v>46100</v>
      </c>
      <c r="C1932" s="1" t="n">
        <v>46180</v>
      </c>
      <c r="D1932" t="inlineStr">
        <is>
          <t>GÄVLEBORGS LÄN</t>
        </is>
      </c>
      <c r="E1932" t="inlineStr">
        <is>
          <t>BOLLNÄS</t>
        </is>
      </c>
      <c r="F1932" t="inlineStr">
        <is>
          <t>Bergvik skog väst AB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14518-2026</t>
        </is>
      </c>
      <c r="B1933" s="1" t="n">
        <v>46100.64496527778</v>
      </c>
      <c r="C1933" s="1" t="n">
        <v>46180</v>
      </c>
      <c r="D1933" t="inlineStr">
        <is>
          <t>GÄVLEBORGS LÄN</t>
        </is>
      </c>
      <c r="E1933" t="inlineStr">
        <is>
          <t>BOLLNÄS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14519-2026</t>
        </is>
      </c>
      <c r="B1934" s="1" t="n">
        <v>46100.64877314815</v>
      </c>
      <c r="C1934" s="1" t="n">
        <v>46180</v>
      </c>
      <c r="D1934" t="inlineStr">
        <is>
          <t>GÄVLEBORGS LÄN</t>
        </is>
      </c>
      <c r="E1934" t="inlineStr">
        <is>
          <t>BOLLNÄS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14517-2026</t>
        </is>
      </c>
      <c r="B1935" s="1" t="n">
        <v>46100.64189814815</v>
      </c>
      <c r="C1935" s="1" t="n">
        <v>46180</v>
      </c>
      <c r="D1935" t="inlineStr">
        <is>
          <t>GÄVLEBORGS LÄN</t>
        </is>
      </c>
      <c r="E1935" t="inlineStr">
        <is>
          <t>BOLLNÄS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14534-2026</t>
        </is>
      </c>
      <c r="B1936" s="1" t="n">
        <v>46100.66585648148</v>
      </c>
      <c r="C1936" s="1" t="n">
        <v>46180</v>
      </c>
      <c r="D1936" t="inlineStr">
        <is>
          <t>GÄVLEBORGS LÄN</t>
        </is>
      </c>
      <c r="E1936" t="inlineStr">
        <is>
          <t>BOLLNÄS</t>
        </is>
      </c>
      <c r="G1936" t="n">
        <v>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14630-2026</t>
        </is>
      </c>
      <c r="B1937" s="1" t="n">
        <v>46101.39975694445</v>
      </c>
      <c r="C1937" s="1" t="n">
        <v>46180</v>
      </c>
      <c r="D1937" t="inlineStr">
        <is>
          <t>GÄVLEBORGS LÄN</t>
        </is>
      </c>
      <c r="E1937" t="inlineStr">
        <is>
          <t>BOLLNÄS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14356-2026</t>
        </is>
      </c>
      <c r="B1938" s="1" t="n">
        <v>46100.34789351852</v>
      </c>
      <c r="C1938" s="1" t="n">
        <v>46180</v>
      </c>
      <c r="D1938" t="inlineStr">
        <is>
          <t>GÄVLEBORGS LÄN</t>
        </is>
      </c>
      <c r="E1938" t="inlineStr">
        <is>
          <t>BOLLNÄS</t>
        </is>
      </c>
      <c r="G1938" t="n">
        <v>2.6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14633-2026</t>
        </is>
      </c>
      <c r="B1939" s="1" t="n">
        <v>46101.40224537037</v>
      </c>
      <c r="C1939" s="1" t="n">
        <v>46180</v>
      </c>
      <c r="D1939" t="inlineStr">
        <is>
          <t>GÄVLEBORGS LÄN</t>
        </is>
      </c>
      <c r="E1939" t="inlineStr">
        <is>
          <t>BOLLNÄS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14611-2026</t>
        </is>
      </c>
      <c r="B1940" s="1" t="n">
        <v>46101.3672337963</v>
      </c>
      <c r="C1940" s="1" t="n">
        <v>46180</v>
      </c>
      <c r="D1940" t="inlineStr">
        <is>
          <t>GÄVLEBORGS LÄN</t>
        </is>
      </c>
      <c r="E1940" t="inlineStr">
        <is>
          <t>BOLLNÄS</t>
        </is>
      </c>
      <c r="G1940" t="n">
        <v>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14521-2026</t>
        </is>
      </c>
      <c r="B1941" s="1" t="n">
        <v>46100.65526620371</v>
      </c>
      <c r="C1941" s="1" t="n">
        <v>46180</v>
      </c>
      <c r="D1941" t="inlineStr">
        <is>
          <t>GÄVLEBORGS LÄN</t>
        </is>
      </c>
      <c r="E1941" t="inlineStr">
        <is>
          <t>BOLLNÄS</t>
        </is>
      </c>
      <c r="G1941" t="n">
        <v>9.6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61568-2025</t>
        </is>
      </c>
      <c r="B1942" s="1" t="n">
        <v>46002.25414351852</v>
      </c>
      <c r="C1942" s="1" t="n">
        <v>46180</v>
      </c>
      <c r="D1942" t="inlineStr">
        <is>
          <t>GÄVLEBORGS LÄN</t>
        </is>
      </c>
      <c r="E1942" t="inlineStr">
        <is>
          <t>BOLLNÄS</t>
        </is>
      </c>
      <c r="G1942" t="n">
        <v>4.2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14775-2026</t>
        </is>
      </c>
      <c r="B1943" s="1" t="n">
        <v>46101.64854166667</v>
      </c>
      <c r="C1943" s="1" t="n">
        <v>46180</v>
      </c>
      <c r="D1943" t="inlineStr">
        <is>
          <t>GÄVLEBORGS LÄN</t>
        </is>
      </c>
      <c r="E1943" t="inlineStr">
        <is>
          <t>BOLLNÄS</t>
        </is>
      </c>
      <c r="G1943" t="n">
        <v>4.4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14697-2026</t>
        </is>
      </c>
      <c r="B1944" s="1" t="n">
        <v>46101.53023148148</v>
      </c>
      <c r="C1944" s="1" t="n">
        <v>46180</v>
      </c>
      <c r="D1944" t="inlineStr">
        <is>
          <t>GÄVLEBORGS LÄN</t>
        </is>
      </c>
      <c r="E1944" t="inlineStr">
        <is>
          <t>BOLLNÄS</t>
        </is>
      </c>
      <c r="F1944" t="inlineStr">
        <is>
          <t>Kommuner</t>
        </is>
      </c>
      <c r="G1944" t="n">
        <v>19.5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14735-2026</t>
        </is>
      </c>
      <c r="B1945" s="1" t="n">
        <v>46101</v>
      </c>
      <c r="C1945" s="1" t="n">
        <v>46180</v>
      </c>
      <c r="D1945" t="inlineStr">
        <is>
          <t>GÄVLEBORGS LÄN</t>
        </is>
      </c>
      <c r="E1945" t="inlineStr">
        <is>
          <t>BOLLNÄS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14594-2026</t>
        </is>
      </c>
      <c r="B1946" s="1" t="n">
        <v>46101.34642361111</v>
      </c>
      <c r="C1946" s="1" t="n">
        <v>46180</v>
      </c>
      <c r="D1946" t="inlineStr">
        <is>
          <t>GÄVLEBORGS LÄN</t>
        </is>
      </c>
      <c r="E1946" t="inlineStr">
        <is>
          <t>BOLLNÄS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14596-2026</t>
        </is>
      </c>
      <c r="B1947" s="1" t="n">
        <v>46101.34709490741</v>
      </c>
      <c r="C1947" s="1" t="n">
        <v>46180</v>
      </c>
      <c r="D1947" t="inlineStr">
        <is>
          <t>GÄVLEBORGS LÄN</t>
        </is>
      </c>
      <c r="E1947" t="inlineStr">
        <is>
          <t>BOLLNÄS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17966-2025</t>
        </is>
      </c>
      <c r="B1948" s="1" t="n">
        <v>45761.34462962963</v>
      </c>
      <c r="C1948" s="1" t="n">
        <v>46180</v>
      </c>
      <c r="D1948" t="inlineStr">
        <is>
          <t>GÄVLEBORGS LÄN</t>
        </is>
      </c>
      <c r="E1948" t="inlineStr">
        <is>
          <t>BOLLNÄS</t>
        </is>
      </c>
      <c r="F1948" t="inlineStr">
        <is>
          <t>Bergvik skog väst AB</t>
        </is>
      </c>
      <c r="G1948" t="n">
        <v>9.5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14615-2026</t>
        </is>
      </c>
      <c r="B1949" s="1" t="n">
        <v>46101.37422453704</v>
      </c>
      <c r="C1949" s="1" t="n">
        <v>46180</v>
      </c>
      <c r="D1949" t="inlineStr">
        <is>
          <t>GÄVLEBORGS LÄN</t>
        </is>
      </c>
      <c r="E1949" t="inlineStr">
        <is>
          <t>BOLLNÄS</t>
        </is>
      </c>
      <c r="G1949" t="n">
        <v>2.4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14616-2026</t>
        </is>
      </c>
      <c r="B1950" s="1" t="n">
        <v>46101.37678240741</v>
      </c>
      <c r="C1950" s="1" t="n">
        <v>46180</v>
      </c>
      <c r="D1950" t="inlineStr">
        <is>
          <t>GÄVLEBORGS LÄN</t>
        </is>
      </c>
      <c r="E1950" t="inlineStr">
        <is>
          <t>BOLLNÄS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14406-2026</t>
        </is>
      </c>
      <c r="B1951" s="1" t="n">
        <v>46100.42908564815</v>
      </c>
      <c r="C1951" s="1" t="n">
        <v>46180</v>
      </c>
      <c r="D1951" t="inlineStr">
        <is>
          <t>GÄVLEBORGS LÄN</t>
        </is>
      </c>
      <c r="E1951" t="inlineStr">
        <is>
          <t>BOLLNÄS</t>
        </is>
      </c>
      <c r="F1951" t="inlineStr">
        <is>
          <t>Bergvik skog väst AB</t>
        </is>
      </c>
      <c r="G1951" t="n">
        <v>5.9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14326-2026</t>
        </is>
      </c>
      <c r="B1952" s="1" t="n">
        <v>46100</v>
      </c>
      <c r="C1952" s="1" t="n">
        <v>46180</v>
      </c>
      <c r="D1952" t="inlineStr">
        <is>
          <t>GÄVLEBORGS LÄN</t>
        </is>
      </c>
      <c r="E1952" t="inlineStr">
        <is>
          <t>BOLLNÄS</t>
        </is>
      </c>
      <c r="F1952" t="inlineStr">
        <is>
          <t>Bergvik skog väst AB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14328-2026</t>
        </is>
      </c>
      <c r="B1953" s="1" t="n">
        <v>46100</v>
      </c>
      <c r="C1953" s="1" t="n">
        <v>46180</v>
      </c>
      <c r="D1953" t="inlineStr">
        <is>
          <t>GÄVLEBORGS LÄN</t>
        </is>
      </c>
      <c r="E1953" t="inlineStr">
        <is>
          <t>BOLLNÄS</t>
        </is>
      </c>
      <c r="F1953" t="inlineStr">
        <is>
          <t>Bergvik skog väst AB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14579-2026</t>
        </is>
      </c>
      <c r="B1954" s="1" t="n">
        <v>46101.33672453704</v>
      </c>
      <c r="C1954" s="1" t="n">
        <v>46180</v>
      </c>
      <c r="D1954" t="inlineStr">
        <is>
          <t>GÄVLEBORGS LÄN</t>
        </is>
      </c>
      <c r="E1954" t="inlineStr">
        <is>
          <t>BOLLNÄS</t>
        </is>
      </c>
      <c r="F1954" t="inlineStr">
        <is>
          <t>Kommuner</t>
        </is>
      </c>
      <c r="G1954" t="n">
        <v>9.5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14345-2026</t>
        </is>
      </c>
      <c r="B1955" s="1" t="n">
        <v>46100.33980324074</v>
      </c>
      <c r="C1955" s="1" t="n">
        <v>46180</v>
      </c>
      <c r="D1955" t="inlineStr">
        <is>
          <t>GÄVLEBORGS LÄN</t>
        </is>
      </c>
      <c r="E1955" t="inlineStr">
        <is>
          <t>BOLLNÄS</t>
        </is>
      </c>
      <c r="G1955" t="n">
        <v>17.4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14346-2026</t>
        </is>
      </c>
      <c r="B1956" s="1" t="n">
        <v>46100.34024305556</v>
      </c>
      <c r="C1956" s="1" t="n">
        <v>46180</v>
      </c>
      <c r="D1956" t="inlineStr">
        <is>
          <t>GÄVLEBORGS LÄN</t>
        </is>
      </c>
      <c r="E1956" t="inlineStr">
        <is>
          <t>BOLLNÄS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14598-2026</t>
        </is>
      </c>
      <c r="B1957" s="1" t="n">
        <v>46101.35046296296</v>
      </c>
      <c r="C1957" s="1" t="n">
        <v>46180</v>
      </c>
      <c r="D1957" t="inlineStr">
        <is>
          <t>GÄVLEBORGS LÄN</t>
        </is>
      </c>
      <c r="E1957" t="inlineStr">
        <is>
          <t>BOLLNÄS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14599-2026</t>
        </is>
      </c>
      <c r="B1958" s="1" t="n">
        <v>46101.35528935185</v>
      </c>
      <c r="C1958" s="1" t="n">
        <v>46180</v>
      </c>
      <c r="D1958" t="inlineStr">
        <is>
          <t>GÄVLEBORGS LÄN</t>
        </is>
      </c>
      <c r="E1958" t="inlineStr">
        <is>
          <t>BOLLNÄS</t>
        </is>
      </c>
      <c r="F1958" t="inlineStr">
        <is>
          <t>Kyrkan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14717-2026</t>
        </is>
      </c>
      <c r="B1959" s="1" t="n">
        <v>46101.56134259259</v>
      </c>
      <c r="C1959" s="1" t="n">
        <v>46180</v>
      </c>
      <c r="D1959" t="inlineStr">
        <is>
          <t>GÄVLEBORGS LÄN</t>
        </is>
      </c>
      <c r="E1959" t="inlineStr">
        <is>
          <t>BOLLNÄS</t>
        </is>
      </c>
      <c r="F1959" t="inlineStr">
        <is>
          <t>Kommuner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14729-2026</t>
        </is>
      </c>
      <c r="B1960" s="1" t="n">
        <v>46101.57625</v>
      </c>
      <c r="C1960" s="1" t="n">
        <v>46180</v>
      </c>
      <c r="D1960" t="inlineStr">
        <is>
          <t>GÄVLEBORGS LÄN</t>
        </is>
      </c>
      <c r="E1960" t="inlineStr">
        <is>
          <t>BOLLNÄS</t>
        </is>
      </c>
      <c r="F1960" t="inlineStr">
        <is>
          <t>Kommuner</t>
        </is>
      </c>
      <c r="G1960" t="n">
        <v>4.7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14741-2026</t>
        </is>
      </c>
      <c r="B1961" s="1" t="n">
        <v>46101.59574074074</v>
      </c>
      <c r="C1961" s="1" t="n">
        <v>46180</v>
      </c>
      <c r="D1961" t="inlineStr">
        <is>
          <t>GÄVLEBORGS LÄN</t>
        </is>
      </c>
      <c r="E1961" t="inlineStr">
        <is>
          <t>BOLLNÄS</t>
        </is>
      </c>
      <c r="F1961" t="inlineStr">
        <is>
          <t>Bergvik skog väst AB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14472-2026</t>
        </is>
      </c>
      <c r="B1962" s="1" t="n">
        <v>46100.56905092593</v>
      </c>
      <c r="C1962" s="1" t="n">
        <v>46180</v>
      </c>
      <c r="D1962" t="inlineStr">
        <is>
          <t>GÄVLEBORGS LÄN</t>
        </is>
      </c>
      <c r="E1962" t="inlineStr">
        <is>
          <t>BOLLNÄS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14324-2026</t>
        </is>
      </c>
      <c r="B1963" s="1" t="n">
        <v>46100</v>
      </c>
      <c r="C1963" s="1" t="n">
        <v>46180</v>
      </c>
      <c r="D1963" t="inlineStr">
        <is>
          <t>GÄVLEBORGS LÄN</t>
        </is>
      </c>
      <c r="E1963" t="inlineStr">
        <is>
          <t>BOLLNÄS</t>
        </is>
      </c>
      <c r="F1963" t="inlineStr">
        <is>
          <t>Bergvik skog väst AB</t>
        </is>
      </c>
      <c r="G1963" t="n">
        <v>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14709-2026</t>
        </is>
      </c>
      <c r="B1964" s="1" t="n">
        <v>46101.55148148148</v>
      </c>
      <c r="C1964" s="1" t="n">
        <v>46180</v>
      </c>
      <c r="D1964" t="inlineStr">
        <is>
          <t>GÄVLEBORGS LÄN</t>
        </is>
      </c>
      <c r="E1964" t="inlineStr">
        <is>
          <t>BOLLNÄS</t>
        </is>
      </c>
      <c r="F1964" t="inlineStr">
        <is>
          <t>Kommuner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14736-2026</t>
        </is>
      </c>
      <c r="B1965" s="1" t="n">
        <v>46101</v>
      </c>
      <c r="C1965" s="1" t="n">
        <v>46180</v>
      </c>
      <c r="D1965" t="inlineStr">
        <is>
          <t>GÄVLEBORGS LÄN</t>
        </is>
      </c>
      <c r="E1965" t="inlineStr">
        <is>
          <t>BOLLNÄS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14764-2026</t>
        </is>
      </c>
      <c r="B1966" s="1" t="n">
        <v>46101.62913194444</v>
      </c>
      <c r="C1966" s="1" t="n">
        <v>46180</v>
      </c>
      <c r="D1966" t="inlineStr">
        <is>
          <t>GÄVLEBORGS LÄN</t>
        </is>
      </c>
      <c r="E1966" t="inlineStr">
        <is>
          <t>BOLLNÄS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14768-2026</t>
        </is>
      </c>
      <c r="B1967" s="1" t="n">
        <v>46101.63775462963</v>
      </c>
      <c r="C1967" s="1" t="n">
        <v>46180</v>
      </c>
      <c r="D1967" t="inlineStr">
        <is>
          <t>GÄVLEBORGS LÄN</t>
        </is>
      </c>
      <c r="E1967" t="inlineStr">
        <is>
          <t>BOLLNÄS</t>
        </is>
      </c>
      <c r="G1967" t="n">
        <v>5.2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14357-2026</t>
        </is>
      </c>
      <c r="B1968" s="1" t="n">
        <v>46100.34853009259</v>
      </c>
      <c r="C1968" s="1" t="n">
        <v>46180</v>
      </c>
      <c r="D1968" t="inlineStr">
        <is>
          <t>GÄVLEBORGS LÄN</t>
        </is>
      </c>
      <c r="E1968" t="inlineStr">
        <is>
          <t>BOLLNÄS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14493-2026</t>
        </is>
      </c>
      <c r="B1969" s="1" t="n">
        <v>46100.59633101852</v>
      </c>
      <c r="C1969" s="1" t="n">
        <v>46180</v>
      </c>
      <c r="D1969" t="inlineStr">
        <is>
          <t>GÄVLEBORGS LÄN</t>
        </is>
      </c>
      <c r="E1969" t="inlineStr">
        <is>
          <t>BOLLNÄS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14503-2026</t>
        </is>
      </c>
      <c r="B1970" s="1" t="n">
        <v>46100</v>
      </c>
      <c r="C1970" s="1" t="n">
        <v>46180</v>
      </c>
      <c r="D1970" t="inlineStr">
        <is>
          <t>GÄVLEBORGS LÄN</t>
        </is>
      </c>
      <c r="E1970" t="inlineStr">
        <is>
          <t>BOLLNÄS</t>
        </is>
      </c>
      <c r="F1970" t="inlineStr">
        <is>
          <t>Bergvik skog väst AB</t>
        </is>
      </c>
      <c r="G1970" t="n">
        <v>2.9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14708-2026</t>
        </is>
      </c>
      <c r="B1971" s="1" t="n">
        <v>46101</v>
      </c>
      <c r="C1971" s="1" t="n">
        <v>46180</v>
      </c>
      <c r="D1971" t="inlineStr">
        <is>
          <t>GÄVLEBORGS LÄN</t>
        </is>
      </c>
      <c r="E1971" t="inlineStr">
        <is>
          <t>BOLLNÄS</t>
        </is>
      </c>
      <c r="F1971" t="inlineStr">
        <is>
          <t>Bergvik skog väst AB</t>
        </is>
      </c>
      <c r="G1971" t="n">
        <v>4.2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14713-2026</t>
        </is>
      </c>
      <c r="B1972" s="1" t="n">
        <v>46101.55292824074</v>
      </c>
      <c r="C1972" s="1" t="n">
        <v>46180</v>
      </c>
      <c r="D1972" t="inlineStr">
        <is>
          <t>GÄVLEBORGS LÄN</t>
        </is>
      </c>
      <c r="E1972" t="inlineStr">
        <is>
          <t>BOLLNÄS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14766-2026</t>
        </is>
      </c>
      <c r="B1973" s="1" t="n">
        <v>46101.63623842593</v>
      </c>
      <c r="C1973" s="1" t="n">
        <v>46180</v>
      </c>
      <c r="D1973" t="inlineStr">
        <is>
          <t>GÄVLEBORGS LÄN</t>
        </is>
      </c>
      <c r="E1973" t="inlineStr">
        <is>
          <t>BOLLNÄS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14772-2026</t>
        </is>
      </c>
      <c r="B1974" s="1" t="n">
        <v>46101.64003472222</v>
      </c>
      <c r="C1974" s="1" t="n">
        <v>46180</v>
      </c>
      <c r="D1974" t="inlineStr">
        <is>
          <t>GÄVLEBORGS LÄN</t>
        </is>
      </c>
      <c r="E1974" t="inlineStr">
        <is>
          <t>BOLLNÄS</t>
        </is>
      </c>
      <c r="F1974" t="inlineStr">
        <is>
          <t>Kommuner</t>
        </is>
      </c>
      <c r="G1974" t="n">
        <v>3.5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14781-2026</t>
        </is>
      </c>
      <c r="B1975" s="1" t="n">
        <v>46101</v>
      </c>
      <c r="C1975" s="1" t="n">
        <v>46180</v>
      </c>
      <c r="D1975" t="inlineStr">
        <is>
          <t>GÄVLEBORGS LÄN</t>
        </is>
      </c>
      <c r="E1975" t="inlineStr">
        <is>
          <t>BOLLNÄS</t>
        </is>
      </c>
      <c r="G1975" t="n">
        <v>23.4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14783-2026</t>
        </is>
      </c>
      <c r="B1976" s="1" t="n">
        <v>46101.66121527777</v>
      </c>
      <c r="C1976" s="1" t="n">
        <v>46180</v>
      </c>
      <c r="D1976" t="inlineStr">
        <is>
          <t>GÄVLEBORGS LÄN</t>
        </is>
      </c>
      <c r="E1976" t="inlineStr">
        <is>
          <t>BOLLNÄS</t>
        </is>
      </c>
      <c r="G1976" t="n">
        <v>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14646-2026</t>
        </is>
      </c>
      <c r="B1977" s="1" t="n">
        <v>46101.41892361111</v>
      </c>
      <c r="C1977" s="1" t="n">
        <v>46180</v>
      </c>
      <c r="D1977" t="inlineStr">
        <is>
          <t>GÄVLEBORGS LÄN</t>
        </is>
      </c>
      <c r="E1977" t="inlineStr">
        <is>
          <t>BOLLNÄS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14520-2026</t>
        </is>
      </c>
      <c r="B1978" s="1" t="n">
        <v>46100.65318287037</v>
      </c>
      <c r="C1978" s="1" t="n">
        <v>46180</v>
      </c>
      <c r="D1978" t="inlineStr">
        <is>
          <t>GÄVLEBORGS LÄN</t>
        </is>
      </c>
      <c r="E1978" t="inlineStr">
        <is>
          <t>BOLLNÄS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14586-2026</t>
        </is>
      </c>
      <c r="B1979" s="1" t="n">
        <v>46101.33969907407</v>
      </c>
      <c r="C1979" s="1" t="n">
        <v>46180</v>
      </c>
      <c r="D1979" t="inlineStr">
        <is>
          <t>GÄVLEBORGS LÄN</t>
        </is>
      </c>
      <c r="E1979" t="inlineStr">
        <is>
          <t>BOLLNÄS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14589-2026</t>
        </is>
      </c>
      <c r="B1980" s="1" t="n">
        <v>46101.34568287037</v>
      </c>
      <c r="C1980" s="1" t="n">
        <v>46180</v>
      </c>
      <c r="D1980" t="inlineStr">
        <is>
          <t>GÄVLEBORGS LÄN</t>
        </is>
      </c>
      <c r="E1980" t="inlineStr">
        <is>
          <t>BOLLNÄS</t>
        </is>
      </c>
      <c r="G1980" t="n">
        <v>2.8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61689-2025</t>
        </is>
      </c>
      <c r="B1981" s="1" t="n">
        <v>46002</v>
      </c>
      <c r="C1981" s="1" t="n">
        <v>46180</v>
      </c>
      <c r="D1981" t="inlineStr">
        <is>
          <t>GÄVLEBORGS LÄN</t>
        </is>
      </c>
      <c r="E1981" t="inlineStr">
        <is>
          <t>BOLLNÄS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34613-2024</t>
        </is>
      </c>
      <c r="B1982" s="1" t="n">
        <v>45526.41092592593</v>
      </c>
      <c r="C1982" s="1" t="n">
        <v>46180</v>
      </c>
      <c r="D1982" t="inlineStr">
        <is>
          <t>GÄVLEBORGS LÄN</t>
        </is>
      </c>
      <c r="E1982" t="inlineStr">
        <is>
          <t>BOLLNÄS</t>
        </is>
      </c>
      <c r="F1982" t="inlineStr">
        <is>
          <t>Sveaskog</t>
        </is>
      </c>
      <c r="G1982" t="n">
        <v>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61686-2025</t>
        </is>
      </c>
      <c r="B1983" s="1" t="n">
        <v>46002</v>
      </c>
      <c r="C1983" s="1" t="n">
        <v>46180</v>
      </c>
      <c r="D1983" t="inlineStr">
        <is>
          <t>GÄVLEBORGS LÄN</t>
        </is>
      </c>
      <c r="E1983" t="inlineStr">
        <is>
          <t>BOLLNÄS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43152-2023</t>
        </is>
      </c>
      <c r="B1984" s="1" t="n">
        <v>45183.32864583333</v>
      </c>
      <c r="C1984" s="1" t="n">
        <v>46180</v>
      </c>
      <c r="D1984" t="inlineStr">
        <is>
          <t>GÄVLEBORGS LÄN</t>
        </is>
      </c>
      <c r="E1984" t="inlineStr">
        <is>
          <t>BOLLNÄS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14514-2026</t>
        </is>
      </c>
      <c r="B1985" s="1" t="n">
        <v>46100.63652777778</v>
      </c>
      <c r="C1985" s="1" t="n">
        <v>46180</v>
      </c>
      <c r="D1985" t="inlineStr">
        <is>
          <t>GÄVLEBORGS LÄN</t>
        </is>
      </c>
      <c r="E1985" t="inlineStr">
        <is>
          <t>BOLLNÄS</t>
        </is>
      </c>
      <c r="G1985" t="n">
        <v>3.6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14526-2026</t>
        </is>
      </c>
      <c r="B1986" s="1" t="n">
        <v>46100.65752314815</v>
      </c>
      <c r="C1986" s="1" t="n">
        <v>46180</v>
      </c>
      <c r="D1986" t="inlineStr">
        <is>
          <t>GÄVLEBORGS LÄN</t>
        </is>
      </c>
      <c r="E1986" t="inlineStr">
        <is>
          <t>BOLLNÄS</t>
        </is>
      </c>
      <c r="G1986" t="n">
        <v>10.9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14528-2026</t>
        </is>
      </c>
      <c r="B1987" s="1" t="n">
        <v>46100.66017361111</v>
      </c>
      <c r="C1987" s="1" t="n">
        <v>46180</v>
      </c>
      <c r="D1987" t="inlineStr">
        <is>
          <t>GÄVLEBORGS LÄN</t>
        </is>
      </c>
      <c r="E1987" t="inlineStr">
        <is>
          <t>BOLLNÄS</t>
        </is>
      </c>
      <c r="G1987" t="n">
        <v>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14529-2026</t>
        </is>
      </c>
      <c r="B1988" s="1" t="n">
        <v>46100.66371527778</v>
      </c>
      <c r="C1988" s="1" t="n">
        <v>46180</v>
      </c>
      <c r="D1988" t="inlineStr">
        <is>
          <t>GÄVLEBORGS LÄN</t>
        </is>
      </c>
      <c r="E1988" t="inlineStr">
        <is>
          <t>BOLLNÄS</t>
        </is>
      </c>
      <c r="G1988" t="n">
        <v>3.2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46151-2024</t>
        </is>
      </c>
      <c r="B1989" s="1" t="n">
        <v>45581.45340277778</v>
      </c>
      <c r="C1989" s="1" t="n">
        <v>46180</v>
      </c>
      <c r="D1989" t="inlineStr">
        <is>
          <t>GÄVLEBORGS LÄN</t>
        </is>
      </c>
      <c r="E1989" t="inlineStr">
        <is>
          <t>BOLLNÄS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61835-2025</t>
        </is>
      </c>
      <c r="B1990" s="1" t="n">
        <v>46003.34667824074</v>
      </c>
      <c r="C1990" s="1" t="n">
        <v>46180</v>
      </c>
      <c r="D1990" t="inlineStr">
        <is>
          <t>GÄVLEBORGS LÄN</t>
        </is>
      </c>
      <c r="E1990" t="inlineStr">
        <is>
          <t>BOLLNÄS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69620-2021</t>
        </is>
      </c>
      <c r="B1991" s="1" t="n">
        <v>44532.40591435185</v>
      </c>
      <c r="C1991" s="1" t="n">
        <v>46180</v>
      </c>
      <c r="D1991" t="inlineStr">
        <is>
          <t>GÄVLEBORGS LÄN</t>
        </is>
      </c>
      <c r="E1991" t="inlineStr">
        <is>
          <t>BOLLNÄS</t>
        </is>
      </c>
      <c r="F1991" t="inlineStr">
        <is>
          <t>Bergvik skog väst AB</t>
        </is>
      </c>
      <c r="G1991" t="n">
        <v>2.5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62272-2025</t>
        </is>
      </c>
      <c r="B1992" s="1" t="n">
        <v>46006.6241087963</v>
      </c>
      <c r="C1992" s="1" t="n">
        <v>46180</v>
      </c>
      <c r="D1992" t="inlineStr">
        <is>
          <t>GÄVLEBORGS LÄN</t>
        </is>
      </c>
      <c r="E1992" t="inlineStr">
        <is>
          <t>BOLLNÄS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14700-2026</t>
        </is>
      </c>
      <c r="B1993" s="1" t="n">
        <v>46101.53930555555</v>
      </c>
      <c r="C1993" s="1" t="n">
        <v>46180</v>
      </c>
      <c r="D1993" t="inlineStr">
        <is>
          <t>GÄVLEBORGS LÄN</t>
        </is>
      </c>
      <c r="E1993" t="inlineStr">
        <is>
          <t>BOLLNÄS</t>
        </is>
      </c>
      <c r="F1993" t="inlineStr">
        <is>
          <t>Kommuner</t>
        </is>
      </c>
      <c r="G1993" t="n">
        <v>10.4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14784-2026</t>
        </is>
      </c>
      <c r="B1994" s="1" t="n">
        <v>46101.66293981481</v>
      </c>
      <c r="C1994" s="1" t="n">
        <v>46180</v>
      </c>
      <c r="D1994" t="inlineStr">
        <is>
          <t>GÄVLEBORGS LÄN</t>
        </is>
      </c>
      <c r="E1994" t="inlineStr">
        <is>
          <t>BOLLNÄS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23375-2024</t>
        </is>
      </c>
      <c r="B1995" s="1" t="n">
        <v>45453.55662037037</v>
      </c>
      <c r="C1995" s="1" t="n">
        <v>46180</v>
      </c>
      <c r="D1995" t="inlineStr">
        <is>
          <t>GÄVLEBORGS LÄN</t>
        </is>
      </c>
      <c r="E1995" t="inlineStr">
        <is>
          <t>BOLLNÄS</t>
        </is>
      </c>
      <c r="G1995" t="n">
        <v>3.5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24721-2025</t>
        </is>
      </c>
      <c r="B1996" s="1" t="n">
        <v>45799</v>
      </c>
      <c r="C1996" s="1" t="n">
        <v>46180</v>
      </c>
      <c r="D1996" t="inlineStr">
        <is>
          <t>GÄVLEBORGS LÄN</t>
        </is>
      </c>
      <c r="E1996" t="inlineStr">
        <is>
          <t>BOLLNÄS</t>
        </is>
      </c>
      <c r="G1996" t="n">
        <v>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14417-2026</t>
        </is>
      </c>
      <c r="B1997" s="1" t="n">
        <v>46100</v>
      </c>
      <c r="C1997" s="1" t="n">
        <v>46180</v>
      </c>
      <c r="D1997" t="inlineStr">
        <is>
          <t>GÄVLEBORGS LÄN</t>
        </is>
      </c>
      <c r="E1997" t="inlineStr">
        <is>
          <t>BOLLNÄS</t>
        </is>
      </c>
      <c r="G1997" t="n">
        <v>4.6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14491-2026</t>
        </is>
      </c>
      <c r="B1998" s="1" t="n">
        <v>46100</v>
      </c>
      <c r="C1998" s="1" t="n">
        <v>46180</v>
      </c>
      <c r="D1998" t="inlineStr">
        <is>
          <t>GÄVLEBORGS LÄN</t>
        </is>
      </c>
      <c r="E1998" t="inlineStr">
        <is>
          <t>BOLLNÄS</t>
        </is>
      </c>
      <c r="F1998" t="inlineStr">
        <is>
          <t>Bergvik skog väst AB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14436-2026</t>
        </is>
      </c>
      <c r="B1999" s="1" t="n">
        <v>46100.49224537037</v>
      </c>
      <c r="C1999" s="1" t="n">
        <v>46180</v>
      </c>
      <c r="D1999" t="inlineStr">
        <is>
          <t>GÄVLEBORGS LÄN</t>
        </is>
      </c>
      <c r="E1999" t="inlineStr">
        <is>
          <t>BOLLNÄS</t>
        </is>
      </c>
      <c r="G1999" t="n">
        <v>5.2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14438-2026</t>
        </is>
      </c>
      <c r="B2000" s="1" t="n">
        <v>46100.49863425926</v>
      </c>
      <c r="C2000" s="1" t="n">
        <v>46180</v>
      </c>
      <c r="D2000" t="inlineStr">
        <is>
          <t>GÄVLEBORGS LÄN</t>
        </is>
      </c>
      <c r="E2000" t="inlineStr">
        <is>
          <t>BOLLNÄS</t>
        </is>
      </c>
      <c r="G2000" t="n">
        <v>26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20609-2026</t>
        </is>
      </c>
      <c r="B2001" s="1" t="n">
        <v>46140</v>
      </c>
      <c r="C2001" s="1" t="n">
        <v>46180</v>
      </c>
      <c r="D2001" t="inlineStr">
        <is>
          <t>GÄVLEBORGS LÄN</t>
        </is>
      </c>
      <c r="E2001" t="inlineStr">
        <is>
          <t>BOLLNÄS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14733-2026</t>
        </is>
      </c>
      <c r="B2002" s="1" t="n">
        <v>46101</v>
      </c>
      <c r="C2002" s="1" t="n">
        <v>46180</v>
      </c>
      <c r="D2002" t="inlineStr">
        <is>
          <t>GÄVLEBORGS LÄN</t>
        </is>
      </c>
      <c r="E2002" t="inlineStr">
        <is>
          <t>BOLLNÄS</t>
        </is>
      </c>
      <c r="G2002" t="n">
        <v>3.3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14678-2026</t>
        </is>
      </c>
      <c r="B2003" s="1" t="n">
        <v>46101.47208333333</v>
      </c>
      <c r="C2003" s="1" t="n">
        <v>46180</v>
      </c>
      <c r="D2003" t="inlineStr">
        <is>
          <t>GÄVLEBORGS LÄN</t>
        </is>
      </c>
      <c r="E2003" t="inlineStr">
        <is>
          <t>BOLLNÄS</t>
        </is>
      </c>
      <c r="F2003" t="inlineStr">
        <is>
          <t>Kommuner</t>
        </is>
      </c>
      <c r="G2003" t="n">
        <v>23.7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14612-2026</t>
        </is>
      </c>
      <c r="B2004" s="1" t="n">
        <v>46101.3687037037</v>
      </c>
      <c r="C2004" s="1" t="n">
        <v>46180</v>
      </c>
      <c r="D2004" t="inlineStr">
        <is>
          <t>GÄVLEBORGS LÄN</t>
        </is>
      </c>
      <c r="E2004" t="inlineStr">
        <is>
          <t>BOLLNÄS</t>
        </is>
      </c>
      <c r="G2004" t="n">
        <v>3.3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14632-2026</t>
        </is>
      </c>
      <c r="B2005" s="1" t="n">
        <v>46101.40135416666</v>
      </c>
      <c r="C2005" s="1" t="n">
        <v>46180</v>
      </c>
      <c r="D2005" t="inlineStr">
        <is>
          <t>GÄVLEBORGS LÄN</t>
        </is>
      </c>
      <c r="E2005" t="inlineStr">
        <is>
          <t>BOLLNÄS</t>
        </is>
      </c>
      <c r="F2005" t="inlineStr">
        <is>
          <t>Kyrkan</t>
        </is>
      </c>
      <c r="G2005" t="n">
        <v>8.1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14652-2026</t>
        </is>
      </c>
      <c r="B2006" s="1" t="n">
        <v>46101.42929398148</v>
      </c>
      <c r="C2006" s="1" t="n">
        <v>46180</v>
      </c>
      <c r="D2006" t="inlineStr">
        <is>
          <t>GÄVLEBORGS LÄN</t>
        </is>
      </c>
      <c r="E2006" t="inlineStr">
        <is>
          <t>BOLLNÄS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14655-2026</t>
        </is>
      </c>
      <c r="B2007" s="1" t="n">
        <v>46101.43355324074</v>
      </c>
      <c r="C2007" s="1" t="n">
        <v>46180</v>
      </c>
      <c r="D2007" t="inlineStr">
        <is>
          <t>GÄVLEBORGS LÄN</t>
        </is>
      </c>
      <c r="E2007" t="inlineStr">
        <is>
          <t>BOLLNÄS</t>
        </is>
      </c>
      <c r="F2007" t="inlineStr">
        <is>
          <t>Kyrkan</t>
        </is>
      </c>
      <c r="G2007" t="n">
        <v>1.8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14371-2026</t>
        </is>
      </c>
      <c r="B2008" s="1" t="n">
        <v>46100.36709490741</v>
      </c>
      <c r="C2008" s="1" t="n">
        <v>46180</v>
      </c>
      <c r="D2008" t="inlineStr">
        <is>
          <t>GÄVLEBORGS LÄN</t>
        </is>
      </c>
      <c r="E2008" t="inlineStr">
        <is>
          <t>BOLLNÄS</t>
        </is>
      </c>
      <c r="G2008" t="n">
        <v>22.8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29769-2023</t>
        </is>
      </c>
      <c r="B2009" s="1" t="n">
        <v>45107</v>
      </c>
      <c r="C2009" s="1" t="n">
        <v>46180</v>
      </c>
      <c r="D2009" t="inlineStr">
        <is>
          <t>GÄVLEBORGS LÄN</t>
        </is>
      </c>
      <c r="E2009" t="inlineStr">
        <is>
          <t>BOLLNÄS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14333-2026</t>
        </is>
      </c>
      <c r="B2010" s="1" t="n">
        <v>46100.29956018519</v>
      </c>
      <c r="C2010" s="1" t="n">
        <v>46180</v>
      </c>
      <c r="D2010" t="inlineStr">
        <is>
          <t>GÄVLEBORGS LÄN</t>
        </is>
      </c>
      <c r="E2010" t="inlineStr">
        <is>
          <t>BOLLNÄS</t>
        </is>
      </c>
      <c r="F2010" t="inlineStr">
        <is>
          <t>Bergvik skog väst AB</t>
        </is>
      </c>
      <c r="G2010" t="n">
        <v>11.9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14359-2026</t>
        </is>
      </c>
      <c r="B2011" s="1" t="n">
        <v>46100.35003472222</v>
      </c>
      <c r="C2011" s="1" t="n">
        <v>46180</v>
      </c>
      <c r="D2011" t="inlineStr">
        <is>
          <t>GÄVLEBORGS LÄN</t>
        </is>
      </c>
      <c r="E2011" t="inlineStr">
        <is>
          <t>BOLLNÄS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8492-2026</t>
        </is>
      </c>
      <c r="B2012" s="1" t="n">
        <v>46065</v>
      </c>
      <c r="C2012" s="1" t="n">
        <v>46180</v>
      </c>
      <c r="D2012" t="inlineStr">
        <is>
          <t>GÄVLEBORGS LÄN</t>
        </is>
      </c>
      <c r="E2012" t="inlineStr">
        <is>
          <t>BOLLNÄS</t>
        </is>
      </c>
      <c r="G2012" t="n">
        <v>5.7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14933-2026</t>
        </is>
      </c>
      <c r="B2013" s="1" t="n">
        <v>46104.48881944444</v>
      </c>
      <c r="C2013" s="1" t="n">
        <v>46180</v>
      </c>
      <c r="D2013" t="inlineStr">
        <is>
          <t>GÄVLEBORGS LÄN</t>
        </is>
      </c>
      <c r="E2013" t="inlineStr">
        <is>
          <t>BOLLNÄS</t>
        </is>
      </c>
      <c r="G2013" t="n">
        <v>2.2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14987-2026</t>
        </is>
      </c>
      <c r="B2014" s="1" t="n">
        <v>46104.58236111111</v>
      </c>
      <c r="C2014" s="1" t="n">
        <v>46180</v>
      </c>
      <c r="D2014" t="inlineStr">
        <is>
          <t>GÄVLEBORGS LÄN</t>
        </is>
      </c>
      <c r="E2014" t="inlineStr">
        <is>
          <t>BOLLNÄS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14990-2026</t>
        </is>
      </c>
      <c r="B2015" s="1" t="n">
        <v>46104.58557870371</v>
      </c>
      <c r="C2015" s="1" t="n">
        <v>46180</v>
      </c>
      <c r="D2015" t="inlineStr">
        <is>
          <t>GÄVLEBORGS LÄN</t>
        </is>
      </c>
      <c r="E2015" t="inlineStr">
        <is>
          <t>BOLLNÄS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14866-2026</t>
        </is>
      </c>
      <c r="B2016" s="1" t="n">
        <v>46104.43490740741</v>
      </c>
      <c r="C2016" s="1" t="n">
        <v>46180</v>
      </c>
      <c r="D2016" t="inlineStr">
        <is>
          <t>GÄVLEBORGS LÄN</t>
        </is>
      </c>
      <c r="E2016" t="inlineStr">
        <is>
          <t>BOLLNÄS</t>
        </is>
      </c>
      <c r="G2016" t="n">
        <v>3.1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14884-2026</t>
        </is>
      </c>
      <c r="B2017" s="1" t="n">
        <v>46104.44927083333</v>
      </c>
      <c r="C2017" s="1" t="n">
        <v>46180</v>
      </c>
      <c r="D2017" t="inlineStr">
        <is>
          <t>GÄVLEBORGS LÄN</t>
        </is>
      </c>
      <c r="E2017" t="inlineStr">
        <is>
          <t>BOLLNÄS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56208-2023</t>
        </is>
      </c>
      <c r="B2018" s="1" t="n">
        <v>45240</v>
      </c>
      <c r="C2018" s="1" t="n">
        <v>46180</v>
      </c>
      <c r="D2018" t="inlineStr">
        <is>
          <t>GÄVLEBORGS LÄN</t>
        </is>
      </c>
      <c r="E2018" t="inlineStr">
        <is>
          <t>BOLLNÄS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14880-2026</t>
        </is>
      </c>
      <c r="B2019" s="1" t="n">
        <v>46104.44678240741</v>
      </c>
      <c r="C2019" s="1" t="n">
        <v>46180</v>
      </c>
      <c r="D2019" t="inlineStr">
        <is>
          <t>GÄVLEBORGS LÄN</t>
        </is>
      </c>
      <c r="E2019" t="inlineStr">
        <is>
          <t>BOLLNÄS</t>
        </is>
      </c>
      <c r="G2019" t="n">
        <v>3.1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21036-2026</t>
        </is>
      </c>
      <c r="B2020" s="1" t="n">
        <v>46146.34766203703</v>
      </c>
      <c r="C2020" s="1" t="n">
        <v>46180</v>
      </c>
      <c r="D2020" t="inlineStr">
        <is>
          <t>GÄVLEBORGS LÄN</t>
        </is>
      </c>
      <c r="E2020" t="inlineStr">
        <is>
          <t>BOLLNÄS</t>
        </is>
      </c>
      <c r="G2020" t="n">
        <v>4.1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14900-2026</t>
        </is>
      </c>
      <c r="B2021" s="1" t="n">
        <v>46104</v>
      </c>
      <c r="C2021" s="1" t="n">
        <v>46180</v>
      </c>
      <c r="D2021" t="inlineStr">
        <is>
          <t>GÄVLEBORGS LÄN</t>
        </is>
      </c>
      <c r="E2021" t="inlineStr">
        <is>
          <t>BOLLNÄS</t>
        </is>
      </c>
      <c r="G2021" t="n">
        <v>10.4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14838-2026</t>
        </is>
      </c>
      <c r="B2022" s="1" t="n">
        <v>46104</v>
      </c>
      <c r="C2022" s="1" t="n">
        <v>46180</v>
      </c>
      <c r="D2022" t="inlineStr">
        <is>
          <t>GÄVLEBORGS LÄN</t>
        </is>
      </c>
      <c r="E2022" t="inlineStr">
        <is>
          <t>BOLLNÄS</t>
        </is>
      </c>
      <c r="G2022" t="n">
        <v>5.9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14864-2026</t>
        </is>
      </c>
      <c r="B2023" s="1" t="n">
        <v>46104.43320601852</v>
      </c>
      <c r="C2023" s="1" t="n">
        <v>46180</v>
      </c>
      <c r="D2023" t="inlineStr">
        <is>
          <t>GÄVLEBORGS LÄN</t>
        </is>
      </c>
      <c r="E2023" t="inlineStr">
        <is>
          <t>BOLLNÄS</t>
        </is>
      </c>
      <c r="G2023" t="n">
        <v>7.9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21101-2026</t>
        </is>
      </c>
      <c r="B2024" s="1" t="n">
        <v>46146.47105324074</v>
      </c>
      <c r="C2024" s="1" t="n">
        <v>46180</v>
      </c>
      <c r="D2024" t="inlineStr">
        <is>
          <t>GÄVLEBORGS LÄN</t>
        </is>
      </c>
      <c r="E2024" t="inlineStr">
        <is>
          <t>BOLLNÄS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14952-2026</t>
        </is>
      </c>
      <c r="B2025" s="1" t="n">
        <v>46104.54739583333</v>
      </c>
      <c r="C2025" s="1" t="n">
        <v>46180</v>
      </c>
      <c r="D2025" t="inlineStr">
        <is>
          <t>GÄVLEBORGS LÄN</t>
        </is>
      </c>
      <c r="E2025" t="inlineStr">
        <is>
          <t>BOLLNÄS</t>
        </is>
      </c>
      <c r="G2025" t="n">
        <v>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61604-2025</t>
        </is>
      </c>
      <c r="B2026" s="1" t="n">
        <v>46002.37079861111</v>
      </c>
      <c r="C2026" s="1" t="n">
        <v>46180</v>
      </c>
      <c r="D2026" t="inlineStr">
        <is>
          <t>GÄVLEBORGS LÄN</t>
        </is>
      </c>
      <c r="E2026" t="inlineStr">
        <is>
          <t>BOLLNÄS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62355-2025</t>
        </is>
      </c>
      <c r="B2027" s="1" t="n">
        <v>46007.29127314815</v>
      </c>
      <c r="C2027" s="1" t="n">
        <v>46180</v>
      </c>
      <c r="D2027" t="inlineStr">
        <is>
          <t>GÄVLEBORGS LÄN</t>
        </is>
      </c>
      <c r="E2027" t="inlineStr">
        <is>
          <t>BOLLNÄS</t>
        </is>
      </c>
      <c r="G2027" t="n">
        <v>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1996-2025</t>
        </is>
      </c>
      <c r="B2028" s="1" t="n">
        <v>45672.4428125</v>
      </c>
      <c r="C2028" s="1" t="n">
        <v>46180</v>
      </c>
      <c r="D2028" t="inlineStr">
        <is>
          <t>GÄVLEBORGS LÄN</t>
        </is>
      </c>
      <c r="E2028" t="inlineStr">
        <is>
          <t>BOLLNÄS</t>
        </is>
      </c>
      <c r="G2028" t="n">
        <v>3.3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62656-2025</t>
        </is>
      </c>
      <c r="B2029" s="1" t="n">
        <v>46008.41877314815</v>
      </c>
      <c r="C2029" s="1" t="n">
        <v>46180</v>
      </c>
      <c r="D2029" t="inlineStr">
        <is>
          <t>GÄVLEBORGS LÄN</t>
        </is>
      </c>
      <c r="E2029" t="inlineStr">
        <is>
          <t>BOLLNÄS</t>
        </is>
      </c>
      <c r="G2029" t="n">
        <v>3.3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63272-2025</t>
        </is>
      </c>
      <c r="B2030" s="1" t="n">
        <v>46010.57067129629</v>
      </c>
      <c r="C2030" s="1" t="n">
        <v>46180</v>
      </c>
      <c r="D2030" t="inlineStr">
        <is>
          <t>GÄVLEBORGS LÄN</t>
        </is>
      </c>
      <c r="E2030" t="inlineStr">
        <is>
          <t>BOLLNÄS</t>
        </is>
      </c>
      <c r="G2030" t="n">
        <v>1.6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21040-2026</t>
        </is>
      </c>
      <c r="B2031" s="1" t="n">
        <v>46146.35177083333</v>
      </c>
      <c r="C2031" s="1" t="n">
        <v>46180</v>
      </c>
      <c r="D2031" t="inlineStr">
        <is>
          <t>GÄVLEBORGS LÄN</t>
        </is>
      </c>
      <c r="E2031" t="inlineStr">
        <is>
          <t>BOLLNÄS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35073-2023</t>
        </is>
      </c>
      <c r="B2032" s="1" t="n">
        <v>45145.42378472222</v>
      </c>
      <c r="C2032" s="1" t="n">
        <v>46180</v>
      </c>
      <c r="D2032" t="inlineStr">
        <is>
          <t>GÄVLEBORGS LÄN</t>
        </is>
      </c>
      <c r="E2032" t="inlineStr">
        <is>
          <t>BOLLNÄS</t>
        </is>
      </c>
      <c r="G2032" t="n">
        <v>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44682-2024</t>
        </is>
      </c>
      <c r="B2033" s="1" t="n">
        <v>45574.54673611111</v>
      </c>
      <c r="C2033" s="1" t="n">
        <v>46180</v>
      </c>
      <c r="D2033" t="inlineStr">
        <is>
          <t>GÄVLEBORGS LÄN</t>
        </is>
      </c>
      <c r="E2033" t="inlineStr">
        <is>
          <t>BOLLNÄS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15163-2026</t>
        </is>
      </c>
      <c r="B2034" s="1" t="n">
        <v>46105</v>
      </c>
      <c r="C2034" s="1" t="n">
        <v>46180</v>
      </c>
      <c r="D2034" t="inlineStr">
        <is>
          <t>GÄVLEBORGS LÄN</t>
        </is>
      </c>
      <c r="E2034" t="inlineStr">
        <is>
          <t>BOLLNÄS</t>
        </is>
      </c>
      <c r="G2034" t="n">
        <v>10.4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15168-2026</t>
        </is>
      </c>
      <c r="B2035" s="1" t="n">
        <v>46105.43792824074</v>
      </c>
      <c r="C2035" s="1" t="n">
        <v>46180</v>
      </c>
      <c r="D2035" t="inlineStr">
        <is>
          <t>GÄVLEBORGS LÄN</t>
        </is>
      </c>
      <c r="E2035" t="inlineStr">
        <is>
          <t>BOLLNÄS</t>
        </is>
      </c>
      <c r="F2035" t="inlineStr">
        <is>
          <t>Bergvik skog väst AB</t>
        </is>
      </c>
      <c r="G2035" t="n">
        <v>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8308-2024</t>
        </is>
      </c>
      <c r="B2036" s="1" t="n">
        <v>45352</v>
      </c>
      <c r="C2036" s="1" t="n">
        <v>46180</v>
      </c>
      <c r="D2036" t="inlineStr">
        <is>
          <t>GÄVLEBORGS LÄN</t>
        </is>
      </c>
      <c r="E2036" t="inlineStr">
        <is>
          <t>BOLLNÄS</t>
        </is>
      </c>
      <c r="G2036" t="n">
        <v>3.3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63312-2025</t>
        </is>
      </c>
      <c r="B2037" s="1" t="n">
        <v>46010.62248842593</v>
      </c>
      <c r="C2037" s="1" t="n">
        <v>46180</v>
      </c>
      <c r="D2037" t="inlineStr">
        <is>
          <t>GÄVLEBORGS LÄN</t>
        </is>
      </c>
      <c r="E2037" t="inlineStr">
        <is>
          <t>BOLLNÄS</t>
        </is>
      </c>
      <c r="G2037" t="n">
        <v>2.9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21038-2026</t>
        </is>
      </c>
      <c r="B2038" s="1" t="n">
        <v>46146.34983796296</v>
      </c>
      <c r="C2038" s="1" t="n">
        <v>46180</v>
      </c>
      <c r="D2038" t="inlineStr">
        <is>
          <t>GÄVLEBORGS LÄN</t>
        </is>
      </c>
      <c r="E2038" t="inlineStr">
        <is>
          <t>BOLLNÄS</t>
        </is>
      </c>
      <c r="G2038" t="n">
        <v>3.4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15174-2026</t>
        </is>
      </c>
      <c r="B2039" s="1" t="n">
        <v>46105.44837962963</v>
      </c>
      <c r="C2039" s="1" t="n">
        <v>46180</v>
      </c>
      <c r="D2039" t="inlineStr">
        <is>
          <t>GÄVLEBORGS LÄN</t>
        </is>
      </c>
      <c r="E2039" t="inlineStr">
        <is>
          <t>BOLLNÄS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15305-2026</t>
        </is>
      </c>
      <c r="B2040" s="1" t="n">
        <v>46105</v>
      </c>
      <c r="C2040" s="1" t="n">
        <v>46180</v>
      </c>
      <c r="D2040" t="inlineStr">
        <is>
          <t>GÄVLEBORGS LÄN</t>
        </is>
      </c>
      <c r="E2040" t="inlineStr">
        <is>
          <t>BOLLNÄS</t>
        </is>
      </c>
      <c r="G2040" t="n">
        <v>4.1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9262-2024</t>
        </is>
      </c>
      <c r="B2041" s="1" t="n">
        <v>45358.60657407407</v>
      </c>
      <c r="C2041" s="1" t="n">
        <v>46180</v>
      </c>
      <c r="D2041" t="inlineStr">
        <is>
          <t>GÄVLEBORGS LÄN</t>
        </is>
      </c>
      <c r="E2041" t="inlineStr">
        <is>
          <t>BOLLNÄS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14948-2026</t>
        </is>
      </c>
      <c r="B2042" s="1" t="n">
        <v>46104</v>
      </c>
      <c r="C2042" s="1" t="n">
        <v>46180</v>
      </c>
      <c r="D2042" t="inlineStr">
        <is>
          <t>GÄVLEBORGS LÄN</t>
        </is>
      </c>
      <c r="E2042" t="inlineStr">
        <is>
          <t>BOLLNÄS</t>
        </is>
      </c>
      <c r="G2042" t="n">
        <v>5.8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63197-2025</t>
        </is>
      </c>
      <c r="B2043" s="1" t="n">
        <v>46010.45914351852</v>
      </c>
      <c r="C2043" s="1" t="n">
        <v>46180</v>
      </c>
      <c r="D2043" t="inlineStr">
        <is>
          <t>GÄVLEBORGS LÄN</t>
        </is>
      </c>
      <c r="E2043" t="inlineStr">
        <is>
          <t>BOLLNÄS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63200-2025</t>
        </is>
      </c>
      <c r="B2044" s="1" t="n">
        <v>46010.46172453704</v>
      </c>
      <c r="C2044" s="1" t="n">
        <v>46180</v>
      </c>
      <c r="D2044" t="inlineStr">
        <is>
          <t>GÄVLEBORGS LÄN</t>
        </is>
      </c>
      <c r="E2044" t="inlineStr">
        <is>
          <t>BOLLNÄS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7338-2026</t>
        </is>
      </c>
      <c r="B2045" s="1" t="n">
        <v>46058.88533564815</v>
      </c>
      <c r="C2045" s="1" t="n">
        <v>46180</v>
      </c>
      <c r="D2045" t="inlineStr">
        <is>
          <t>GÄVLEBORGS LÄN</t>
        </is>
      </c>
      <c r="E2045" t="inlineStr">
        <is>
          <t>BOLLNÄS</t>
        </is>
      </c>
      <c r="G2045" t="n">
        <v>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14871-2026</t>
        </is>
      </c>
      <c r="B2046" s="1" t="n">
        <v>46104.43707175926</v>
      </c>
      <c r="C2046" s="1" t="n">
        <v>46180</v>
      </c>
      <c r="D2046" t="inlineStr">
        <is>
          <t>GÄVLEBORGS LÄN</t>
        </is>
      </c>
      <c r="E2046" t="inlineStr">
        <is>
          <t>BOLLNÄS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14899-2026</t>
        </is>
      </c>
      <c r="B2047" s="1" t="n">
        <v>46104.45391203704</v>
      </c>
      <c r="C2047" s="1" t="n">
        <v>46180</v>
      </c>
      <c r="D2047" t="inlineStr">
        <is>
          <t>GÄVLEBORGS LÄN</t>
        </is>
      </c>
      <c r="E2047" t="inlineStr">
        <is>
          <t>BOLLNÄS</t>
        </is>
      </c>
      <c r="G2047" t="n">
        <v>7.3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14881-2026</t>
        </is>
      </c>
      <c r="B2048" s="1" t="n">
        <v>46104.44777777778</v>
      </c>
      <c r="C2048" s="1" t="n">
        <v>46180</v>
      </c>
      <c r="D2048" t="inlineStr">
        <is>
          <t>GÄVLEBORGS LÄN</t>
        </is>
      </c>
      <c r="E2048" t="inlineStr">
        <is>
          <t>BOLLNÄS</t>
        </is>
      </c>
      <c r="G2048" t="n">
        <v>8.300000000000001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63326-2025</t>
        </is>
      </c>
      <c r="B2049" s="1" t="n">
        <v>46010.63858796296</v>
      </c>
      <c r="C2049" s="1" t="n">
        <v>46180</v>
      </c>
      <c r="D2049" t="inlineStr">
        <is>
          <t>GÄVLEBORGS LÄN</t>
        </is>
      </c>
      <c r="E2049" t="inlineStr">
        <is>
          <t>BOLLNÄS</t>
        </is>
      </c>
      <c r="G2049" t="n">
        <v>6.8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15150-2026</t>
        </is>
      </c>
      <c r="B2050" s="1" t="n">
        <v>46105</v>
      </c>
      <c r="C2050" s="1" t="n">
        <v>46180</v>
      </c>
      <c r="D2050" t="inlineStr">
        <is>
          <t>GÄVLEBORGS LÄN</t>
        </is>
      </c>
      <c r="E2050" t="inlineStr">
        <is>
          <t>BOLLNÄS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63270-2025</t>
        </is>
      </c>
      <c r="B2051" s="1" t="n">
        <v>46010.56822916667</v>
      </c>
      <c r="C2051" s="1" t="n">
        <v>46180</v>
      </c>
      <c r="D2051" t="inlineStr">
        <is>
          <t>GÄVLEBORGS LÄN</t>
        </is>
      </c>
      <c r="E2051" t="inlineStr">
        <is>
          <t>BOLLNÄS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14271-2026</t>
        </is>
      </c>
      <c r="B2052" s="1" t="n">
        <v>46099</v>
      </c>
      <c r="C2052" s="1" t="n">
        <v>46180</v>
      </c>
      <c r="D2052" t="inlineStr">
        <is>
          <t>GÄVLEBORGS LÄN</t>
        </is>
      </c>
      <c r="E2052" t="inlineStr">
        <is>
          <t>BOLLNÄS</t>
        </is>
      </c>
      <c r="G2052" t="n">
        <v>3.8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63286-2025</t>
        </is>
      </c>
      <c r="B2053" s="1" t="n">
        <v>46010.58943287037</v>
      </c>
      <c r="C2053" s="1" t="n">
        <v>46180</v>
      </c>
      <c r="D2053" t="inlineStr">
        <is>
          <t>GÄVLEBORGS LÄN</t>
        </is>
      </c>
      <c r="E2053" t="inlineStr">
        <is>
          <t>BOLLNÄS</t>
        </is>
      </c>
      <c r="G2053" t="n">
        <v>3.3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15149-2026</t>
        </is>
      </c>
      <c r="B2054" s="1" t="n">
        <v>46105.40553240741</v>
      </c>
      <c r="C2054" s="1" t="n">
        <v>46180</v>
      </c>
      <c r="D2054" t="inlineStr">
        <is>
          <t>GÄVLEBORGS LÄN</t>
        </is>
      </c>
      <c r="E2054" t="inlineStr">
        <is>
          <t>BOLLNÄS</t>
        </is>
      </c>
      <c r="F2054" t="inlineStr">
        <is>
          <t>Holmen skog AB</t>
        </is>
      </c>
      <c r="G2054" t="n">
        <v>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63214-2025</t>
        </is>
      </c>
      <c r="B2055" s="1" t="n">
        <v>46010</v>
      </c>
      <c r="C2055" s="1" t="n">
        <v>46180</v>
      </c>
      <c r="D2055" t="inlineStr">
        <is>
          <t>GÄVLEBORGS LÄN</t>
        </is>
      </c>
      <c r="E2055" t="inlineStr">
        <is>
          <t>BOLLNÄS</t>
        </is>
      </c>
      <c r="G2055" t="n">
        <v>4.3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20954-2026</t>
        </is>
      </c>
      <c r="B2056" s="1" t="n">
        <v>46142</v>
      </c>
      <c r="C2056" s="1" t="n">
        <v>46180</v>
      </c>
      <c r="D2056" t="inlineStr">
        <is>
          <t>GÄVLEBORGS LÄN</t>
        </is>
      </c>
      <c r="E2056" t="inlineStr">
        <is>
          <t>BOLLNÄS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14870-2026</t>
        </is>
      </c>
      <c r="B2057" s="1" t="n">
        <v>46104.4362962963</v>
      </c>
      <c r="C2057" s="1" t="n">
        <v>46180</v>
      </c>
      <c r="D2057" t="inlineStr">
        <is>
          <t>GÄVLEBORGS LÄN</t>
        </is>
      </c>
      <c r="E2057" t="inlineStr">
        <is>
          <t>BOLLNÄS</t>
        </is>
      </c>
      <c r="G2057" t="n">
        <v>5.8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14872-2026</t>
        </is>
      </c>
      <c r="B2058" s="1" t="n">
        <v>46104.4378125</v>
      </c>
      <c r="C2058" s="1" t="n">
        <v>46180</v>
      </c>
      <c r="D2058" t="inlineStr">
        <is>
          <t>GÄVLEBORGS LÄN</t>
        </is>
      </c>
      <c r="E2058" t="inlineStr">
        <is>
          <t>BOLLNÄS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2390-2026</t>
        </is>
      </c>
      <c r="B2059" s="1" t="n">
        <v>46034</v>
      </c>
      <c r="C2059" s="1" t="n">
        <v>46180</v>
      </c>
      <c r="D2059" t="inlineStr">
        <is>
          <t>GÄVLEBORGS LÄN</t>
        </is>
      </c>
      <c r="E2059" t="inlineStr">
        <is>
          <t>BOLLNÄS</t>
        </is>
      </c>
      <c r="G2059" t="n">
        <v>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15037-2026</t>
        </is>
      </c>
      <c r="B2060" s="1" t="n">
        <v>46104.65365740741</v>
      </c>
      <c r="C2060" s="1" t="n">
        <v>46180</v>
      </c>
      <c r="D2060" t="inlineStr">
        <is>
          <t>GÄVLEBORGS LÄN</t>
        </is>
      </c>
      <c r="E2060" t="inlineStr">
        <is>
          <t>BOLLNÄS</t>
        </is>
      </c>
      <c r="G2060" t="n">
        <v>7.1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63027-2025</t>
        </is>
      </c>
      <c r="B2061" s="1" t="n">
        <v>46009.595625</v>
      </c>
      <c r="C2061" s="1" t="n">
        <v>46180</v>
      </c>
      <c r="D2061" t="inlineStr">
        <is>
          <t>GÄVLEBORGS LÄN</t>
        </is>
      </c>
      <c r="E2061" t="inlineStr">
        <is>
          <t>BOLLNÄS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14808-2026</t>
        </is>
      </c>
      <c r="B2062" s="1" t="n">
        <v>46104.26582175926</v>
      </c>
      <c r="C2062" s="1" t="n">
        <v>46180</v>
      </c>
      <c r="D2062" t="inlineStr">
        <is>
          <t>GÄVLEBORGS LÄN</t>
        </is>
      </c>
      <c r="E2062" t="inlineStr">
        <is>
          <t>BOLLNÄS</t>
        </is>
      </c>
      <c r="G2062" t="n">
        <v>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14810-2026</t>
        </is>
      </c>
      <c r="B2063" s="1" t="n">
        <v>46104.27262731481</v>
      </c>
      <c r="C2063" s="1" t="n">
        <v>46180</v>
      </c>
      <c r="D2063" t="inlineStr">
        <is>
          <t>GÄVLEBORGS LÄN</t>
        </is>
      </c>
      <c r="E2063" t="inlineStr">
        <is>
          <t>BOLLNÄS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14811-2026</t>
        </is>
      </c>
      <c r="B2064" s="1" t="n">
        <v>46104.27983796296</v>
      </c>
      <c r="C2064" s="1" t="n">
        <v>46180</v>
      </c>
      <c r="D2064" t="inlineStr">
        <is>
          <t>GÄVLEBORGS LÄN</t>
        </is>
      </c>
      <c r="E2064" t="inlineStr">
        <is>
          <t>BOLLNÄS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61612-2025</t>
        </is>
      </c>
      <c r="B2065" s="1" t="n">
        <v>46002.38555555556</v>
      </c>
      <c r="C2065" s="1" t="n">
        <v>46180</v>
      </c>
      <c r="D2065" t="inlineStr">
        <is>
          <t>GÄVLEBORGS LÄN</t>
        </is>
      </c>
      <c r="E2065" t="inlineStr">
        <is>
          <t>BOLLNÄS</t>
        </is>
      </c>
      <c r="G2065" t="n">
        <v>0.4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14888-2026</t>
        </is>
      </c>
      <c r="B2066" s="1" t="n">
        <v>46104.45135416667</v>
      </c>
      <c r="C2066" s="1" t="n">
        <v>46180</v>
      </c>
      <c r="D2066" t="inlineStr">
        <is>
          <t>GÄVLEBORGS LÄN</t>
        </is>
      </c>
      <c r="E2066" t="inlineStr">
        <is>
          <t>BOLLNÄS</t>
        </is>
      </c>
      <c r="G2066" t="n">
        <v>11.3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14923-2026</t>
        </is>
      </c>
      <c r="B2067" s="1" t="n">
        <v>46104</v>
      </c>
      <c r="C2067" s="1" t="n">
        <v>46180</v>
      </c>
      <c r="D2067" t="inlineStr">
        <is>
          <t>GÄVLEBORGS LÄN</t>
        </is>
      </c>
      <c r="E2067" t="inlineStr">
        <is>
          <t>BOLLNÄS</t>
        </is>
      </c>
      <c r="F2067" t="inlineStr">
        <is>
          <t>Bergvik skog väst AB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14953-2026</t>
        </is>
      </c>
      <c r="B2068" s="1" t="n">
        <v>46104.54850694445</v>
      </c>
      <c r="C2068" s="1" t="n">
        <v>46180</v>
      </c>
      <c r="D2068" t="inlineStr">
        <is>
          <t>GÄVLEBORGS LÄN</t>
        </is>
      </c>
      <c r="E2068" t="inlineStr">
        <is>
          <t>BOLLNÄS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64109-2025</t>
        </is>
      </c>
      <c r="B2069" s="1" t="n">
        <v>46013</v>
      </c>
      <c r="C2069" s="1" t="n">
        <v>46180</v>
      </c>
      <c r="D2069" t="inlineStr">
        <is>
          <t>GÄVLEBORGS LÄN</t>
        </is>
      </c>
      <c r="E2069" t="inlineStr">
        <is>
          <t>BOLLNÄS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29773-2023</t>
        </is>
      </c>
      <c r="B2070" s="1" t="n">
        <v>45107.48931712963</v>
      </c>
      <c r="C2070" s="1" t="n">
        <v>46180</v>
      </c>
      <c r="D2070" t="inlineStr">
        <is>
          <t>GÄVLEBORGS LÄN</t>
        </is>
      </c>
      <c r="E2070" t="inlineStr">
        <is>
          <t>BOLLNÄS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35181-2023</t>
        </is>
      </c>
      <c r="B2071" s="1" t="n">
        <v>45145.59108796297</v>
      </c>
      <c r="C2071" s="1" t="n">
        <v>46180</v>
      </c>
      <c r="D2071" t="inlineStr">
        <is>
          <t>GÄVLEBORGS LÄN</t>
        </is>
      </c>
      <c r="E2071" t="inlineStr">
        <is>
          <t>BOLLNÄS</t>
        </is>
      </c>
      <c r="F2071" t="inlineStr">
        <is>
          <t>Holmen skog AB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2611-2022</t>
        </is>
      </c>
      <c r="B2072" s="1" t="n">
        <v>44580.4372337963</v>
      </c>
      <c r="C2072" s="1" t="n">
        <v>46180</v>
      </c>
      <c r="D2072" t="inlineStr">
        <is>
          <t>GÄVLEBORGS LÄN</t>
        </is>
      </c>
      <c r="E2072" t="inlineStr">
        <is>
          <t>BOLLNÄS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36061-2023</t>
        </is>
      </c>
      <c r="B2073" s="1" t="n">
        <v>45149.46030092592</v>
      </c>
      <c r="C2073" s="1" t="n">
        <v>46180</v>
      </c>
      <c r="D2073" t="inlineStr">
        <is>
          <t>GÄVLEBORGS LÄN</t>
        </is>
      </c>
      <c r="E2073" t="inlineStr">
        <is>
          <t>BOLLNÄS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57196-2025</t>
        </is>
      </c>
      <c r="B2074" s="1" t="n">
        <v>45979</v>
      </c>
      <c r="C2074" s="1" t="n">
        <v>46180</v>
      </c>
      <c r="D2074" t="inlineStr">
        <is>
          <t>GÄVLEBORGS LÄN</t>
        </is>
      </c>
      <c r="E2074" t="inlineStr">
        <is>
          <t>BOLLNÄS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38937-2023</t>
        </is>
      </c>
      <c r="B2075" s="1" t="n">
        <v>45163</v>
      </c>
      <c r="C2075" s="1" t="n">
        <v>46180</v>
      </c>
      <c r="D2075" t="inlineStr">
        <is>
          <t>GÄVLEBORGS LÄN</t>
        </is>
      </c>
      <c r="E2075" t="inlineStr">
        <is>
          <t>BOLLNÄS</t>
        </is>
      </c>
      <c r="G2075" t="n">
        <v>5.1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63552-2025</t>
        </is>
      </c>
      <c r="B2076" s="1" t="n">
        <v>46013.60928240741</v>
      </c>
      <c r="C2076" s="1" t="n">
        <v>46180</v>
      </c>
      <c r="D2076" t="inlineStr">
        <is>
          <t>GÄVLEBORGS LÄN</t>
        </is>
      </c>
      <c r="E2076" t="inlineStr">
        <is>
          <t>BOLLNÄS</t>
        </is>
      </c>
      <c r="G2076" t="n">
        <v>5.4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15175-2026</t>
        </is>
      </c>
      <c r="B2077" s="1" t="n">
        <v>46105.4490162037</v>
      </c>
      <c r="C2077" s="1" t="n">
        <v>46180</v>
      </c>
      <c r="D2077" t="inlineStr">
        <is>
          <t>GÄVLEBORGS LÄN</t>
        </is>
      </c>
      <c r="E2077" t="inlineStr">
        <is>
          <t>BOLLNÄS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15080-2026</t>
        </is>
      </c>
      <c r="B2078" s="1" t="n">
        <v>46105.29956018519</v>
      </c>
      <c r="C2078" s="1" t="n">
        <v>46180</v>
      </c>
      <c r="D2078" t="inlineStr">
        <is>
          <t>GÄVLEBORGS LÄN</t>
        </is>
      </c>
      <c r="E2078" t="inlineStr">
        <is>
          <t>BOLLNÄS</t>
        </is>
      </c>
      <c r="F2078" t="inlineStr">
        <is>
          <t>Sveaskog</t>
        </is>
      </c>
      <c r="G2078" t="n">
        <v>9.300000000000001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15775-2026</t>
        </is>
      </c>
      <c r="B2079" s="1" t="n">
        <v>46107</v>
      </c>
      <c r="C2079" s="1" t="n">
        <v>46180</v>
      </c>
      <c r="D2079" t="inlineStr">
        <is>
          <t>GÄVLEBORGS LÄN</t>
        </is>
      </c>
      <c r="E2079" t="inlineStr">
        <is>
          <t>BOLLNÄS</t>
        </is>
      </c>
      <c r="F2079" t="inlineStr">
        <is>
          <t>Bergvik skog väst AB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15779-2026</t>
        </is>
      </c>
      <c r="B2080" s="1" t="n">
        <v>46107</v>
      </c>
      <c r="C2080" s="1" t="n">
        <v>46180</v>
      </c>
      <c r="D2080" t="inlineStr">
        <is>
          <t>GÄVLEBORGS LÄN</t>
        </is>
      </c>
      <c r="E2080" t="inlineStr">
        <is>
          <t>BOLLNÄS</t>
        </is>
      </c>
      <c r="F2080" t="inlineStr">
        <is>
          <t>Bergvik skog väst AB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15814-2026</t>
        </is>
      </c>
      <c r="B2081" s="1" t="n">
        <v>46107</v>
      </c>
      <c r="C2081" s="1" t="n">
        <v>46180</v>
      </c>
      <c r="D2081" t="inlineStr">
        <is>
          <t>GÄVLEBORGS LÄN</t>
        </is>
      </c>
      <c r="E2081" t="inlineStr">
        <is>
          <t>BOLLNÄS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15853-2026</t>
        </is>
      </c>
      <c r="B2082" s="1" t="n">
        <v>46107.57387731481</v>
      </c>
      <c r="C2082" s="1" t="n">
        <v>46180</v>
      </c>
      <c r="D2082" t="inlineStr">
        <is>
          <t>GÄVLEBORGS LÄN</t>
        </is>
      </c>
      <c r="E2082" t="inlineStr">
        <is>
          <t>BOLLNÄS</t>
        </is>
      </c>
      <c r="G2082" t="n">
        <v>18.7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15863-2026</t>
        </is>
      </c>
      <c r="B2083" s="1" t="n">
        <v>46107</v>
      </c>
      <c r="C2083" s="1" t="n">
        <v>46180</v>
      </c>
      <c r="D2083" t="inlineStr">
        <is>
          <t>GÄVLEBORGS LÄN</t>
        </is>
      </c>
      <c r="E2083" t="inlineStr">
        <is>
          <t>BOLLNÄS</t>
        </is>
      </c>
      <c r="F2083" t="inlineStr">
        <is>
          <t>Bergvik skog väst AB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20257-2026</t>
        </is>
      </c>
      <c r="B2084" s="1" t="n">
        <v>46139</v>
      </c>
      <c r="C2084" s="1" t="n">
        <v>46180</v>
      </c>
      <c r="D2084" t="inlineStr">
        <is>
          <t>GÄVLEBORGS LÄN</t>
        </is>
      </c>
      <c r="E2084" t="inlineStr">
        <is>
          <t>BOLLNÄS</t>
        </is>
      </c>
      <c r="F2084" t="inlineStr">
        <is>
          <t>Bergvik skog väst AB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15727-2026</t>
        </is>
      </c>
      <c r="B2085" s="1" t="n">
        <v>46107.38280092592</v>
      </c>
      <c r="C2085" s="1" t="n">
        <v>46180</v>
      </c>
      <c r="D2085" t="inlineStr">
        <is>
          <t>GÄVLEBORGS LÄN</t>
        </is>
      </c>
      <c r="E2085" t="inlineStr">
        <is>
          <t>BOLLNÄS</t>
        </is>
      </c>
      <c r="F2085" t="inlineStr">
        <is>
          <t>Bergvik skog väst AB</t>
        </is>
      </c>
      <c r="G2085" t="n">
        <v>32.5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15817-2026</t>
        </is>
      </c>
      <c r="B2086" s="1" t="n">
        <v>46107</v>
      </c>
      <c r="C2086" s="1" t="n">
        <v>46180</v>
      </c>
      <c r="D2086" t="inlineStr">
        <is>
          <t>GÄVLEBORGS LÄN</t>
        </is>
      </c>
      <c r="E2086" t="inlineStr">
        <is>
          <t>BOLLNÄS</t>
        </is>
      </c>
      <c r="F2086" t="inlineStr">
        <is>
          <t>Bergvik skog väst AB</t>
        </is>
      </c>
      <c r="G2086" t="n">
        <v>2.4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15922-2026</t>
        </is>
      </c>
      <c r="B2087" s="1" t="n">
        <v>46107</v>
      </c>
      <c r="C2087" s="1" t="n">
        <v>46180</v>
      </c>
      <c r="D2087" t="inlineStr">
        <is>
          <t>GÄVLEBORGS LÄN</t>
        </is>
      </c>
      <c r="E2087" t="inlineStr">
        <is>
          <t>BOLLNÄS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15832-2026</t>
        </is>
      </c>
      <c r="B2088" s="1" t="n">
        <v>46107.55824074074</v>
      </c>
      <c r="C2088" s="1" t="n">
        <v>46180</v>
      </c>
      <c r="D2088" t="inlineStr">
        <is>
          <t>GÄVLEBORGS LÄN</t>
        </is>
      </c>
      <c r="E2088" t="inlineStr">
        <is>
          <t>BOLLNÄS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15924-2026</t>
        </is>
      </c>
      <c r="B2089" s="1" t="n">
        <v>46107</v>
      </c>
      <c r="C2089" s="1" t="n">
        <v>46180</v>
      </c>
      <c r="D2089" t="inlineStr">
        <is>
          <t>GÄVLEBORGS LÄN</t>
        </is>
      </c>
      <c r="E2089" t="inlineStr">
        <is>
          <t>BOLLNÄS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21639-2026</t>
        </is>
      </c>
      <c r="B2090" s="1" t="n">
        <v>46149.43341435185</v>
      </c>
      <c r="C2090" s="1" t="n">
        <v>46180</v>
      </c>
      <c r="D2090" t="inlineStr">
        <is>
          <t>GÄVLEBORGS LÄN</t>
        </is>
      </c>
      <c r="E2090" t="inlineStr">
        <is>
          <t>BOLLNÄS</t>
        </is>
      </c>
      <c r="G2090" t="n">
        <v>1.8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63876-2025</t>
        </is>
      </c>
      <c r="B2091" s="1" t="n">
        <v>46020</v>
      </c>
      <c r="C2091" s="1" t="n">
        <v>46180</v>
      </c>
      <c r="D2091" t="inlineStr">
        <is>
          <t>GÄVLEBORGS LÄN</t>
        </is>
      </c>
      <c r="E2091" t="inlineStr">
        <is>
          <t>BOLLNÄS</t>
        </is>
      </c>
      <c r="G2091" t="n">
        <v>12.2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15446-2026</t>
        </is>
      </c>
      <c r="B2092" s="1" t="n">
        <v>46106</v>
      </c>
      <c r="C2092" s="1" t="n">
        <v>46180</v>
      </c>
      <c r="D2092" t="inlineStr">
        <is>
          <t>GÄVLEBORGS LÄN</t>
        </is>
      </c>
      <c r="E2092" t="inlineStr">
        <is>
          <t>BOLLNÄS</t>
        </is>
      </c>
      <c r="G2092" t="n">
        <v>3.2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20153-2026</t>
        </is>
      </c>
      <c r="B2093" s="1" t="n">
        <v>46138</v>
      </c>
      <c r="C2093" s="1" t="n">
        <v>46180</v>
      </c>
      <c r="D2093" t="inlineStr">
        <is>
          <t>GÄVLEBORGS LÄN</t>
        </is>
      </c>
      <c r="E2093" t="inlineStr">
        <is>
          <t>BOLLNÄS</t>
        </is>
      </c>
      <c r="F2093" t="inlineStr">
        <is>
          <t>Bergvik skog väst AB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20154-2026</t>
        </is>
      </c>
      <c r="B2094" s="1" t="n">
        <v>46138</v>
      </c>
      <c r="C2094" s="1" t="n">
        <v>46180</v>
      </c>
      <c r="D2094" t="inlineStr">
        <is>
          <t>GÄVLEBORGS LÄN</t>
        </is>
      </c>
      <c r="E2094" t="inlineStr">
        <is>
          <t>BOLLNÄS</t>
        </is>
      </c>
      <c r="F2094" t="inlineStr">
        <is>
          <t>Bergvik skog väst AB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20846-2026</t>
        </is>
      </c>
      <c r="B2095" s="1" t="n">
        <v>46142</v>
      </c>
      <c r="C2095" s="1" t="n">
        <v>46180</v>
      </c>
      <c r="D2095" t="inlineStr">
        <is>
          <t>GÄVLEBORGS LÄN</t>
        </is>
      </c>
      <c r="E2095" t="inlineStr">
        <is>
          <t>BOLLNÄS</t>
        </is>
      </c>
      <c r="F2095" t="inlineStr">
        <is>
          <t>Bergvik skog väst AB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15511-2026</t>
        </is>
      </c>
      <c r="B2096" s="1" t="n">
        <v>46106.4684837963</v>
      </c>
      <c r="C2096" s="1" t="n">
        <v>46180</v>
      </c>
      <c r="D2096" t="inlineStr">
        <is>
          <t>GÄVLEBORGS LÄN</t>
        </is>
      </c>
      <c r="E2096" t="inlineStr">
        <is>
          <t>BOLLNÄS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7838-2026</t>
        </is>
      </c>
      <c r="B2097" s="1" t="n">
        <v>46062</v>
      </c>
      <c r="C2097" s="1" t="n">
        <v>46180</v>
      </c>
      <c r="D2097" t="inlineStr">
        <is>
          <t>GÄVLEBORGS LÄN</t>
        </is>
      </c>
      <c r="E2097" t="inlineStr">
        <is>
          <t>BOLLNÄS</t>
        </is>
      </c>
      <c r="G2097" t="n">
        <v>12.7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20826-2026</t>
        </is>
      </c>
      <c r="B2098" s="1" t="n">
        <v>46141</v>
      </c>
      <c r="C2098" s="1" t="n">
        <v>46180</v>
      </c>
      <c r="D2098" t="inlineStr">
        <is>
          <t>GÄVLEBORGS LÄN</t>
        </is>
      </c>
      <c r="E2098" t="inlineStr">
        <is>
          <t>BOLLNÄS</t>
        </is>
      </c>
      <c r="F2098" t="inlineStr">
        <is>
          <t>Bergvik skog väst AB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20829-2026</t>
        </is>
      </c>
      <c r="B2099" s="1" t="n">
        <v>46141</v>
      </c>
      <c r="C2099" s="1" t="n">
        <v>46180</v>
      </c>
      <c r="D2099" t="inlineStr">
        <is>
          <t>GÄVLEBORGS LÄN</t>
        </is>
      </c>
      <c r="E2099" t="inlineStr">
        <is>
          <t>BOLLNÄS</t>
        </is>
      </c>
      <c r="F2099" t="inlineStr">
        <is>
          <t>Bergvik skog väst AB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20857-2026</t>
        </is>
      </c>
      <c r="B2100" s="1" t="n">
        <v>46142</v>
      </c>
      <c r="C2100" s="1" t="n">
        <v>46180</v>
      </c>
      <c r="D2100" t="inlineStr">
        <is>
          <t>GÄVLEBORGS LÄN</t>
        </is>
      </c>
      <c r="E2100" t="inlineStr">
        <is>
          <t>BOLLNÄS</t>
        </is>
      </c>
      <c r="F2100" t="inlineStr">
        <is>
          <t>Bergvik skog väst AB</t>
        </is>
      </c>
      <c r="G2100" t="n">
        <v>3.3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14979-2026</t>
        </is>
      </c>
      <c r="B2101" s="1" t="n">
        <v>46104.57554398148</v>
      </c>
      <c r="C2101" s="1" t="n">
        <v>46180</v>
      </c>
      <c r="D2101" t="inlineStr">
        <is>
          <t>GÄVLEBORGS LÄN</t>
        </is>
      </c>
      <c r="E2101" t="inlineStr">
        <is>
          <t>BOLLNÄS</t>
        </is>
      </c>
      <c r="G2101" t="n">
        <v>25.1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15857-2026</t>
        </is>
      </c>
      <c r="B2102" s="1" t="n">
        <v>46107.57640046296</v>
      </c>
      <c r="C2102" s="1" t="n">
        <v>46180</v>
      </c>
      <c r="D2102" t="inlineStr">
        <is>
          <t>GÄVLEBORGS LÄN</t>
        </is>
      </c>
      <c r="E2102" t="inlineStr">
        <is>
          <t>BOLLNÄS</t>
        </is>
      </c>
      <c r="G2102" t="n">
        <v>3.6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15871-2026</t>
        </is>
      </c>
      <c r="B2103" s="1" t="n">
        <v>46107.58805555556</v>
      </c>
      <c r="C2103" s="1" t="n">
        <v>46180</v>
      </c>
      <c r="D2103" t="inlineStr">
        <is>
          <t>GÄVLEBORGS LÄN</t>
        </is>
      </c>
      <c r="E2103" t="inlineStr">
        <is>
          <t>BOLLNÄS</t>
        </is>
      </c>
      <c r="F2103" t="inlineStr">
        <is>
          <t>Bergvik skog väst AB</t>
        </is>
      </c>
      <c r="G2103" t="n">
        <v>14.4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15708-2026</t>
        </is>
      </c>
      <c r="B2104" s="1" t="n">
        <v>46107.35564814815</v>
      </c>
      <c r="C2104" s="1" t="n">
        <v>46180</v>
      </c>
      <c r="D2104" t="inlineStr">
        <is>
          <t>GÄVLEBORGS LÄN</t>
        </is>
      </c>
      <c r="E2104" t="inlineStr">
        <is>
          <t>BOLLNÄS</t>
        </is>
      </c>
      <c r="G2104" t="n">
        <v>3.6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15718-2026</t>
        </is>
      </c>
      <c r="B2105" s="1" t="n">
        <v>46107.3662962963</v>
      </c>
      <c r="C2105" s="1" t="n">
        <v>46180</v>
      </c>
      <c r="D2105" t="inlineStr">
        <is>
          <t>GÄVLEBORGS LÄN</t>
        </is>
      </c>
      <c r="E2105" t="inlineStr">
        <is>
          <t>BOLLNÄS</t>
        </is>
      </c>
      <c r="G2105" t="n">
        <v>2.8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15796-2026</t>
        </is>
      </c>
      <c r="B2106" s="1" t="n">
        <v>46107</v>
      </c>
      <c r="C2106" s="1" t="n">
        <v>46180</v>
      </c>
      <c r="D2106" t="inlineStr">
        <is>
          <t>GÄVLEBORGS LÄN</t>
        </is>
      </c>
      <c r="E2106" t="inlineStr">
        <is>
          <t>BOLLNÄS</t>
        </is>
      </c>
      <c r="F2106" t="inlineStr">
        <is>
          <t>Bergvik skog väst AB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63936-2025</t>
        </is>
      </c>
      <c r="B2107" s="1" t="n">
        <v>46020</v>
      </c>
      <c r="C2107" s="1" t="n">
        <v>46180</v>
      </c>
      <c r="D2107" t="inlineStr">
        <is>
          <t>GÄVLEBORGS LÄN</t>
        </is>
      </c>
      <c r="E2107" t="inlineStr">
        <is>
          <t>BOLLNÄS</t>
        </is>
      </c>
      <c r="G2107" t="n">
        <v>48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15812-2026</t>
        </is>
      </c>
      <c r="B2108" s="1" t="n">
        <v>46107</v>
      </c>
      <c r="C2108" s="1" t="n">
        <v>46180</v>
      </c>
      <c r="D2108" t="inlineStr">
        <is>
          <t>GÄVLEBORGS LÄN</t>
        </is>
      </c>
      <c r="E2108" t="inlineStr">
        <is>
          <t>BOLLNÄS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14982-2026</t>
        </is>
      </c>
      <c r="B2109" s="1" t="n">
        <v>46104.57719907408</v>
      </c>
      <c r="C2109" s="1" t="n">
        <v>46180</v>
      </c>
      <c r="D2109" t="inlineStr">
        <is>
          <t>GÄVLEBORGS LÄN</t>
        </is>
      </c>
      <c r="E2109" t="inlineStr">
        <is>
          <t>BOLLNÄS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14758-2026</t>
        </is>
      </c>
      <c r="B2110" s="1" t="n">
        <v>46101.62726851852</v>
      </c>
      <c r="C2110" s="1" t="n">
        <v>46180</v>
      </c>
      <c r="D2110" t="inlineStr">
        <is>
          <t>GÄVLEBORGS LÄN</t>
        </is>
      </c>
      <c r="E2110" t="inlineStr">
        <is>
          <t>BOLLNÄS</t>
        </is>
      </c>
      <c r="G2110" t="n">
        <v>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21614-2026</t>
        </is>
      </c>
      <c r="B2111" s="1" t="n">
        <v>46149.4030324074</v>
      </c>
      <c r="C2111" s="1" t="n">
        <v>46180</v>
      </c>
      <c r="D2111" t="inlineStr">
        <is>
          <t>GÄVLEBORGS LÄN</t>
        </is>
      </c>
      <c r="E2111" t="inlineStr">
        <is>
          <t>BOLLNÄS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15506-2026</t>
        </is>
      </c>
      <c r="B2112" s="1" t="n">
        <v>46106.46369212963</v>
      </c>
      <c r="C2112" s="1" t="n">
        <v>46180</v>
      </c>
      <c r="D2112" t="inlineStr">
        <is>
          <t>GÄVLEBORGS LÄN</t>
        </is>
      </c>
      <c r="E2112" t="inlineStr">
        <is>
          <t>BOLLNÄS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63870-2025</t>
        </is>
      </c>
      <c r="B2113" s="1" t="n">
        <v>46020</v>
      </c>
      <c r="C2113" s="1" t="n">
        <v>46180</v>
      </c>
      <c r="D2113" t="inlineStr">
        <is>
          <t>GÄVLEBORGS LÄN</t>
        </is>
      </c>
      <c r="E2113" t="inlineStr">
        <is>
          <t>BOLLNÄS</t>
        </is>
      </c>
      <c r="G2113" t="n">
        <v>9.4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15834-2026</t>
        </is>
      </c>
      <c r="B2114" s="1" t="n">
        <v>46107.55995370371</v>
      </c>
      <c r="C2114" s="1" t="n">
        <v>46180</v>
      </c>
      <c r="D2114" t="inlineStr">
        <is>
          <t>GÄVLEBORGS LÄN</t>
        </is>
      </c>
      <c r="E2114" t="inlineStr">
        <is>
          <t>BOLLNÄS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20963-2026</t>
        </is>
      </c>
      <c r="B2115" s="1" t="n">
        <v>46142</v>
      </c>
      <c r="C2115" s="1" t="n">
        <v>46180</v>
      </c>
      <c r="D2115" t="inlineStr">
        <is>
          <t>GÄVLEBORGS LÄN</t>
        </is>
      </c>
      <c r="E2115" t="inlineStr">
        <is>
          <t>BOLLNÄS</t>
        </is>
      </c>
      <c r="F2115" t="inlineStr">
        <is>
          <t>Bergvik skog väst AB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15933-2026</t>
        </is>
      </c>
      <c r="B2116" s="1" t="n">
        <v>46107.66703703703</v>
      </c>
      <c r="C2116" s="1" t="n">
        <v>46180</v>
      </c>
      <c r="D2116" t="inlineStr">
        <is>
          <t>GÄVLEBORGS LÄN</t>
        </is>
      </c>
      <c r="E2116" t="inlineStr">
        <is>
          <t>BOLLNÄS</t>
        </is>
      </c>
      <c r="G2116" t="n">
        <v>2.8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15791-2026</t>
        </is>
      </c>
      <c r="B2117" s="1" t="n">
        <v>46107.47739583333</v>
      </c>
      <c r="C2117" s="1" t="n">
        <v>46180</v>
      </c>
      <c r="D2117" t="inlineStr">
        <is>
          <t>GÄVLEBORGS LÄN</t>
        </is>
      </c>
      <c r="E2117" t="inlineStr">
        <is>
          <t>BOLLNÄS</t>
        </is>
      </c>
      <c r="F2117" t="inlineStr">
        <is>
          <t>Bergvik skog väst AB</t>
        </is>
      </c>
      <c r="G2117" t="n">
        <v>11.5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20679-2026</t>
        </is>
      </c>
      <c r="B2118" s="1" t="n">
        <v>46141</v>
      </c>
      <c r="C2118" s="1" t="n">
        <v>46180</v>
      </c>
      <c r="D2118" t="inlineStr">
        <is>
          <t>GÄVLEBORGS LÄN</t>
        </is>
      </c>
      <c r="E2118" t="inlineStr">
        <is>
          <t>BOLLNÄS</t>
        </is>
      </c>
      <c r="F2118" t="inlineStr">
        <is>
          <t>Bergvik skog väst AB</t>
        </is>
      </c>
      <c r="G2118" t="n">
        <v>4.7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20291-2026</t>
        </is>
      </c>
      <c r="B2119" s="1" t="n">
        <v>46139</v>
      </c>
      <c r="C2119" s="1" t="n">
        <v>46180</v>
      </c>
      <c r="D2119" t="inlineStr">
        <is>
          <t>GÄVLEBORGS LÄN</t>
        </is>
      </c>
      <c r="E2119" t="inlineStr">
        <is>
          <t>BOLLNÄS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15507-2026</t>
        </is>
      </c>
      <c r="B2120" s="1" t="n">
        <v>46106.46538194444</v>
      </c>
      <c r="C2120" s="1" t="n">
        <v>46180</v>
      </c>
      <c r="D2120" t="inlineStr">
        <is>
          <t>GÄVLEBORGS LÄN</t>
        </is>
      </c>
      <c r="E2120" t="inlineStr">
        <is>
          <t>BOLLNÄS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15519-2026</t>
        </is>
      </c>
      <c r="B2121" s="1" t="n">
        <v>46106.47232638889</v>
      </c>
      <c r="C2121" s="1" t="n">
        <v>46180</v>
      </c>
      <c r="D2121" t="inlineStr">
        <is>
          <t>GÄVLEBORGS LÄN</t>
        </is>
      </c>
      <c r="E2121" t="inlineStr">
        <is>
          <t>BOLLNÄS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15520-2026</t>
        </is>
      </c>
      <c r="B2122" s="1" t="n">
        <v>46106.47440972222</v>
      </c>
      <c r="C2122" s="1" t="n">
        <v>46180</v>
      </c>
      <c r="D2122" t="inlineStr">
        <is>
          <t>GÄVLEBORGS LÄN</t>
        </is>
      </c>
      <c r="E2122" t="inlineStr">
        <is>
          <t>BOLLNÄS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15524-2026</t>
        </is>
      </c>
      <c r="B2123" s="1" t="n">
        <v>46106</v>
      </c>
      <c r="C2123" s="1" t="n">
        <v>46180</v>
      </c>
      <c r="D2123" t="inlineStr">
        <is>
          <t>GÄVLEBORGS LÄN</t>
        </is>
      </c>
      <c r="E2123" t="inlineStr">
        <is>
          <t>BOLLNÄS</t>
        </is>
      </c>
      <c r="G2123" t="n">
        <v>14.1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21637-2026</t>
        </is>
      </c>
      <c r="B2124" s="1" t="n">
        <v>46149.43043981482</v>
      </c>
      <c r="C2124" s="1" t="n">
        <v>46180</v>
      </c>
      <c r="D2124" t="inlineStr">
        <is>
          <t>GÄVLEBORGS LÄN</t>
        </is>
      </c>
      <c r="E2124" t="inlineStr">
        <is>
          <t>BOLLNÄS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20539-2026</t>
        </is>
      </c>
      <c r="B2125" s="1" t="n">
        <v>46140</v>
      </c>
      <c r="C2125" s="1" t="n">
        <v>46180</v>
      </c>
      <c r="D2125" t="inlineStr">
        <is>
          <t>GÄVLEBORGS LÄN</t>
        </is>
      </c>
      <c r="E2125" t="inlineStr">
        <is>
          <t>BOLLNÄS</t>
        </is>
      </c>
      <c r="F2125" t="inlineStr">
        <is>
          <t>Bergvik skog väst AB</t>
        </is>
      </c>
      <c r="G2125" t="n">
        <v>3.2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20827-2026</t>
        </is>
      </c>
      <c r="B2126" s="1" t="n">
        <v>46141</v>
      </c>
      <c r="C2126" s="1" t="n">
        <v>46180</v>
      </c>
      <c r="D2126" t="inlineStr">
        <is>
          <t>GÄVLEBORGS LÄN</t>
        </is>
      </c>
      <c r="E2126" t="inlineStr">
        <is>
          <t>BOLLNÄS</t>
        </is>
      </c>
      <c r="F2126" t="inlineStr">
        <is>
          <t>Bergvik skog väst AB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20828-2026</t>
        </is>
      </c>
      <c r="B2127" s="1" t="n">
        <v>46141</v>
      </c>
      <c r="C2127" s="1" t="n">
        <v>46180</v>
      </c>
      <c r="D2127" t="inlineStr">
        <is>
          <t>GÄVLEBORGS LÄN</t>
        </is>
      </c>
      <c r="E2127" t="inlineStr">
        <is>
          <t>BOLLNÄS</t>
        </is>
      </c>
      <c r="F2127" t="inlineStr">
        <is>
          <t>Bergvik skog väst AB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15479-2026</t>
        </is>
      </c>
      <c r="B2128" s="1" t="n">
        <v>46106.44590277778</v>
      </c>
      <c r="C2128" s="1" t="n">
        <v>46180</v>
      </c>
      <c r="D2128" t="inlineStr">
        <is>
          <t>GÄVLEBORGS LÄN</t>
        </is>
      </c>
      <c r="E2128" t="inlineStr">
        <is>
          <t>BOLLNÄS</t>
        </is>
      </c>
      <c r="G2128" t="n">
        <v>3.5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15514-2026</t>
        </is>
      </c>
      <c r="B2129" s="1" t="n">
        <v>46106.46924768519</v>
      </c>
      <c r="C2129" s="1" t="n">
        <v>46180</v>
      </c>
      <c r="D2129" t="inlineStr">
        <is>
          <t>GÄVLEBORGS LÄN</t>
        </is>
      </c>
      <c r="E2129" t="inlineStr">
        <is>
          <t>BOLLNÄS</t>
        </is>
      </c>
      <c r="G2129" t="n">
        <v>7.5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15522-2026</t>
        </is>
      </c>
      <c r="B2130" s="1" t="n">
        <v>46106.47820601852</v>
      </c>
      <c r="C2130" s="1" t="n">
        <v>46180</v>
      </c>
      <c r="D2130" t="inlineStr">
        <is>
          <t>GÄVLEBORGS LÄN</t>
        </is>
      </c>
      <c r="E2130" t="inlineStr">
        <is>
          <t>BOLLNÄS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15387-2026</t>
        </is>
      </c>
      <c r="B2131" s="1" t="n">
        <v>46106.34554398148</v>
      </c>
      <c r="C2131" s="1" t="n">
        <v>46180</v>
      </c>
      <c r="D2131" t="inlineStr">
        <is>
          <t>GÄVLEBORGS LÄN</t>
        </is>
      </c>
      <c r="E2131" t="inlineStr">
        <is>
          <t>BOLLNÄS</t>
        </is>
      </c>
      <c r="F2131" t="inlineStr">
        <is>
          <t>Bergvik skog väst AB</t>
        </is>
      </c>
      <c r="G2131" t="n">
        <v>3.3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15605-2026</t>
        </is>
      </c>
      <c r="B2132" s="1" t="n">
        <v>46106.5953125</v>
      </c>
      <c r="C2132" s="1" t="n">
        <v>46180</v>
      </c>
      <c r="D2132" t="inlineStr">
        <is>
          <t>GÄVLEBORGS LÄN</t>
        </is>
      </c>
      <c r="E2132" t="inlineStr">
        <is>
          <t>BOLLNÄS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15435-2026</t>
        </is>
      </c>
      <c r="B2133" s="1" t="n">
        <v>46106</v>
      </c>
      <c r="C2133" s="1" t="n">
        <v>46180</v>
      </c>
      <c r="D2133" t="inlineStr">
        <is>
          <t>GÄVLEBORGS LÄN</t>
        </is>
      </c>
      <c r="E2133" t="inlineStr">
        <is>
          <t>BOLLNÄS</t>
        </is>
      </c>
      <c r="G2133" t="n">
        <v>3.6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15818-2026</t>
        </is>
      </c>
      <c r="B2134" s="1" t="n">
        <v>46107.52131944444</v>
      </c>
      <c r="C2134" s="1" t="n">
        <v>46180</v>
      </c>
      <c r="D2134" t="inlineStr">
        <is>
          <t>GÄVLEBORGS LÄN</t>
        </is>
      </c>
      <c r="E2134" t="inlineStr">
        <is>
          <t>BOLLNÄS</t>
        </is>
      </c>
      <c r="F2134" t="inlineStr">
        <is>
          <t>Bergvik skog väst AB</t>
        </is>
      </c>
      <c r="G2134" t="n">
        <v>41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15839-2026</t>
        </is>
      </c>
      <c r="B2135" s="1" t="n">
        <v>46107.56201388889</v>
      </c>
      <c r="C2135" s="1" t="n">
        <v>46180</v>
      </c>
      <c r="D2135" t="inlineStr">
        <is>
          <t>GÄVLEBORGS LÄN</t>
        </is>
      </c>
      <c r="E2135" t="inlineStr">
        <is>
          <t>BOLLNÄS</t>
        </is>
      </c>
      <c r="G2135" t="n">
        <v>2.4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15842-2026</t>
        </is>
      </c>
      <c r="B2136" s="1" t="n">
        <v>46107.56425925926</v>
      </c>
      <c r="C2136" s="1" t="n">
        <v>46180</v>
      </c>
      <c r="D2136" t="inlineStr">
        <is>
          <t>GÄVLEBORGS LÄN</t>
        </is>
      </c>
      <c r="E2136" t="inlineStr">
        <is>
          <t>BOLLNÄS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15813-2026</t>
        </is>
      </c>
      <c r="B2137" s="1" t="n">
        <v>46107</v>
      </c>
      <c r="C2137" s="1" t="n">
        <v>46180</v>
      </c>
      <c r="D2137" t="inlineStr">
        <is>
          <t>GÄVLEBORGS LÄN</t>
        </is>
      </c>
      <c r="E2137" t="inlineStr">
        <is>
          <t>BOLLNÄS</t>
        </is>
      </c>
      <c r="F2137" t="inlineStr">
        <is>
          <t>Bergvik skog väst AB</t>
        </is>
      </c>
      <c r="G2137" t="n">
        <v>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15866-2026</t>
        </is>
      </c>
      <c r="B2138" s="1" t="n">
        <v>46107</v>
      </c>
      <c r="C2138" s="1" t="n">
        <v>46180</v>
      </c>
      <c r="D2138" t="inlineStr">
        <is>
          <t>GÄVLEBORGS LÄN</t>
        </is>
      </c>
      <c r="E2138" t="inlineStr">
        <is>
          <t>BOLLNÄS</t>
        </is>
      </c>
      <c r="G2138" t="n">
        <v>21.8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15869-2026</t>
        </is>
      </c>
      <c r="B2139" s="1" t="n">
        <v>46107.58692129629</v>
      </c>
      <c r="C2139" s="1" t="n">
        <v>46180</v>
      </c>
      <c r="D2139" t="inlineStr">
        <is>
          <t>GÄVLEBORGS LÄN</t>
        </is>
      </c>
      <c r="E2139" t="inlineStr">
        <is>
          <t>BOLLNÄS</t>
        </is>
      </c>
      <c r="G2139" t="n">
        <v>4.3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15873-2026</t>
        </is>
      </c>
      <c r="B2140" s="1" t="n">
        <v>46107</v>
      </c>
      <c r="C2140" s="1" t="n">
        <v>46180</v>
      </c>
      <c r="D2140" t="inlineStr">
        <is>
          <t>GÄVLEBORGS LÄN</t>
        </is>
      </c>
      <c r="E2140" t="inlineStr">
        <is>
          <t>BOLLNÄS</t>
        </is>
      </c>
      <c r="F2140" t="inlineStr">
        <is>
          <t>Bergvik skog väst AB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21741-2026</t>
        </is>
      </c>
      <c r="B2141" s="1" t="n">
        <v>46149.65664351852</v>
      </c>
      <c r="C2141" s="1" t="n">
        <v>46180</v>
      </c>
      <c r="D2141" t="inlineStr">
        <is>
          <t>GÄVLEBORGS LÄN</t>
        </is>
      </c>
      <c r="E2141" t="inlineStr">
        <is>
          <t>BOLLNÄS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518-2026</t>
        </is>
      </c>
      <c r="B2142" s="1" t="n">
        <v>46029</v>
      </c>
      <c r="C2142" s="1" t="n">
        <v>46180</v>
      </c>
      <c r="D2142" t="inlineStr">
        <is>
          <t>GÄVLEBORGS LÄN</t>
        </is>
      </c>
      <c r="E2142" t="inlineStr">
        <is>
          <t>BOLLNÄS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15768-2026</t>
        </is>
      </c>
      <c r="B2143" s="1" t="n">
        <v>46107.44672453704</v>
      </c>
      <c r="C2143" s="1" t="n">
        <v>46180</v>
      </c>
      <c r="D2143" t="inlineStr">
        <is>
          <t>GÄVLEBORGS LÄN</t>
        </is>
      </c>
      <c r="E2143" t="inlineStr">
        <is>
          <t>BOLLNÄS</t>
        </is>
      </c>
      <c r="F2143" t="inlineStr">
        <is>
          <t>Bergvik skog väst AB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15528-2026</t>
        </is>
      </c>
      <c r="B2144" s="1" t="n">
        <v>46106</v>
      </c>
      <c r="C2144" s="1" t="n">
        <v>46180</v>
      </c>
      <c r="D2144" t="inlineStr">
        <is>
          <t>GÄVLEBORGS LÄN</t>
        </is>
      </c>
      <c r="E2144" t="inlineStr">
        <is>
          <t>BOLLNÄS</t>
        </is>
      </c>
      <c r="G2144" t="n">
        <v>3.9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15946-2026</t>
        </is>
      </c>
      <c r="B2145" s="1" t="n">
        <v>46107.74146990741</v>
      </c>
      <c r="C2145" s="1" t="n">
        <v>46180</v>
      </c>
      <c r="D2145" t="inlineStr">
        <is>
          <t>GÄVLEBORGS LÄN</t>
        </is>
      </c>
      <c r="E2145" t="inlineStr">
        <is>
          <t>BOLLNÄS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15815-2026</t>
        </is>
      </c>
      <c r="B2146" s="1" t="n">
        <v>46107</v>
      </c>
      <c r="C2146" s="1" t="n">
        <v>46180</v>
      </c>
      <c r="D2146" t="inlineStr">
        <is>
          <t>GÄVLEBORGS LÄN</t>
        </is>
      </c>
      <c r="E2146" t="inlineStr">
        <is>
          <t>BOLLNÄS</t>
        </is>
      </c>
      <c r="G2146" t="n">
        <v>17.5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15893-2026</t>
        </is>
      </c>
      <c r="B2147" s="1" t="n">
        <v>46107</v>
      </c>
      <c r="C2147" s="1" t="n">
        <v>46180</v>
      </c>
      <c r="D2147" t="inlineStr">
        <is>
          <t>GÄVLEBORGS LÄN</t>
        </is>
      </c>
      <c r="E2147" t="inlineStr">
        <is>
          <t>BOLLNÄS</t>
        </is>
      </c>
      <c r="F2147" t="inlineStr">
        <is>
          <t>Bergvik skog väst AB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20412-2026</t>
        </is>
      </c>
      <c r="B2148" s="1" t="n">
        <v>46140</v>
      </c>
      <c r="C2148" s="1" t="n">
        <v>46180</v>
      </c>
      <c r="D2148" t="inlineStr">
        <is>
          <t>GÄVLEBORGS LÄN</t>
        </is>
      </c>
      <c r="E2148" t="inlineStr">
        <is>
          <t>BOLLNÄS</t>
        </is>
      </c>
      <c r="G2148" t="n">
        <v>4.6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15923-2026</t>
        </is>
      </c>
      <c r="B2149" s="1" t="n">
        <v>46107.65765046296</v>
      </c>
      <c r="C2149" s="1" t="n">
        <v>46180</v>
      </c>
      <c r="D2149" t="inlineStr">
        <is>
          <t>GÄVLEBORGS LÄN</t>
        </is>
      </c>
      <c r="E2149" t="inlineStr">
        <is>
          <t>BOLLNÄS</t>
        </is>
      </c>
      <c r="G2149" t="n">
        <v>2.3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21698-2026</t>
        </is>
      </c>
      <c r="B2150" s="1" t="n">
        <v>46149.53869212963</v>
      </c>
      <c r="C2150" s="1" t="n">
        <v>46180</v>
      </c>
      <c r="D2150" t="inlineStr">
        <is>
          <t>GÄVLEBORGS LÄN</t>
        </is>
      </c>
      <c r="E2150" t="inlineStr">
        <is>
          <t>BOLLNÄS</t>
        </is>
      </c>
      <c r="G2150" t="n">
        <v>2.1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20668-2026</t>
        </is>
      </c>
      <c r="B2151" s="1" t="n">
        <v>46141</v>
      </c>
      <c r="C2151" s="1" t="n">
        <v>46180</v>
      </c>
      <c r="D2151" t="inlineStr">
        <is>
          <t>GÄVLEBORGS LÄN</t>
        </is>
      </c>
      <c r="E2151" t="inlineStr">
        <is>
          <t>BOLLNÄS</t>
        </is>
      </c>
      <c r="F2151" t="inlineStr">
        <is>
          <t>Bergvik skog väst AB</t>
        </is>
      </c>
      <c r="G2151" t="n">
        <v>3.2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20247-2026</t>
        </is>
      </c>
      <c r="B2152" s="1" t="n">
        <v>46139</v>
      </c>
      <c r="C2152" s="1" t="n">
        <v>46180</v>
      </c>
      <c r="D2152" t="inlineStr">
        <is>
          <t>GÄVLEBORGS LÄN</t>
        </is>
      </c>
      <c r="E2152" t="inlineStr">
        <is>
          <t>BOLLNÄS</t>
        </is>
      </c>
      <c r="F2152" t="inlineStr">
        <is>
          <t>Bergvik skog väst AB</t>
        </is>
      </c>
      <c r="G2152" t="n">
        <v>5.3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21300-2026</t>
        </is>
      </c>
      <c r="B2153" s="1" t="n">
        <v>46147</v>
      </c>
      <c r="C2153" s="1" t="n">
        <v>46180</v>
      </c>
      <c r="D2153" t="inlineStr">
        <is>
          <t>GÄVLEBORGS LÄN</t>
        </is>
      </c>
      <c r="E2153" t="inlineStr">
        <is>
          <t>BOLLNÄS</t>
        </is>
      </c>
      <c r="F2153" t="inlineStr">
        <is>
          <t>Bergvik skog väst AB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63984-2025</t>
        </is>
      </c>
      <c r="B2154" s="1" t="n">
        <v>46021</v>
      </c>
      <c r="C2154" s="1" t="n">
        <v>46180</v>
      </c>
      <c r="D2154" t="inlineStr">
        <is>
          <t>GÄVLEBORGS LÄN</t>
        </is>
      </c>
      <c r="E2154" t="inlineStr">
        <is>
          <t>BOLLNÄS</t>
        </is>
      </c>
      <c r="G2154" t="n">
        <v>10.6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63996-2025</t>
        </is>
      </c>
      <c r="B2155" s="1" t="n">
        <v>46021</v>
      </c>
      <c r="C2155" s="1" t="n">
        <v>46180</v>
      </c>
      <c r="D2155" t="inlineStr">
        <is>
          <t>GÄVLEBORGS LÄN</t>
        </is>
      </c>
      <c r="E2155" t="inlineStr">
        <is>
          <t>BOLLNÄS</t>
        </is>
      </c>
      <c r="G2155" t="n">
        <v>9.1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5876-2026</t>
        </is>
      </c>
      <c r="B2156" s="1" t="n">
        <v>46052</v>
      </c>
      <c r="C2156" s="1" t="n">
        <v>46180</v>
      </c>
      <c r="D2156" t="inlineStr">
        <is>
          <t>GÄVLEBORGS LÄN</t>
        </is>
      </c>
      <c r="E2156" t="inlineStr">
        <is>
          <t>BOLLNÄS</t>
        </is>
      </c>
      <c r="G2156" t="n">
        <v>9.9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63970-2025</t>
        </is>
      </c>
      <c r="B2157" s="1" t="n">
        <v>46021</v>
      </c>
      <c r="C2157" s="1" t="n">
        <v>46180</v>
      </c>
      <c r="D2157" t="inlineStr">
        <is>
          <t>GÄVLEBORGS LÄN</t>
        </is>
      </c>
      <c r="E2157" t="inlineStr">
        <is>
          <t>BOLLNÄS</t>
        </is>
      </c>
      <c r="G2157" t="n">
        <v>3.4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15643-2026</t>
        </is>
      </c>
      <c r="B2158" s="1" t="n">
        <v>46106.63871527778</v>
      </c>
      <c r="C2158" s="1" t="n">
        <v>46180</v>
      </c>
      <c r="D2158" t="inlineStr">
        <is>
          <t>GÄVLEBORGS LÄN</t>
        </is>
      </c>
      <c r="E2158" t="inlineStr">
        <is>
          <t>BOLLNÄS</t>
        </is>
      </c>
      <c r="G2158" t="n">
        <v>3.4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64043-2025</t>
        </is>
      </c>
      <c r="B2159" s="1" t="n">
        <v>46021.55554398148</v>
      </c>
      <c r="C2159" s="1" t="n">
        <v>46180</v>
      </c>
      <c r="D2159" t="inlineStr">
        <is>
          <t>GÄVLEBORGS LÄN</t>
        </is>
      </c>
      <c r="E2159" t="inlineStr">
        <is>
          <t>BOLLNÄS</t>
        </is>
      </c>
      <c r="G2159" t="n">
        <v>17.6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63976-2025</t>
        </is>
      </c>
      <c r="B2160" s="1" t="n">
        <v>46021</v>
      </c>
      <c r="C2160" s="1" t="n">
        <v>46180</v>
      </c>
      <c r="D2160" t="inlineStr">
        <is>
          <t>GÄVLEBORGS LÄN</t>
        </is>
      </c>
      <c r="E2160" t="inlineStr">
        <is>
          <t>BOLLNÄS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15391-2026</t>
        </is>
      </c>
      <c r="B2161" s="1" t="n">
        <v>46106</v>
      </c>
      <c r="C2161" s="1" t="n">
        <v>46180</v>
      </c>
      <c r="D2161" t="inlineStr">
        <is>
          <t>GÄVLEBORGS LÄN</t>
        </is>
      </c>
      <c r="E2161" t="inlineStr">
        <is>
          <t>BOLLNÄS</t>
        </is>
      </c>
      <c r="G2161" t="n">
        <v>3.8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15430-2026</t>
        </is>
      </c>
      <c r="B2162" s="1" t="n">
        <v>46106.38650462963</v>
      </c>
      <c r="C2162" s="1" t="n">
        <v>46180</v>
      </c>
      <c r="D2162" t="inlineStr">
        <is>
          <t>GÄVLEBORGS LÄN</t>
        </is>
      </c>
      <c r="E2162" t="inlineStr">
        <is>
          <t>BOLLNÄS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20531-2026</t>
        </is>
      </c>
      <c r="B2163" s="1" t="n">
        <v>46140</v>
      </c>
      <c r="C2163" s="1" t="n">
        <v>46180</v>
      </c>
      <c r="D2163" t="inlineStr">
        <is>
          <t>GÄVLEBORGS LÄN</t>
        </is>
      </c>
      <c r="E2163" t="inlineStr">
        <is>
          <t>BOLLNÄS</t>
        </is>
      </c>
      <c r="F2163" t="inlineStr">
        <is>
          <t>Bergvik skog väst AB</t>
        </is>
      </c>
      <c r="G2163" t="n">
        <v>5.7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20966-2026</t>
        </is>
      </c>
      <c r="B2164" s="1" t="n">
        <v>46142</v>
      </c>
      <c r="C2164" s="1" t="n">
        <v>46180</v>
      </c>
      <c r="D2164" t="inlineStr">
        <is>
          <t>GÄVLEBORGS LÄN</t>
        </is>
      </c>
      <c r="E2164" t="inlineStr">
        <is>
          <t>BOLLNÄS</t>
        </is>
      </c>
      <c r="F2164" t="inlineStr">
        <is>
          <t>Bergvik skog väst AB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15374-2026</t>
        </is>
      </c>
      <c r="B2165" s="1" t="n">
        <v>46106.30268518518</v>
      </c>
      <c r="C2165" s="1" t="n">
        <v>46180</v>
      </c>
      <c r="D2165" t="inlineStr">
        <is>
          <t>GÄVLEBORGS LÄN</t>
        </is>
      </c>
      <c r="E2165" t="inlineStr">
        <is>
          <t>BOLLNÄS</t>
        </is>
      </c>
      <c r="F2165" t="inlineStr">
        <is>
          <t>Kyrkan</t>
        </is>
      </c>
      <c r="G2165" t="n">
        <v>4.7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14761-2026</t>
        </is>
      </c>
      <c r="B2166" s="1" t="n">
        <v>46101.62836805556</v>
      </c>
      <c r="C2166" s="1" t="n">
        <v>46180</v>
      </c>
      <c r="D2166" t="inlineStr">
        <is>
          <t>GÄVLEBORGS LÄN</t>
        </is>
      </c>
      <c r="E2166" t="inlineStr">
        <is>
          <t>BOLLNÄS</t>
        </is>
      </c>
      <c r="G2166" t="n">
        <v>5.2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21682-2026</t>
        </is>
      </c>
      <c r="B2167" s="1" t="n">
        <v>46149.49553240741</v>
      </c>
      <c r="C2167" s="1" t="n">
        <v>46180</v>
      </c>
      <c r="D2167" t="inlineStr">
        <is>
          <t>GÄVLEBORGS LÄN</t>
        </is>
      </c>
      <c r="E2167" t="inlineStr">
        <is>
          <t>BOLLNÄS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154-2026</t>
        </is>
      </c>
      <c r="B2168" s="1" t="n">
        <v>46024</v>
      </c>
      <c r="C2168" s="1" t="n">
        <v>46180</v>
      </c>
      <c r="D2168" t="inlineStr">
        <is>
          <t>GÄVLEBORGS LÄN</t>
        </is>
      </c>
      <c r="E2168" t="inlineStr">
        <is>
          <t>BOLLNÄS</t>
        </is>
      </c>
      <c r="G2168" t="n">
        <v>2.6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50-2026</t>
        </is>
      </c>
      <c r="B2169" s="1" t="n">
        <v>46024.41872685185</v>
      </c>
      <c r="C2169" s="1" t="n">
        <v>46180</v>
      </c>
      <c r="D2169" t="inlineStr">
        <is>
          <t>GÄVLEBORGS LÄN</t>
        </is>
      </c>
      <c r="E2169" t="inlineStr">
        <is>
          <t>BOLLNÄS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27-2026</t>
        </is>
      </c>
      <c r="B2170" s="1" t="n">
        <v>46024.31964120371</v>
      </c>
      <c r="C2170" s="1" t="n">
        <v>46180</v>
      </c>
      <c r="D2170" t="inlineStr">
        <is>
          <t>GÄVLEBORGS LÄN</t>
        </is>
      </c>
      <c r="E2170" t="inlineStr">
        <is>
          <t>BOLLNÄS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27732-2024</t>
        </is>
      </c>
      <c r="B2171" s="1" t="n">
        <v>45475.43817129629</v>
      </c>
      <c r="C2171" s="1" t="n">
        <v>46180</v>
      </c>
      <c r="D2171" t="inlineStr">
        <is>
          <t>GÄVLEBORGS LÄN</t>
        </is>
      </c>
      <c r="E2171" t="inlineStr">
        <is>
          <t>BOLLNÄS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15460-2026</t>
        </is>
      </c>
      <c r="B2172" s="1" t="n">
        <v>46106.42335648148</v>
      </c>
      <c r="C2172" s="1" t="n">
        <v>46180</v>
      </c>
      <c r="D2172" t="inlineStr">
        <is>
          <t>GÄVLEBORGS LÄN</t>
        </is>
      </c>
      <c r="E2172" t="inlineStr">
        <is>
          <t>BOLLNÄS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15602-2026</t>
        </is>
      </c>
      <c r="B2173" s="1" t="n">
        <v>46106.59380787037</v>
      </c>
      <c r="C2173" s="1" t="n">
        <v>46180</v>
      </c>
      <c r="D2173" t="inlineStr">
        <is>
          <t>GÄVLEBORGS LÄN</t>
        </is>
      </c>
      <c r="E2173" t="inlineStr">
        <is>
          <t>BOLLNÄS</t>
        </is>
      </c>
      <c r="G2173" t="n">
        <v>8.5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15658-2026</t>
        </is>
      </c>
      <c r="B2174" s="1" t="n">
        <v>46106.66408564815</v>
      </c>
      <c r="C2174" s="1" t="n">
        <v>46180</v>
      </c>
      <c r="D2174" t="inlineStr">
        <is>
          <t>GÄVLEBORGS LÄN</t>
        </is>
      </c>
      <c r="E2174" t="inlineStr">
        <is>
          <t>BOLLNÄS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20413-2026</t>
        </is>
      </c>
      <c r="B2175" s="1" t="n">
        <v>46140</v>
      </c>
      <c r="C2175" s="1" t="n">
        <v>46180</v>
      </c>
      <c r="D2175" t="inlineStr">
        <is>
          <t>GÄVLEBORGS LÄN</t>
        </is>
      </c>
      <c r="E2175" t="inlineStr">
        <is>
          <t>BOLLNÄS</t>
        </is>
      </c>
      <c r="F2175" t="inlineStr">
        <is>
          <t>Bergvik skog väst AB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21675-2026</t>
        </is>
      </c>
      <c r="B2176" s="1" t="n">
        <v>46149.48783564815</v>
      </c>
      <c r="C2176" s="1" t="n">
        <v>46180</v>
      </c>
      <c r="D2176" t="inlineStr">
        <is>
          <t>GÄVLEBORGS LÄN</t>
        </is>
      </c>
      <c r="E2176" t="inlineStr">
        <is>
          <t>BOLLNÄS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15449-2026</t>
        </is>
      </c>
      <c r="B2177" s="1" t="n">
        <v>46106</v>
      </c>
      <c r="C2177" s="1" t="n">
        <v>46180</v>
      </c>
      <c r="D2177" t="inlineStr">
        <is>
          <t>GÄVLEBORGS LÄN</t>
        </is>
      </c>
      <c r="E2177" t="inlineStr">
        <is>
          <t>BOLLNÄS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15496-2026</t>
        </is>
      </c>
      <c r="B2178" s="1" t="n">
        <v>46106.45599537037</v>
      </c>
      <c r="C2178" s="1" t="n">
        <v>46180</v>
      </c>
      <c r="D2178" t="inlineStr">
        <is>
          <t>GÄVLEBORGS LÄN</t>
        </is>
      </c>
      <c r="E2178" t="inlineStr">
        <is>
          <t>BOLLNÄS</t>
        </is>
      </c>
      <c r="G2178" t="n">
        <v>3.6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15612-2026</t>
        </is>
      </c>
      <c r="B2179" s="1" t="n">
        <v>46106.59763888889</v>
      </c>
      <c r="C2179" s="1" t="n">
        <v>46180</v>
      </c>
      <c r="D2179" t="inlineStr">
        <is>
          <t>GÄVLEBORGS LÄN</t>
        </is>
      </c>
      <c r="E2179" t="inlineStr">
        <is>
          <t>BOLLNÄS</t>
        </is>
      </c>
      <c r="G2179" t="n">
        <v>1.9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36058-2023</t>
        </is>
      </c>
      <c r="B2180" s="1" t="n">
        <v>45149</v>
      </c>
      <c r="C2180" s="1" t="n">
        <v>46180</v>
      </c>
      <c r="D2180" t="inlineStr">
        <is>
          <t>GÄVLEBORGS LÄN</t>
        </is>
      </c>
      <c r="E2180" t="inlineStr">
        <is>
          <t>BOLLNÄS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31922-2024</t>
        </is>
      </c>
      <c r="B2181" s="1" t="n">
        <v>45510.39796296296</v>
      </c>
      <c r="C2181" s="1" t="n">
        <v>46180</v>
      </c>
      <c r="D2181" t="inlineStr">
        <is>
          <t>GÄVLEBORGS LÄN</t>
        </is>
      </c>
      <c r="E2181" t="inlineStr">
        <is>
          <t>BOLLNÄS</t>
        </is>
      </c>
      <c r="G2181" t="n">
        <v>0.9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15609-2026</t>
        </is>
      </c>
      <c r="B2182" s="1" t="n">
        <v>46106.59636574074</v>
      </c>
      <c r="C2182" s="1" t="n">
        <v>46180</v>
      </c>
      <c r="D2182" t="inlineStr">
        <is>
          <t>GÄVLEBORGS LÄN</t>
        </is>
      </c>
      <c r="E2182" t="inlineStr">
        <is>
          <t>BOLLNÄS</t>
        </is>
      </c>
      <c r="G2182" t="n">
        <v>2.2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16365-2026</t>
        </is>
      </c>
      <c r="B2183" s="1" t="n">
        <v>46111</v>
      </c>
      <c r="C2183" s="1" t="n">
        <v>46180</v>
      </c>
      <c r="D2183" t="inlineStr">
        <is>
          <t>GÄVLEBORGS LÄN</t>
        </is>
      </c>
      <c r="E2183" t="inlineStr">
        <is>
          <t>BOLLNÄS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71678-2021</t>
        </is>
      </c>
      <c r="B2184" s="1" t="n">
        <v>44543.40311342593</v>
      </c>
      <c r="C2184" s="1" t="n">
        <v>46180</v>
      </c>
      <c r="D2184" t="inlineStr">
        <is>
          <t>GÄVLEBORGS LÄN</t>
        </is>
      </c>
      <c r="E2184" t="inlineStr">
        <is>
          <t>BOLLNÄS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21646-2026</t>
        </is>
      </c>
      <c r="B2185" s="1" t="n">
        <v>46149</v>
      </c>
      <c r="C2185" s="1" t="n">
        <v>46180</v>
      </c>
      <c r="D2185" t="inlineStr">
        <is>
          <t>GÄVLEBORGS LÄN</t>
        </is>
      </c>
      <c r="E2185" t="inlineStr">
        <is>
          <t>BOLLNÄS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20665-2026</t>
        </is>
      </c>
      <c r="B2186" s="1" t="n">
        <v>46141</v>
      </c>
      <c r="C2186" s="1" t="n">
        <v>46180</v>
      </c>
      <c r="D2186" t="inlineStr">
        <is>
          <t>GÄVLEBORGS LÄN</t>
        </is>
      </c>
      <c r="E2186" t="inlineStr">
        <is>
          <t>BOLLNÄS</t>
        </is>
      </c>
      <c r="F2186" t="inlineStr">
        <is>
          <t>Bergvik skog väst AB</t>
        </is>
      </c>
      <c r="G2186" t="n">
        <v>7.6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21517-2026</t>
        </is>
      </c>
      <c r="B2187" s="1" t="n">
        <v>46148</v>
      </c>
      <c r="C2187" s="1" t="n">
        <v>46180</v>
      </c>
      <c r="D2187" t="inlineStr">
        <is>
          <t>GÄVLEBORGS LÄN</t>
        </is>
      </c>
      <c r="E2187" t="inlineStr">
        <is>
          <t>BOLLNÄS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21600-2026</t>
        </is>
      </c>
      <c r="B2188" s="1" t="n">
        <v>46149</v>
      </c>
      <c r="C2188" s="1" t="n">
        <v>46180</v>
      </c>
      <c r="D2188" t="inlineStr">
        <is>
          <t>GÄVLEBORGS LÄN</t>
        </is>
      </c>
      <c r="E2188" t="inlineStr">
        <is>
          <t>BOLLNÄS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25177-2023</t>
        </is>
      </c>
      <c r="B2189" s="1" t="n">
        <v>45086.51684027778</v>
      </c>
      <c r="C2189" s="1" t="n">
        <v>46180</v>
      </c>
      <c r="D2189" t="inlineStr">
        <is>
          <t>GÄVLEBORGS LÄN</t>
        </is>
      </c>
      <c r="E2189" t="inlineStr">
        <is>
          <t>BOLLNÄS</t>
        </is>
      </c>
      <c r="F2189" t="inlineStr">
        <is>
          <t>Sveaskog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21520-2026</t>
        </is>
      </c>
      <c r="B2190" s="1" t="n">
        <v>46148</v>
      </c>
      <c r="C2190" s="1" t="n">
        <v>46180</v>
      </c>
      <c r="D2190" t="inlineStr">
        <is>
          <t>GÄVLEBORGS LÄN</t>
        </is>
      </c>
      <c r="E2190" t="inlineStr">
        <is>
          <t>BOLLNÄS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5262-2025</t>
        </is>
      </c>
      <c r="B2191" s="1" t="n">
        <v>45692.37174768518</v>
      </c>
      <c r="C2191" s="1" t="n">
        <v>46180</v>
      </c>
      <c r="D2191" t="inlineStr">
        <is>
          <t>GÄVLEBORGS LÄN</t>
        </is>
      </c>
      <c r="E2191" t="inlineStr">
        <is>
          <t>BOLLNÄS</t>
        </is>
      </c>
      <c r="F2191" t="inlineStr">
        <is>
          <t>Bergvik skog öst AB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24994-2024</t>
        </is>
      </c>
      <c r="B2192" s="1" t="n">
        <v>45461</v>
      </c>
      <c r="C2192" s="1" t="n">
        <v>46180</v>
      </c>
      <c r="D2192" t="inlineStr">
        <is>
          <t>GÄVLEBORGS LÄN</t>
        </is>
      </c>
      <c r="E2192" t="inlineStr">
        <is>
          <t>BOLLNÄS</t>
        </is>
      </c>
      <c r="G2192" t="n">
        <v>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21791-2026</t>
        </is>
      </c>
      <c r="B2193" s="1" t="n">
        <v>46150.40212962963</v>
      </c>
      <c r="C2193" s="1" t="n">
        <v>46180</v>
      </c>
      <c r="D2193" t="inlineStr">
        <is>
          <t>GÄVLEBORGS LÄN</t>
        </is>
      </c>
      <c r="E2193" t="inlineStr">
        <is>
          <t>BOLLNÄS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5870-2026</t>
        </is>
      </c>
      <c r="B2194" s="1" t="n">
        <v>46052</v>
      </c>
      <c r="C2194" s="1" t="n">
        <v>46180</v>
      </c>
      <c r="D2194" t="inlineStr">
        <is>
          <t>GÄVLEBORGS LÄN</t>
        </is>
      </c>
      <c r="E2194" t="inlineStr">
        <is>
          <t>BOLLNÄS</t>
        </is>
      </c>
      <c r="G2194" t="n">
        <v>4.6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6096-2026</t>
        </is>
      </c>
      <c r="B2195" s="1" t="n">
        <v>46052</v>
      </c>
      <c r="C2195" s="1" t="n">
        <v>46180</v>
      </c>
      <c r="D2195" t="inlineStr">
        <is>
          <t>GÄVLEBORGS LÄN</t>
        </is>
      </c>
      <c r="E2195" t="inlineStr">
        <is>
          <t>BOLLNÄS</t>
        </is>
      </c>
      <c r="G2195" t="n">
        <v>16.8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60428-2024</t>
        </is>
      </c>
      <c r="B2196" s="1" t="n">
        <v>45643</v>
      </c>
      <c r="C2196" s="1" t="n">
        <v>46180</v>
      </c>
      <c r="D2196" t="inlineStr">
        <is>
          <t>GÄVLEBORGS LÄN</t>
        </is>
      </c>
      <c r="E2196" t="inlineStr">
        <is>
          <t>BOLLNÄS</t>
        </is>
      </c>
      <c r="G2196" t="n">
        <v>5.5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21647-2026</t>
        </is>
      </c>
      <c r="B2197" s="1" t="n">
        <v>46149</v>
      </c>
      <c r="C2197" s="1" t="n">
        <v>46180</v>
      </c>
      <c r="D2197" t="inlineStr">
        <is>
          <t>GÄVLEBORGS LÄN</t>
        </is>
      </c>
      <c r="E2197" t="inlineStr">
        <is>
          <t>BOLLNÄS</t>
        </is>
      </c>
      <c r="G2197" t="n">
        <v>4.5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22185-2026</t>
        </is>
      </c>
      <c r="B2198" s="1" t="n">
        <v>46153.64982638889</v>
      </c>
      <c r="C2198" s="1" t="n">
        <v>46180</v>
      </c>
      <c r="D2198" t="inlineStr">
        <is>
          <t>GÄVLEBORGS LÄN</t>
        </is>
      </c>
      <c r="E2198" t="inlineStr">
        <is>
          <t>BOLLNÄS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16051-2026</t>
        </is>
      </c>
      <c r="B2199" s="1" t="n">
        <v>46108.48439814815</v>
      </c>
      <c r="C2199" s="1" t="n">
        <v>46180</v>
      </c>
      <c r="D2199" t="inlineStr">
        <is>
          <t>GÄVLEBORGS LÄN</t>
        </is>
      </c>
      <c r="E2199" t="inlineStr">
        <is>
          <t>BOLLNÄS</t>
        </is>
      </c>
      <c r="G2199" t="n">
        <v>14.9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16056-2026</t>
        </is>
      </c>
      <c r="B2200" s="1" t="n">
        <v>46108.49072916667</v>
      </c>
      <c r="C2200" s="1" t="n">
        <v>46180</v>
      </c>
      <c r="D2200" t="inlineStr">
        <is>
          <t>GÄVLEBORGS LÄN</t>
        </is>
      </c>
      <c r="E2200" t="inlineStr">
        <is>
          <t>BOLLNÄS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21767-2026</t>
        </is>
      </c>
      <c r="B2201" s="1" t="n">
        <v>46150.34378472222</v>
      </c>
      <c r="C2201" s="1" t="n">
        <v>46180</v>
      </c>
      <c r="D2201" t="inlineStr">
        <is>
          <t>GÄVLEBORGS LÄN</t>
        </is>
      </c>
      <c r="E2201" t="inlineStr">
        <is>
          <t>BOLLNÄS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46724-2024</t>
        </is>
      </c>
      <c r="B2202" s="1" t="n">
        <v>45583.46032407408</v>
      </c>
      <c r="C2202" s="1" t="n">
        <v>46180</v>
      </c>
      <c r="D2202" t="inlineStr">
        <is>
          <t>GÄVLEBORGS LÄN</t>
        </is>
      </c>
      <c r="E2202" t="inlineStr">
        <is>
          <t>BOLLNÄS</t>
        </is>
      </c>
      <c r="G2202" t="n">
        <v>6.9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15995-2026</t>
        </is>
      </c>
      <c r="B2203" s="1" t="n">
        <v>46108.3828125</v>
      </c>
      <c r="C2203" s="1" t="n">
        <v>46180</v>
      </c>
      <c r="D2203" t="inlineStr">
        <is>
          <t>GÄVLEBORGS LÄN</t>
        </is>
      </c>
      <c r="E2203" t="inlineStr">
        <is>
          <t>BOLLNÄS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16017-2026</t>
        </is>
      </c>
      <c r="B2204" s="1" t="n">
        <v>46108</v>
      </c>
      <c r="C2204" s="1" t="n">
        <v>46180</v>
      </c>
      <c r="D2204" t="inlineStr">
        <is>
          <t>GÄVLEBORGS LÄN</t>
        </is>
      </c>
      <c r="E2204" t="inlineStr">
        <is>
          <t>BOLLNÄS</t>
        </is>
      </c>
      <c r="F2204" t="inlineStr">
        <is>
          <t>Bergvik skog väst AB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16418-2026</t>
        </is>
      </c>
      <c r="B2205" s="1" t="n">
        <v>46111.66304398148</v>
      </c>
      <c r="C2205" s="1" t="n">
        <v>46180</v>
      </c>
      <c r="D2205" t="inlineStr">
        <is>
          <t>GÄVLEBORGS LÄN</t>
        </is>
      </c>
      <c r="E2205" t="inlineStr">
        <is>
          <t>BOLLNÄS</t>
        </is>
      </c>
      <c r="F2205" t="inlineStr">
        <is>
          <t>Sveaskog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18614-2023</t>
        </is>
      </c>
      <c r="B2206" s="1" t="n">
        <v>45043</v>
      </c>
      <c r="C2206" s="1" t="n">
        <v>46180</v>
      </c>
      <c r="D2206" t="inlineStr">
        <is>
          <t>GÄVLEBORGS LÄN</t>
        </is>
      </c>
      <c r="E2206" t="inlineStr">
        <is>
          <t>BOLLNÄS</t>
        </is>
      </c>
      <c r="G2206" t="n">
        <v>5.4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16097-2026</t>
        </is>
      </c>
      <c r="B2207" s="1" t="n">
        <v>46108</v>
      </c>
      <c r="C2207" s="1" t="n">
        <v>46180</v>
      </c>
      <c r="D2207" t="inlineStr">
        <is>
          <t>GÄVLEBORGS LÄN</t>
        </is>
      </c>
      <c r="E2207" t="inlineStr">
        <is>
          <t>BOLLNÄS</t>
        </is>
      </c>
      <c r="G2207" t="n">
        <v>3.4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22065-2026</t>
        </is>
      </c>
      <c r="B2208" s="1" t="n">
        <v>46153.48771990741</v>
      </c>
      <c r="C2208" s="1" t="n">
        <v>46180</v>
      </c>
      <c r="D2208" t="inlineStr">
        <is>
          <t>GÄVLEBORGS LÄN</t>
        </is>
      </c>
      <c r="E2208" t="inlineStr">
        <is>
          <t>BOLLNÄS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21104-2026</t>
        </is>
      </c>
      <c r="B2209" s="1" t="n">
        <v>46146</v>
      </c>
      <c r="C2209" s="1" t="n">
        <v>46180</v>
      </c>
      <c r="D2209" t="inlineStr">
        <is>
          <t>GÄVLEBORGS LÄN</t>
        </is>
      </c>
      <c r="E2209" t="inlineStr">
        <is>
          <t>BOLLNÄS</t>
        </is>
      </c>
      <c r="G2209" t="n">
        <v>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16331-2026</t>
        </is>
      </c>
      <c r="B2210" s="1" t="n">
        <v>46111.57085648148</v>
      </c>
      <c r="C2210" s="1" t="n">
        <v>46180</v>
      </c>
      <c r="D2210" t="inlineStr">
        <is>
          <t>GÄVLEBORGS LÄN</t>
        </is>
      </c>
      <c r="E2210" t="inlineStr">
        <is>
          <t>BOLLNÄS</t>
        </is>
      </c>
      <c r="F2210" t="inlineStr">
        <is>
          <t>Bergvik skog väst AB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22179-2026</t>
        </is>
      </c>
      <c r="B2211" s="1" t="n">
        <v>46153.64585648148</v>
      </c>
      <c r="C2211" s="1" t="n">
        <v>46180</v>
      </c>
      <c r="D2211" t="inlineStr">
        <is>
          <t>GÄVLEBORGS LÄN</t>
        </is>
      </c>
      <c r="E2211" t="inlineStr">
        <is>
          <t>BOLLNÄS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16168-2026</t>
        </is>
      </c>
      <c r="B2212" s="1" t="n">
        <v>46111.28326388889</v>
      </c>
      <c r="C2212" s="1" t="n">
        <v>46180</v>
      </c>
      <c r="D2212" t="inlineStr">
        <is>
          <t>GÄVLEBORGS LÄN</t>
        </is>
      </c>
      <c r="E2212" t="inlineStr">
        <is>
          <t>BOLLNÄS</t>
        </is>
      </c>
      <c r="G2212" t="n">
        <v>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16025-2026</t>
        </is>
      </c>
      <c r="B2213" s="1" t="n">
        <v>46108.45197916667</v>
      </c>
      <c r="C2213" s="1" t="n">
        <v>46180</v>
      </c>
      <c r="D2213" t="inlineStr">
        <is>
          <t>GÄVLEBORGS LÄN</t>
        </is>
      </c>
      <c r="E2213" t="inlineStr">
        <is>
          <t>BOLLNÄS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16031-2026</t>
        </is>
      </c>
      <c r="B2214" s="1" t="n">
        <v>46108</v>
      </c>
      <c r="C2214" s="1" t="n">
        <v>46180</v>
      </c>
      <c r="D2214" t="inlineStr">
        <is>
          <t>GÄVLEBORGS LÄN</t>
        </is>
      </c>
      <c r="E2214" t="inlineStr">
        <is>
          <t>BOLLNÄS</t>
        </is>
      </c>
      <c r="F2214" t="inlineStr">
        <is>
          <t>Bergvik skog väst AB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16049-2026</t>
        </is>
      </c>
      <c r="B2215" s="1" t="n">
        <v>46108.48263888889</v>
      </c>
      <c r="C2215" s="1" t="n">
        <v>46180</v>
      </c>
      <c r="D2215" t="inlineStr">
        <is>
          <t>GÄVLEBORGS LÄN</t>
        </is>
      </c>
      <c r="E2215" t="inlineStr">
        <is>
          <t>BOLLNÄS</t>
        </is>
      </c>
      <c r="G2215" t="n">
        <v>13.8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16061-2026</t>
        </is>
      </c>
      <c r="B2216" s="1" t="n">
        <v>46108.49431712963</v>
      </c>
      <c r="C2216" s="1" t="n">
        <v>46180</v>
      </c>
      <c r="D2216" t="inlineStr">
        <is>
          <t>GÄVLEBORGS LÄN</t>
        </is>
      </c>
      <c r="E2216" t="inlineStr">
        <is>
          <t>BOLLNÄS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16080-2026</t>
        </is>
      </c>
      <c r="B2217" s="1" t="n">
        <v>46108</v>
      </c>
      <c r="C2217" s="1" t="n">
        <v>46180</v>
      </c>
      <c r="D2217" t="inlineStr">
        <is>
          <t>GÄVLEBORGS LÄN</t>
        </is>
      </c>
      <c r="E2217" t="inlineStr">
        <is>
          <t>BOLLNÄS</t>
        </is>
      </c>
      <c r="F2217" t="inlineStr">
        <is>
          <t>Bergvik skog väst AB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16417-2026</t>
        </is>
      </c>
      <c r="B2218" s="1" t="n">
        <v>46111.66079861111</v>
      </c>
      <c r="C2218" s="1" t="n">
        <v>46180</v>
      </c>
      <c r="D2218" t="inlineStr">
        <is>
          <t>GÄVLEBORGS LÄN</t>
        </is>
      </c>
      <c r="E2218" t="inlineStr">
        <is>
          <t>BOLLNÄS</t>
        </is>
      </c>
      <c r="F2218" t="inlineStr">
        <is>
          <t>Sveaskog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16028-2026</t>
        </is>
      </c>
      <c r="B2219" s="1" t="n">
        <v>46108.45258101852</v>
      </c>
      <c r="C2219" s="1" t="n">
        <v>46180</v>
      </c>
      <c r="D2219" t="inlineStr">
        <is>
          <t>GÄVLEBORGS LÄN</t>
        </is>
      </c>
      <c r="E2219" t="inlineStr">
        <is>
          <t>BOLLNÄS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16036-2026</t>
        </is>
      </c>
      <c r="B2220" s="1" t="n">
        <v>46108.46282407407</v>
      </c>
      <c r="C2220" s="1" t="n">
        <v>46180</v>
      </c>
      <c r="D2220" t="inlineStr">
        <is>
          <t>GÄVLEBORGS LÄN</t>
        </is>
      </c>
      <c r="E2220" t="inlineStr">
        <is>
          <t>BOLLNÄS</t>
        </is>
      </c>
      <c r="F2220" t="inlineStr">
        <is>
          <t>Bergvik skog väst AB</t>
        </is>
      </c>
      <c r="G2220" t="n">
        <v>1.7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16039-2026</t>
        </is>
      </c>
      <c r="B2221" s="1" t="n">
        <v>46108</v>
      </c>
      <c r="C2221" s="1" t="n">
        <v>46180</v>
      </c>
      <c r="D2221" t="inlineStr">
        <is>
          <t>GÄVLEBORGS LÄN</t>
        </is>
      </c>
      <c r="E2221" t="inlineStr">
        <is>
          <t>BOLLNÄS</t>
        </is>
      </c>
      <c r="G2221" t="n">
        <v>7.1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16041-2026</t>
        </is>
      </c>
      <c r="B2222" s="1" t="n">
        <v>46108</v>
      </c>
      <c r="C2222" s="1" t="n">
        <v>46180</v>
      </c>
      <c r="D2222" t="inlineStr">
        <is>
          <t>GÄVLEBORGS LÄN</t>
        </is>
      </c>
      <c r="E2222" t="inlineStr">
        <is>
          <t>BOLLNÄS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22010-2024</t>
        </is>
      </c>
      <c r="B2223" s="1" t="n">
        <v>45443.57775462963</v>
      </c>
      <c r="C2223" s="1" t="n">
        <v>46180</v>
      </c>
      <c r="D2223" t="inlineStr">
        <is>
          <t>GÄVLEBORGS LÄN</t>
        </is>
      </c>
      <c r="E2223" t="inlineStr">
        <is>
          <t>BOLLNÄS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15980-2026</t>
        </is>
      </c>
      <c r="B2224" s="1" t="n">
        <v>46108.35755787037</v>
      </c>
      <c r="C2224" s="1" t="n">
        <v>46180</v>
      </c>
      <c r="D2224" t="inlineStr">
        <is>
          <t>GÄVLEBORGS LÄN</t>
        </is>
      </c>
      <c r="E2224" t="inlineStr">
        <is>
          <t>BOLLNÄS</t>
        </is>
      </c>
      <c r="F2224" t="inlineStr">
        <is>
          <t>Holmen skog AB</t>
        </is>
      </c>
      <c r="G2224" t="n">
        <v>26.2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15947-2026</t>
        </is>
      </c>
      <c r="B2225" s="1" t="n">
        <v>46107.77787037037</v>
      </c>
      <c r="C2225" s="1" t="n">
        <v>46180</v>
      </c>
      <c r="D2225" t="inlineStr">
        <is>
          <t>GÄVLEBORGS LÄN</t>
        </is>
      </c>
      <c r="E2225" t="inlineStr">
        <is>
          <t>BOLLNÄS</t>
        </is>
      </c>
      <c r="G2225" t="n">
        <v>3.3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15996-2026</t>
        </is>
      </c>
      <c r="B2226" s="1" t="n">
        <v>46108.38313657408</v>
      </c>
      <c r="C2226" s="1" t="n">
        <v>46180</v>
      </c>
      <c r="D2226" t="inlineStr">
        <is>
          <t>GÄVLEBORGS LÄN</t>
        </is>
      </c>
      <c r="E2226" t="inlineStr">
        <is>
          <t>BOLLNÄS</t>
        </is>
      </c>
      <c r="F2226" t="inlineStr">
        <is>
          <t>Holmen skog AB</t>
        </is>
      </c>
      <c r="G2226" t="n">
        <v>51.8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16029-2026</t>
        </is>
      </c>
      <c r="B2227" s="1" t="n">
        <v>46108.45408564815</v>
      </c>
      <c r="C2227" s="1" t="n">
        <v>46180</v>
      </c>
      <c r="D2227" t="inlineStr">
        <is>
          <t>GÄVLEBORGS LÄN</t>
        </is>
      </c>
      <c r="E2227" t="inlineStr">
        <is>
          <t>BOLLNÄS</t>
        </is>
      </c>
      <c r="G2227" t="n">
        <v>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16057-2026</t>
        </is>
      </c>
      <c r="B2228" s="1" t="n">
        <v>46108.49155092592</v>
      </c>
      <c r="C2228" s="1" t="n">
        <v>46180</v>
      </c>
      <c r="D2228" t="inlineStr">
        <is>
          <t>GÄVLEBORGS LÄN</t>
        </is>
      </c>
      <c r="E2228" t="inlineStr">
        <is>
          <t>BOLLNÄS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16058-2026</t>
        </is>
      </c>
      <c r="B2229" s="1" t="n">
        <v>46108.49266203704</v>
      </c>
      <c r="C2229" s="1" t="n">
        <v>46180</v>
      </c>
      <c r="D2229" t="inlineStr">
        <is>
          <t>GÄVLEBORGS LÄN</t>
        </is>
      </c>
      <c r="E2229" t="inlineStr">
        <is>
          <t>BOLLNÄS</t>
        </is>
      </c>
      <c r="G2229" t="n">
        <v>0.4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16059-2026</t>
        </is>
      </c>
      <c r="B2230" s="1" t="n">
        <v>46108.49333333333</v>
      </c>
      <c r="C2230" s="1" t="n">
        <v>46180</v>
      </c>
      <c r="D2230" t="inlineStr">
        <is>
          <t>GÄVLEBORGS LÄN</t>
        </is>
      </c>
      <c r="E2230" t="inlineStr">
        <is>
          <t>BOLLNÄS</t>
        </is>
      </c>
      <c r="G2230" t="n">
        <v>0.2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16068-2026</t>
        </is>
      </c>
      <c r="B2231" s="1" t="n">
        <v>46108.53021990741</v>
      </c>
      <c r="C2231" s="1" t="n">
        <v>46180</v>
      </c>
      <c r="D2231" t="inlineStr">
        <is>
          <t>GÄVLEBORGS LÄN</t>
        </is>
      </c>
      <c r="E2231" t="inlineStr">
        <is>
          <t>BOLLNÄS</t>
        </is>
      </c>
      <c r="G2231" t="n">
        <v>4.7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16071-2026</t>
        </is>
      </c>
      <c r="B2232" s="1" t="n">
        <v>46108</v>
      </c>
      <c r="C2232" s="1" t="n">
        <v>46180</v>
      </c>
      <c r="D2232" t="inlineStr">
        <is>
          <t>GÄVLEBORGS LÄN</t>
        </is>
      </c>
      <c r="E2232" t="inlineStr">
        <is>
          <t>BOLLNÄS</t>
        </is>
      </c>
      <c r="G2232" t="n">
        <v>4.5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16072-2026</t>
        </is>
      </c>
      <c r="B2233" s="1" t="n">
        <v>46108</v>
      </c>
      <c r="C2233" s="1" t="n">
        <v>46180</v>
      </c>
      <c r="D2233" t="inlineStr">
        <is>
          <t>GÄVLEBORGS LÄN</t>
        </is>
      </c>
      <c r="E2233" t="inlineStr">
        <is>
          <t>BOLLNÄS</t>
        </is>
      </c>
      <c r="G2233" t="n">
        <v>3.3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16156-2026</t>
        </is>
      </c>
      <c r="B2234" s="1" t="n">
        <v>46108.73914351852</v>
      </c>
      <c r="C2234" s="1" t="n">
        <v>46180</v>
      </c>
      <c r="D2234" t="inlineStr">
        <is>
          <t>GÄVLEBORGS LÄN</t>
        </is>
      </c>
      <c r="E2234" t="inlineStr">
        <is>
          <t>BOLLNÄS</t>
        </is>
      </c>
      <c r="F2234" t="inlineStr">
        <is>
          <t>Bergvik skog väst AB</t>
        </is>
      </c>
      <c r="G2234" t="n">
        <v>3.4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20767-2026</t>
        </is>
      </c>
      <c r="B2235" s="1" t="n">
        <v>46141</v>
      </c>
      <c r="C2235" s="1" t="n">
        <v>46180</v>
      </c>
      <c r="D2235" t="inlineStr">
        <is>
          <t>GÄVLEBORGS LÄN</t>
        </is>
      </c>
      <c r="E2235" t="inlineStr">
        <is>
          <t>BOLLNÄS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20768-2026</t>
        </is>
      </c>
      <c r="B2236" s="1" t="n">
        <v>46141</v>
      </c>
      <c r="C2236" s="1" t="n">
        <v>46180</v>
      </c>
      <c r="D2236" t="inlineStr">
        <is>
          <t>GÄVLEBORGS LÄN</t>
        </is>
      </c>
      <c r="E2236" t="inlineStr">
        <is>
          <t>BOLLNÄS</t>
        </is>
      </c>
      <c r="G2236" t="n">
        <v>2.6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22002-2026</t>
        </is>
      </c>
      <c r="B2237" s="1" t="n">
        <v>46153.3693287037</v>
      </c>
      <c r="C2237" s="1" t="n">
        <v>46180</v>
      </c>
      <c r="D2237" t="inlineStr">
        <is>
          <t>GÄVLEBORGS LÄN</t>
        </is>
      </c>
      <c r="E2237" t="inlineStr">
        <is>
          <t>BOLLNÄS</t>
        </is>
      </c>
      <c r="F2237" t="inlineStr">
        <is>
          <t>Bergvik skog väst AB</t>
        </is>
      </c>
      <c r="G2237" t="n">
        <v>9.199999999999999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69613-2021</t>
        </is>
      </c>
      <c r="B2238" s="1" t="n">
        <v>44532</v>
      </c>
      <c r="C2238" s="1" t="n">
        <v>46180</v>
      </c>
      <c r="D2238" t="inlineStr">
        <is>
          <t>GÄVLEBORGS LÄN</t>
        </is>
      </c>
      <c r="E2238" t="inlineStr">
        <is>
          <t>BOLLNÄS</t>
        </is>
      </c>
      <c r="F2238" t="inlineStr">
        <is>
          <t>Bergvik skog väst AB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21790-2026</t>
        </is>
      </c>
      <c r="B2239" s="1" t="n">
        <v>46150.39863425926</v>
      </c>
      <c r="C2239" s="1" t="n">
        <v>46180</v>
      </c>
      <c r="D2239" t="inlineStr">
        <is>
          <t>GÄVLEBORGS LÄN</t>
        </is>
      </c>
      <c r="E2239" t="inlineStr">
        <is>
          <t>BOLLNÄS</t>
        </is>
      </c>
      <c r="G2239" t="n">
        <v>4.1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16400-2026</t>
        </is>
      </c>
      <c r="B2240" s="1" t="n">
        <v>46111</v>
      </c>
      <c r="C2240" s="1" t="n">
        <v>46180</v>
      </c>
      <c r="D2240" t="inlineStr">
        <is>
          <t>GÄVLEBORGS LÄN</t>
        </is>
      </c>
      <c r="E2240" t="inlineStr">
        <is>
          <t>BOLLNÄS</t>
        </is>
      </c>
      <c r="F2240" t="inlineStr">
        <is>
          <t>Bergvik skog väst AB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22178-2026</t>
        </is>
      </c>
      <c r="B2241" s="1" t="n">
        <v>46153.64483796297</v>
      </c>
      <c r="C2241" s="1" t="n">
        <v>46180</v>
      </c>
      <c r="D2241" t="inlineStr">
        <is>
          <t>GÄVLEBORGS LÄN</t>
        </is>
      </c>
      <c r="E2241" t="inlineStr">
        <is>
          <t>BOLLNÄS</t>
        </is>
      </c>
      <c r="G2241" t="n">
        <v>9.6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16015-2026</t>
        </is>
      </c>
      <c r="B2242" s="1" t="n">
        <v>46108.43037037037</v>
      </c>
      <c r="C2242" s="1" t="n">
        <v>46180</v>
      </c>
      <c r="D2242" t="inlineStr">
        <is>
          <t>GÄVLEBORGS LÄN</t>
        </is>
      </c>
      <c r="E2242" t="inlineStr">
        <is>
          <t>BOLLNÄS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16070-2026</t>
        </is>
      </c>
      <c r="B2243" s="1" t="n">
        <v>46108</v>
      </c>
      <c r="C2243" s="1" t="n">
        <v>46180</v>
      </c>
      <c r="D2243" t="inlineStr">
        <is>
          <t>GÄVLEBORGS LÄN</t>
        </is>
      </c>
      <c r="E2243" t="inlineStr">
        <is>
          <t>BOLLNÄS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20770-2026</t>
        </is>
      </c>
      <c r="B2244" s="1" t="n">
        <v>46141</v>
      </c>
      <c r="C2244" s="1" t="n">
        <v>46180</v>
      </c>
      <c r="D2244" t="inlineStr">
        <is>
          <t>GÄVLEBORGS LÄN</t>
        </is>
      </c>
      <c r="E2244" t="inlineStr">
        <is>
          <t>BOLLNÄS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22206-2026</t>
        </is>
      </c>
      <c r="B2245" s="1" t="n">
        <v>46153.67775462963</v>
      </c>
      <c r="C2245" s="1" t="n">
        <v>46180</v>
      </c>
      <c r="D2245" t="inlineStr">
        <is>
          <t>GÄVLEBORGS LÄN</t>
        </is>
      </c>
      <c r="E2245" t="inlineStr">
        <is>
          <t>BOLLNÄS</t>
        </is>
      </c>
      <c r="G2245" t="n">
        <v>3.8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44628-2025</t>
        </is>
      </c>
      <c r="B2246" s="1" t="n">
        <v>45917</v>
      </c>
      <c r="C2246" s="1" t="n">
        <v>46180</v>
      </c>
      <c r="D2246" t="inlineStr">
        <is>
          <t>GÄVLEBORGS LÄN</t>
        </is>
      </c>
      <c r="E2246" t="inlineStr">
        <is>
          <t>BOLLNÄS</t>
        </is>
      </c>
      <c r="G2246" t="n">
        <v>2.7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15948-2026</t>
        </is>
      </c>
      <c r="B2247" s="1" t="n">
        <v>46107.78731481481</v>
      </c>
      <c r="C2247" s="1" t="n">
        <v>46180</v>
      </c>
      <c r="D2247" t="inlineStr">
        <is>
          <t>GÄVLEBORGS LÄN</t>
        </is>
      </c>
      <c r="E2247" t="inlineStr">
        <is>
          <t>BOLLNÄS</t>
        </is>
      </c>
      <c r="G2247" t="n">
        <v>3.2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22601-2026</t>
        </is>
      </c>
      <c r="B2248" s="1" t="n">
        <v>46155.59202546296</v>
      </c>
      <c r="C2248" s="1" t="n">
        <v>46180</v>
      </c>
      <c r="D2248" t="inlineStr">
        <is>
          <t>GÄVLEBORGS LÄN</t>
        </is>
      </c>
      <c r="E2248" t="inlineStr">
        <is>
          <t>BOLLNÄS</t>
        </is>
      </c>
      <c r="G2248" t="n">
        <v>3.2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60956-2022</t>
        </is>
      </c>
      <c r="B2249" s="1" t="n">
        <v>44914</v>
      </c>
      <c r="C2249" s="1" t="n">
        <v>46180</v>
      </c>
      <c r="D2249" t="inlineStr">
        <is>
          <t>GÄVLEBORGS LÄN</t>
        </is>
      </c>
      <c r="E2249" t="inlineStr">
        <is>
          <t>BOLLNÄS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20867-2026</t>
        </is>
      </c>
      <c r="B2250" s="1" t="n">
        <v>46142</v>
      </c>
      <c r="C2250" s="1" t="n">
        <v>46180</v>
      </c>
      <c r="D2250" t="inlineStr">
        <is>
          <t>GÄVLEBORGS LÄN</t>
        </is>
      </c>
      <c r="E2250" t="inlineStr">
        <is>
          <t>BOLLNÄS</t>
        </is>
      </c>
      <c r="F2250" t="inlineStr">
        <is>
          <t>Bergvik skog väst AB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20869-2026</t>
        </is>
      </c>
      <c r="B2251" s="1" t="n">
        <v>46142</v>
      </c>
      <c r="C2251" s="1" t="n">
        <v>46180</v>
      </c>
      <c r="D2251" t="inlineStr">
        <is>
          <t>GÄVLEBORGS LÄN</t>
        </is>
      </c>
      <c r="E2251" t="inlineStr">
        <is>
          <t>BOLLNÄS</t>
        </is>
      </c>
      <c r="F2251" t="inlineStr">
        <is>
          <t>Bergvik skog väst AB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20872-2026</t>
        </is>
      </c>
      <c r="B2252" s="1" t="n">
        <v>46142</v>
      </c>
      <c r="C2252" s="1" t="n">
        <v>46180</v>
      </c>
      <c r="D2252" t="inlineStr">
        <is>
          <t>GÄVLEBORGS LÄN</t>
        </is>
      </c>
      <c r="E2252" t="inlineStr">
        <is>
          <t>BOLLNÄS</t>
        </is>
      </c>
      <c r="F2252" t="inlineStr">
        <is>
          <t>Bergvik skog väst AB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16871-2026</t>
        </is>
      </c>
      <c r="B2253" s="1" t="n">
        <v>46113.58380787037</v>
      </c>
      <c r="C2253" s="1" t="n">
        <v>46180</v>
      </c>
      <c r="D2253" t="inlineStr">
        <is>
          <t>GÄVLEBORGS LÄN</t>
        </is>
      </c>
      <c r="E2253" t="inlineStr">
        <is>
          <t>BOLLNÄS</t>
        </is>
      </c>
      <c r="G2253" t="n">
        <v>2.2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16565-2026</t>
        </is>
      </c>
      <c r="B2254" s="1" t="n">
        <v>46112.55679398148</v>
      </c>
      <c r="C2254" s="1" t="n">
        <v>46180</v>
      </c>
      <c r="D2254" t="inlineStr">
        <is>
          <t>GÄVLEBORGS LÄN</t>
        </is>
      </c>
      <c r="E2254" t="inlineStr">
        <is>
          <t>BOLLNÄS</t>
        </is>
      </c>
      <c r="G2254" t="n">
        <v>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16529-2026</t>
        </is>
      </c>
      <c r="B2255" s="1" t="n">
        <v>46112</v>
      </c>
      <c r="C2255" s="1" t="n">
        <v>46180</v>
      </c>
      <c r="D2255" t="inlineStr">
        <is>
          <t>GÄVLEBORGS LÄN</t>
        </is>
      </c>
      <c r="E2255" t="inlineStr">
        <is>
          <t>BOLLNÄS</t>
        </is>
      </c>
      <c r="G2255" t="n">
        <v>5.9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16550-2026</t>
        </is>
      </c>
      <c r="B2256" s="1" t="n">
        <v>46112.53052083333</v>
      </c>
      <c r="C2256" s="1" t="n">
        <v>46180</v>
      </c>
      <c r="D2256" t="inlineStr">
        <is>
          <t>GÄVLEBORGS LÄN</t>
        </is>
      </c>
      <c r="E2256" t="inlineStr">
        <is>
          <t>BOLLNÄS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16858-2026</t>
        </is>
      </c>
      <c r="B2257" s="1" t="n">
        <v>46113.56780092593</v>
      </c>
      <c r="C2257" s="1" t="n">
        <v>46180</v>
      </c>
      <c r="D2257" t="inlineStr">
        <is>
          <t>GÄVLEBORGS LÄN</t>
        </is>
      </c>
      <c r="E2257" t="inlineStr">
        <is>
          <t>BOLLNÄS</t>
        </is>
      </c>
      <c r="G2257" t="n">
        <v>3.5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20678-2026</t>
        </is>
      </c>
      <c r="B2258" s="1" t="n">
        <v>46141</v>
      </c>
      <c r="C2258" s="1" t="n">
        <v>46180</v>
      </c>
      <c r="D2258" t="inlineStr">
        <is>
          <t>GÄVLEBORGS LÄN</t>
        </is>
      </c>
      <c r="E2258" t="inlineStr">
        <is>
          <t>BOLLNÄS</t>
        </is>
      </c>
      <c r="F2258" t="inlineStr">
        <is>
          <t>Bergvik skog väst AB</t>
        </is>
      </c>
      <c r="G2258" t="n">
        <v>4.7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22502-2026</t>
        </is>
      </c>
      <c r="B2259" s="1" t="n">
        <v>46155.43056712963</v>
      </c>
      <c r="C2259" s="1" t="n">
        <v>46180</v>
      </c>
      <c r="D2259" t="inlineStr">
        <is>
          <t>GÄVLEBORGS LÄN</t>
        </is>
      </c>
      <c r="E2259" t="inlineStr">
        <is>
          <t>BOLLNÄS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22503-2026</t>
        </is>
      </c>
      <c r="B2260" s="1" t="n">
        <v>46155.43142361111</v>
      </c>
      <c r="C2260" s="1" t="n">
        <v>46180</v>
      </c>
      <c r="D2260" t="inlineStr">
        <is>
          <t>GÄVLEBORGS LÄN</t>
        </is>
      </c>
      <c r="E2260" t="inlineStr">
        <is>
          <t>BOLLNÄS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16463-2026</t>
        </is>
      </c>
      <c r="B2261" s="1" t="n">
        <v>46112</v>
      </c>
      <c r="C2261" s="1" t="n">
        <v>46180</v>
      </c>
      <c r="D2261" t="inlineStr">
        <is>
          <t>GÄVLEBORGS LÄN</t>
        </is>
      </c>
      <c r="E2261" t="inlineStr">
        <is>
          <t>BOLLNÄS</t>
        </is>
      </c>
      <c r="F2261" t="inlineStr">
        <is>
          <t>Bergvik skog väst AB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16566-2026</t>
        </is>
      </c>
      <c r="B2262" s="1" t="n">
        <v>46112</v>
      </c>
      <c r="C2262" s="1" t="n">
        <v>46180</v>
      </c>
      <c r="D2262" t="inlineStr">
        <is>
          <t>GÄVLEBORGS LÄN</t>
        </is>
      </c>
      <c r="E2262" t="inlineStr">
        <is>
          <t>BOLLNÄS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16568-2026</t>
        </is>
      </c>
      <c r="B2263" s="1" t="n">
        <v>46112.560625</v>
      </c>
      <c r="C2263" s="1" t="n">
        <v>46180</v>
      </c>
      <c r="D2263" t="inlineStr">
        <is>
          <t>GÄVLEBORGS LÄN</t>
        </is>
      </c>
      <c r="E2263" t="inlineStr">
        <is>
          <t>BOLLNÄS</t>
        </is>
      </c>
      <c r="G2263" t="n">
        <v>3.1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22496-2026</t>
        </is>
      </c>
      <c r="B2264" s="1" t="n">
        <v>46155.42752314815</v>
      </c>
      <c r="C2264" s="1" t="n">
        <v>46180</v>
      </c>
      <c r="D2264" t="inlineStr">
        <is>
          <t>GÄVLEBORGS LÄN</t>
        </is>
      </c>
      <c r="E2264" t="inlineStr">
        <is>
          <t>BOLLNÄS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16623-2026</t>
        </is>
      </c>
      <c r="B2265" s="1" t="n">
        <v>46112</v>
      </c>
      <c r="C2265" s="1" t="n">
        <v>46180</v>
      </c>
      <c r="D2265" t="inlineStr">
        <is>
          <t>GÄVLEBORGS LÄN</t>
        </is>
      </c>
      <c r="E2265" t="inlineStr">
        <is>
          <t>BOLLNÄS</t>
        </is>
      </c>
      <c r="G2265" t="n">
        <v>2.4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24742-2024</t>
        </is>
      </c>
      <c r="B2266" s="1" t="n">
        <v>45460.66289351852</v>
      </c>
      <c r="C2266" s="1" t="n">
        <v>46180</v>
      </c>
      <c r="D2266" t="inlineStr">
        <is>
          <t>GÄVLEBORGS LÄN</t>
        </is>
      </c>
      <c r="E2266" t="inlineStr">
        <is>
          <t>BOLLNÄS</t>
        </is>
      </c>
      <c r="G2266" t="n">
        <v>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20620-2026</t>
        </is>
      </c>
      <c r="B2267" s="1" t="n">
        <v>46141</v>
      </c>
      <c r="C2267" s="1" t="n">
        <v>46180</v>
      </c>
      <c r="D2267" t="inlineStr">
        <is>
          <t>GÄVLEBORGS LÄN</t>
        </is>
      </c>
      <c r="E2267" t="inlineStr">
        <is>
          <t>BOLLNÄS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20483-2026</t>
        </is>
      </c>
      <c r="B2268" s="1" t="n">
        <v>46140</v>
      </c>
      <c r="C2268" s="1" t="n">
        <v>46180</v>
      </c>
      <c r="D2268" t="inlineStr">
        <is>
          <t>GÄVLEBORGS LÄN</t>
        </is>
      </c>
      <c r="E2268" t="inlineStr">
        <is>
          <t>BOLLNÄS</t>
        </is>
      </c>
      <c r="F2268" t="inlineStr">
        <is>
          <t>Bergvik skog väst AB</t>
        </is>
      </c>
      <c r="G2268" t="n">
        <v>2.4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20690-2026</t>
        </is>
      </c>
      <c r="B2269" s="1" t="n">
        <v>46141</v>
      </c>
      <c r="C2269" s="1" t="n">
        <v>46180</v>
      </c>
      <c r="D2269" t="inlineStr">
        <is>
          <t>GÄVLEBORGS LÄN</t>
        </is>
      </c>
      <c r="E2269" t="inlineStr">
        <is>
          <t>BOLLNÄS</t>
        </is>
      </c>
      <c r="F2269" t="inlineStr">
        <is>
          <t>Bergvik skog väst AB</t>
        </is>
      </c>
      <c r="G2269" t="n">
        <v>5.2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23365-2024</t>
        </is>
      </c>
      <c r="B2270" s="1" t="n">
        <v>45453.54730324074</v>
      </c>
      <c r="C2270" s="1" t="n">
        <v>46180</v>
      </c>
      <c r="D2270" t="inlineStr">
        <is>
          <t>GÄVLEBORGS LÄN</t>
        </is>
      </c>
      <c r="E2270" t="inlineStr">
        <is>
          <t>BOLLNÄS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16461-2026</t>
        </is>
      </c>
      <c r="B2271" s="1" t="n">
        <v>46112.3575462963</v>
      </c>
      <c r="C2271" s="1" t="n">
        <v>46180</v>
      </c>
      <c r="D2271" t="inlineStr">
        <is>
          <t>GÄVLEBORGS LÄN</t>
        </is>
      </c>
      <c r="E2271" t="inlineStr">
        <is>
          <t>BOLLNÄS</t>
        </is>
      </c>
      <c r="F2271" t="inlineStr">
        <is>
          <t>Bergvik skog väst AB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22311-2026</t>
        </is>
      </c>
      <c r="B2272" s="1" t="n">
        <v>46154.4719212963</v>
      </c>
      <c r="C2272" s="1" t="n">
        <v>46180</v>
      </c>
      <c r="D2272" t="inlineStr">
        <is>
          <t>GÄVLEBORGS LÄN</t>
        </is>
      </c>
      <c r="E2272" t="inlineStr">
        <is>
          <t>BOLLNÄS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22540-2026</t>
        </is>
      </c>
      <c r="B2273" s="1" t="n">
        <v>46155.4960300926</v>
      </c>
      <c r="C2273" s="1" t="n">
        <v>46180</v>
      </c>
      <c r="D2273" t="inlineStr">
        <is>
          <t>GÄVLEBORGS LÄN</t>
        </is>
      </c>
      <c r="E2273" t="inlineStr">
        <is>
          <t>BOLLNÄS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16451-2026</t>
        </is>
      </c>
      <c r="B2274" s="1" t="n">
        <v>46112.33521990741</v>
      </c>
      <c r="C2274" s="1" t="n">
        <v>46180</v>
      </c>
      <c r="D2274" t="inlineStr">
        <is>
          <t>GÄVLEBORGS LÄN</t>
        </is>
      </c>
      <c r="E2274" t="inlineStr">
        <is>
          <t>BOLLNÄS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16453-2026</t>
        </is>
      </c>
      <c r="B2275" s="1" t="n">
        <v>46112.34298611111</v>
      </c>
      <c r="C2275" s="1" t="n">
        <v>46180</v>
      </c>
      <c r="D2275" t="inlineStr">
        <is>
          <t>GÄVLEBORGS LÄN</t>
        </is>
      </c>
      <c r="E2275" t="inlineStr">
        <is>
          <t>BOLLNÄS</t>
        </is>
      </c>
      <c r="F2275" t="inlineStr">
        <is>
          <t>Bergvik skog väst AB</t>
        </is>
      </c>
      <c r="G2275" t="n">
        <v>4.9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16460-2026</t>
        </is>
      </c>
      <c r="B2276" s="1" t="n">
        <v>46112.35299768519</v>
      </c>
      <c r="C2276" s="1" t="n">
        <v>46180</v>
      </c>
      <c r="D2276" t="inlineStr">
        <is>
          <t>GÄVLEBORGS LÄN</t>
        </is>
      </c>
      <c r="E2276" t="inlineStr">
        <is>
          <t>BOLLNÄS</t>
        </is>
      </c>
      <c r="F2276" t="inlineStr">
        <is>
          <t>Bergvik skog väst AB</t>
        </is>
      </c>
      <c r="G2276" t="n">
        <v>2.9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16589-2026</t>
        </is>
      </c>
      <c r="B2277" s="1" t="n">
        <v>46112.5850462963</v>
      </c>
      <c r="C2277" s="1" t="n">
        <v>46180</v>
      </c>
      <c r="D2277" t="inlineStr">
        <is>
          <t>GÄVLEBORGS LÄN</t>
        </is>
      </c>
      <c r="E2277" t="inlineStr">
        <is>
          <t>BOLLNÄS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16459-2026</t>
        </is>
      </c>
      <c r="B2278" s="1" t="n">
        <v>46112.34875</v>
      </c>
      <c r="C2278" s="1" t="n">
        <v>46180</v>
      </c>
      <c r="D2278" t="inlineStr">
        <is>
          <t>GÄVLEBORGS LÄN</t>
        </is>
      </c>
      <c r="E2278" t="inlineStr">
        <is>
          <t>BOLLNÄS</t>
        </is>
      </c>
      <c r="F2278" t="inlineStr">
        <is>
          <t>Bergvik skog väst AB</t>
        </is>
      </c>
      <c r="G2278" t="n">
        <v>5.9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16450-2026</t>
        </is>
      </c>
      <c r="B2279" s="1" t="n">
        <v>46112</v>
      </c>
      <c r="C2279" s="1" t="n">
        <v>46180</v>
      </c>
      <c r="D2279" t="inlineStr">
        <is>
          <t>GÄVLEBORGS LÄN</t>
        </is>
      </c>
      <c r="E2279" t="inlineStr">
        <is>
          <t>BOLLNÄS</t>
        </is>
      </c>
      <c r="F2279" t="inlineStr">
        <is>
          <t>Bergvik skog väst AB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16464-2026</t>
        </is>
      </c>
      <c r="B2280" s="1" t="n">
        <v>46112</v>
      </c>
      <c r="C2280" s="1" t="n">
        <v>46180</v>
      </c>
      <c r="D2280" t="inlineStr">
        <is>
          <t>GÄVLEBORGS LÄN</t>
        </is>
      </c>
      <c r="E2280" t="inlineStr">
        <is>
          <t>BOLLNÄS</t>
        </is>
      </c>
      <c r="G2280" t="n">
        <v>2.9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16592-2026</t>
        </is>
      </c>
      <c r="B2281" s="1" t="n">
        <v>46112.58784722222</v>
      </c>
      <c r="C2281" s="1" t="n">
        <v>46180</v>
      </c>
      <c r="D2281" t="inlineStr">
        <is>
          <t>GÄVLEBORGS LÄN</t>
        </is>
      </c>
      <c r="E2281" t="inlineStr">
        <is>
          <t>BOLLNÄS</t>
        </is>
      </c>
      <c r="F2281" t="inlineStr">
        <is>
          <t>Bergvik skog väst AB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16635-2026</t>
        </is>
      </c>
      <c r="B2282" s="1" t="n">
        <v>46112.62728009259</v>
      </c>
      <c r="C2282" s="1" t="n">
        <v>46180</v>
      </c>
      <c r="D2282" t="inlineStr">
        <is>
          <t>GÄVLEBORGS LÄN</t>
        </is>
      </c>
      <c r="E2282" t="inlineStr">
        <is>
          <t>BOLLNÄS</t>
        </is>
      </c>
      <c r="G2282" t="n">
        <v>1.9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22510-2026</t>
        </is>
      </c>
      <c r="B2283" s="1" t="n">
        <v>46155.44393518518</v>
      </c>
      <c r="C2283" s="1" t="n">
        <v>46180</v>
      </c>
      <c r="D2283" t="inlineStr">
        <is>
          <t>GÄVLEBORGS LÄN</t>
        </is>
      </c>
      <c r="E2283" t="inlineStr">
        <is>
          <t>BOLLNÄS</t>
        </is>
      </c>
      <c r="G2283" t="n">
        <v>6.1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16864-2026</t>
        </is>
      </c>
      <c r="B2284" s="1" t="n">
        <v>46113.5734375</v>
      </c>
      <c r="C2284" s="1" t="n">
        <v>46180</v>
      </c>
      <c r="D2284" t="inlineStr">
        <is>
          <t>GÄVLEBORGS LÄN</t>
        </is>
      </c>
      <c r="E2284" t="inlineStr">
        <is>
          <t>BOLLNÄS</t>
        </is>
      </c>
      <c r="G2284" t="n">
        <v>2.2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16700-2026</t>
        </is>
      </c>
      <c r="B2285" s="1" t="n">
        <v>46113</v>
      </c>
      <c r="C2285" s="1" t="n">
        <v>46180</v>
      </c>
      <c r="D2285" t="inlineStr">
        <is>
          <t>GÄVLEBORGS LÄN</t>
        </is>
      </c>
      <c r="E2285" t="inlineStr">
        <is>
          <t>BOLLNÄS</t>
        </is>
      </c>
      <c r="G2285" t="n">
        <v>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22489-2026</t>
        </is>
      </c>
      <c r="B2286" s="1" t="n">
        <v>46155.42459490741</v>
      </c>
      <c r="C2286" s="1" t="n">
        <v>46180</v>
      </c>
      <c r="D2286" t="inlineStr">
        <is>
          <t>GÄVLEBORGS LÄN</t>
        </is>
      </c>
      <c r="E2286" t="inlineStr">
        <is>
          <t>BOLLNÄS</t>
        </is>
      </c>
      <c r="G2286" t="n">
        <v>4.8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35067-2023</t>
        </is>
      </c>
      <c r="B2287" s="1" t="n">
        <v>45145.41471064815</v>
      </c>
      <c r="C2287" s="1" t="n">
        <v>46180</v>
      </c>
      <c r="D2287" t="inlineStr">
        <is>
          <t>GÄVLEBORGS LÄN</t>
        </is>
      </c>
      <c r="E2287" t="inlineStr">
        <is>
          <t>BOLLNÄS</t>
        </is>
      </c>
      <c r="G2287" t="n">
        <v>3.2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20780-2026</t>
        </is>
      </c>
      <c r="B2288" s="1" t="n">
        <v>46141</v>
      </c>
      <c r="C2288" s="1" t="n">
        <v>46180</v>
      </c>
      <c r="D2288" t="inlineStr">
        <is>
          <t>GÄVLEBORGS LÄN</t>
        </is>
      </c>
      <c r="E2288" t="inlineStr">
        <is>
          <t>BOLLNÄS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20865-2026</t>
        </is>
      </c>
      <c r="B2289" s="1" t="n">
        <v>46142</v>
      </c>
      <c r="C2289" s="1" t="n">
        <v>46180</v>
      </c>
      <c r="D2289" t="inlineStr">
        <is>
          <t>GÄVLEBORGS LÄN</t>
        </is>
      </c>
      <c r="E2289" t="inlineStr">
        <is>
          <t>BOLLNÄS</t>
        </is>
      </c>
      <c r="F2289" t="inlineStr">
        <is>
          <t>Bergvik skog väst AB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22625-2026</t>
        </is>
      </c>
      <c r="B2290" s="1" t="n">
        <v>46155.63512731482</v>
      </c>
      <c r="C2290" s="1" t="n">
        <v>46180</v>
      </c>
      <c r="D2290" t="inlineStr">
        <is>
          <t>GÄVLEBORGS LÄN</t>
        </is>
      </c>
      <c r="E2290" t="inlineStr">
        <is>
          <t>BOLLNÄS</t>
        </is>
      </c>
      <c r="G2290" t="n">
        <v>1.8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3939-2026</t>
        </is>
      </c>
      <c r="B2291" s="1" t="n">
        <v>46043</v>
      </c>
      <c r="C2291" s="1" t="n">
        <v>46180</v>
      </c>
      <c r="D2291" t="inlineStr">
        <is>
          <t>GÄVLEBORGS LÄN</t>
        </is>
      </c>
      <c r="E2291" t="inlineStr">
        <is>
          <t>BOLLNÄS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16721-2026</t>
        </is>
      </c>
      <c r="B2292" s="1" t="n">
        <v>46113.35756944444</v>
      </c>
      <c r="C2292" s="1" t="n">
        <v>46180</v>
      </c>
      <c r="D2292" t="inlineStr">
        <is>
          <t>GÄVLEBORGS LÄN</t>
        </is>
      </c>
      <c r="E2292" t="inlineStr">
        <is>
          <t>BOLLNÄS</t>
        </is>
      </c>
      <c r="F2292" t="inlineStr">
        <is>
          <t>Bergvik skog väst AB</t>
        </is>
      </c>
      <c r="G2292" t="n">
        <v>2.8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16942-2026</t>
        </is>
      </c>
      <c r="B2293" s="1" t="n">
        <v>46113</v>
      </c>
      <c r="C2293" s="1" t="n">
        <v>46180</v>
      </c>
      <c r="D2293" t="inlineStr">
        <is>
          <t>GÄVLEBORGS LÄN</t>
        </is>
      </c>
      <c r="E2293" t="inlineStr">
        <is>
          <t>BOLLNÄS</t>
        </is>
      </c>
      <c r="G2293" t="n">
        <v>3.2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20263-2026</t>
        </is>
      </c>
      <c r="B2294" s="1" t="n">
        <v>46139.49690972222</v>
      </c>
      <c r="C2294" s="1" t="n">
        <v>46180</v>
      </c>
      <c r="D2294" t="inlineStr">
        <is>
          <t>GÄVLEBORGS LÄN</t>
        </is>
      </c>
      <c r="E2294" t="inlineStr">
        <is>
          <t>BOLLNÄS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20859-2026</t>
        </is>
      </c>
      <c r="B2295" s="1" t="n">
        <v>46142</v>
      </c>
      <c r="C2295" s="1" t="n">
        <v>46180</v>
      </c>
      <c r="D2295" t="inlineStr">
        <is>
          <t>GÄVLEBORGS LÄN</t>
        </is>
      </c>
      <c r="E2295" t="inlineStr">
        <is>
          <t>BOLLNÄS</t>
        </is>
      </c>
      <c r="F2295" t="inlineStr">
        <is>
          <t>Bergvik skog väst AB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22300-2026</t>
        </is>
      </c>
      <c r="B2296" s="1" t="n">
        <v>46154.45752314815</v>
      </c>
      <c r="C2296" s="1" t="n">
        <v>46180</v>
      </c>
      <c r="D2296" t="inlineStr">
        <is>
          <t>GÄVLEBORGS LÄN</t>
        </is>
      </c>
      <c r="E2296" t="inlineStr">
        <is>
          <t>BOLLNÄS</t>
        </is>
      </c>
      <c r="G2296" t="n">
        <v>3.8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22301-2026</t>
        </is>
      </c>
      <c r="B2297" s="1" t="n">
        <v>46154.45929398148</v>
      </c>
      <c r="C2297" s="1" t="n">
        <v>46180</v>
      </c>
      <c r="D2297" t="inlineStr">
        <is>
          <t>GÄVLEBORGS LÄN</t>
        </is>
      </c>
      <c r="E2297" t="inlineStr">
        <is>
          <t>BOLLNÄS</t>
        </is>
      </c>
      <c r="G2297" t="n">
        <v>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21715-2026</t>
        </is>
      </c>
      <c r="B2298" s="1" t="n">
        <v>46149</v>
      </c>
      <c r="C2298" s="1" t="n">
        <v>46180</v>
      </c>
      <c r="D2298" t="inlineStr">
        <is>
          <t>GÄVLEBORGS LÄN</t>
        </is>
      </c>
      <c r="E2298" t="inlineStr">
        <is>
          <t>BOLLNÄS</t>
        </is>
      </c>
      <c r="G2298" t="n">
        <v>5.3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22532-2026</t>
        </is>
      </c>
      <c r="B2299" s="1" t="n">
        <v>46155.48023148148</v>
      </c>
      <c r="C2299" s="1" t="n">
        <v>46180</v>
      </c>
      <c r="D2299" t="inlineStr">
        <is>
          <t>GÄVLEBORGS LÄN</t>
        </is>
      </c>
      <c r="E2299" t="inlineStr">
        <is>
          <t>BOLLNÄS</t>
        </is>
      </c>
      <c r="G2299" t="n">
        <v>10.6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22629-2026</t>
        </is>
      </c>
      <c r="B2300" s="1" t="n">
        <v>46155.63784722222</v>
      </c>
      <c r="C2300" s="1" t="n">
        <v>46180</v>
      </c>
      <c r="D2300" t="inlineStr">
        <is>
          <t>GÄVLEBORGS LÄN</t>
        </is>
      </c>
      <c r="E2300" t="inlineStr">
        <is>
          <t>BOLLNÄS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21521-2026</t>
        </is>
      </c>
      <c r="B2301" s="1" t="n">
        <v>46148</v>
      </c>
      <c r="C2301" s="1" t="n">
        <v>46180</v>
      </c>
      <c r="D2301" t="inlineStr">
        <is>
          <t>GÄVLEBORGS LÄN</t>
        </is>
      </c>
      <c r="E2301" t="inlineStr">
        <is>
          <t>BOLLNÄS</t>
        </is>
      </c>
      <c r="G2301" t="n">
        <v>1.6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22254-2026</t>
        </is>
      </c>
      <c r="B2302" s="1" t="n">
        <v>46154.35722222222</v>
      </c>
      <c r="C2302" s="1" t="n">
        <v>46180</v>
      </c>
      <c r="D2302" t="inlineStr">
        <is>
          <t>GÄVLEBORGS LÄN</t>
        </is>
      </c>
      <c r="E2302" t="inlineStr">
        <is>
          <t>BOLLNÄS</t>
        </is>
      </c>
      <c r="G2302" t="n">
        <v>5.8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5892-2026</t>
        </is>
      </c>
      <c r="B2303" s="1" t="n">
        <v>46052</v>
      </c>
      <c r="C2303" s="1" t="n">
        <v>46180</v>
      </c>
      <c r="D2303" t="inlineStr">
        <is>
          <t>GÄVLEBORGS LÄN</t>
        </is>
      </c>
      <c r="E2303" t="inlineStr">
        <is>
          <t>BOLLNÄS</t>
        </is>
      </c>
      <c r="G2303" t="n">
        <v>3.6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7620-2026</t>
        </is>
      </c>
      <c r="B2304" s="1" t="n">
        <v>46062</v>
      </c>
      <c r="C2304" s="1" t="n">
        <v>46180</v>
      </c>
      <c r="D2304" t="inlineStr">
        <is>
          <t>GÄVLEBORGS LÄN</t>
        </is>
      </c>
      <c r="E2304" t="inlineStr">
        <is>
          <t>BOLLNÄS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3913-2026</t>
        </is>
      </c>
      <c r="B2305" s="1" t="n">
        <v>46043</v>
      </c>
      <c r="C2305" s="1" t="n">
        <v>46180</v>
      </c>
      <c r="D2305" t="inlineStr">
        <is>
          <t>GÄVLEBORGS LÄN</t>
        </is>
      </c>
      <c r="E2305" t="inlineStr">
        <is>
          <t>BOLLNÄS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16574-2026</t>
        </is>
      </c>
      <c r="B2306" s="1" t="n">
        <v>46112.56479166666</v>
      </c>
      <c r="C2306" s="1" t="n">
        <v>46180</v>
      </c>
      <c r="D2306" t="inlineStr">
        <is>
          <t>GÄVLEBORGS LÄN</t>
        </is>
      </c>
      <c r="E2306" t="inlineStr">
        <is>
          <t>BOLLNÄS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16599-2026</t>
        </is>
      </c>
      <c r="B2307" s="1" t="n">
        <v>46112.5968287037</v>
      </c>
      <c r="C2307" s="1" t="n">
        <v>46180</v>
      </c>
      <c r="D2307" t="inlineStr">
        <is>
          <t>GÄVLEBORGS LÄN</t>
        </is>
      </c>
      <c r="E2307" t="inlineStr">
        <is>
          <t>BOLLNÄS</t>
        </is>
      </c>
      <c r="G2307" t="n">
        <v>2.4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16605-2026</t>
        </is>
      </c>
      <c r="B2308" s="1" t="n">
        <v>46112.59818287037</v>
      </c>
      <c r="C2308" s="1" t="n">
        <v>46180</v>
      </c>
      <c r="D2308" t="inlineStr">
        <is>
          <t>GÄVLEBORGS LÄN</t>
        </is>
      </c>
      <c r="E2308" t="inlineStr">
        <is>
          <t>BOLLNÄS</t>
        </is>
      </c>
      <c r="F2308" t="inlineStr">
        <is>
          <t>Bergvik skog väst AB</t>
        </is>
      </c>
      <c r="G2308" t="n">
        <v>2.5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16620-2026</t>
        </is>
      </c>
      <c r="B2309" s="1" t="n">
        <v>46112</v>
      </c>
      <c r="C2309" s="1" t="n">
        <v>46180</v>
      </c>
      <c r="D2309" t="inlineStr">
        <is>
          <t>GÄVLEBORGS LÄN</t>
        </is>
      </c>
      <c r="E2309" t="inlineStr">
        <is>
          <t>BOLLNÄS</t>
        </is>
      </c>
      <c r="G2309" t="n">
        <v>4.3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22448-2026</t>
        </is>
      </c>
      <c r="B2310" s="1" t="n">
        <v>46155.34576388889</v>
      </c>
      <c r="C2310" s="1" t="n">
        <v>46180</v>
      </c>
      <c r="D2310" t="inlineStr">
        <is>
          <t>GÄVLEBORGS LÄN</t>
        </is>
      </c>
      <c r="E2310" t="inlineStr">
        <is>
          <t>BOLLNÄS</t>
        </is>
      </c>
      <c r="F2310" t="inlineStr">
        <is>
          <t>Bergvik skog väst AB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16575-2026</t>
        </is>
      </c>
      <c r="B2311" s="1" t="n">
        <v>46112.56564814815</v>
      </c>
      <c r="C2311" s="1" t="n">
        <v>46180</v>
      </c>
      <c r="D2311" t="inlineStr">
        <is>
          <t>GÄVLEBORGS LÄN</t>
        </is>
      </c>
      <c r="E2311" t="inlineStr">
        <is>
          <t>BOLLNÄS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21681-2026</t>
        </is>
      </c>
      <c r="B2312" s="1" t="n">
        <v>46149</v>
      </c>
      <c r="C2312" s="1" t="n">
        <v>46180</v>
      </c>
      <c r="D2312" t="inlineStr">
        <is>
          <t>GÄVLEBORGS LÄN</t>
        </is>
      </c>
      <c r="E2312" t="inlineStr">
        <is>
          <t>BOLLNÄS</t>
        </is>
      </c>
      <c r="G2312" t="n">
        <v>1.8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22316-2026</t>
        </is>
      </c>
      <c r="B2313" s="1" t="n">
        <v>46154.49431712963</v>
      </c>
      <c r="C2313" s="1" t="n">
        <v>46180</v>
      </c>
      <c r="D2313" t="inlineStr">
        <is>
          <t>GÄVLEBORGS LÄN</t>
        </is>
      </c>
      <c r="E2313" t="inlineStr">
        <is>
          <t>BOLLNÄS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22499-2026</t>
        </is>
      </c>
      <c r="B2314" s="1" t="n">
        <v>46155.42883101852</v>
      </c>
      <c r="C2314" s="1" t="n">
        <v>46180</v>
      </c>
      <c r="D2314" t="inlineStr">
        <is>
          <t>GÄVLEBORGS LÄN</t>
        </is>
      </c>
      <c r="E2314" t="inlineStr">
        <is>
          <t>BOLLNÄS</t>
        </is>
      </c>
      <c r="G2314" t="n">
        <v>4.5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16514-2026</t>
        </is>
      </c>
      <c r="B2315" s="1" t="n">
        <v>46112.45094907407</v>
      </c>
      <c r="C2315" s="1" t="n">
        <v>46180</v>
      </c>
      <c r="D2315" t="inlineStr">
        <is>
          <t>GÄVLEBORGS LÄN</t>
        </is>
      </c>
      <c r="E2315" t="inlineStr">
        <is>
          <t>BOLLNÄS</t>
        </is>
      </c>
      <c r="F2315" t="inlineStr">
        <is>
          <t>Bergvik skog väst AB</t>
        </is>
      </c>
      <c r="G2315" t="n">
        <v>5.5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20868-2026</t>
        </is>
      </c>
      <c r="B2316" s="1" t="n">
        <v>46142</v>
      </c>
      <c r="C2316" s="1" t="n">
        <v>46180</v>
      </c>
      <c r="D2316" t="inlineStr">
        <is>
          <t>GÄVLEBORGS LÄN</t>
        </is>
      </c>
      <c r="E2316" t="inlineStr">
        <is>
          <t>BOLLNÄS</t>
        </is>
      </c>
      <c r="F2316" t="inlineStr">
        <is>
          <t>Bergvik skog väst AB</t>
        </is>
      </c>
      <c r="G2316" t="n">
        <v>2.9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16619-2026</t>
        </is>
      </c>
      <c r="B2317" s="1" t="n">
        <v>46112</v>
      </c>
      <c r="C2317" s="1" t="n">
        <v>46180</v>
      </c>
      <c r="D2317" t="inlineStr">
        <is>
          <t>GÄVLEBORGS LÄN</t>
        </is>
      </c>
      <c r="E2317" t="inlineStr">
        <is>
          <t>BOLLNÄS</t>
        </is>
      </c>
      <c r="G2317" t="n">
        <v>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16622-2026</t>
        </is>
      </c>
      <c r="B2318" s="1" t="n">
        <v>46112</v>
      </c>
      <c r="C2318" s="1" t="n">
        <v>46180</v>
      </c>
      <c r="D2318" t="inlineStr">
        <is>
          <t>GÄVLEBORGS LÄN</t>
        </is>
      </c>
      <c r="E2318" t="inlineStr">
        <is>
          <t>BOLLNÄS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16637-2026</t>
        </is>
      </c>
      <c r="B2319" s="1" t="n">
        <v>46112.62802083333</v>
      </c>
      <c r="C2319" s="1" t="n">
        <v>46180</v>
      </c>
      <c r="D2319" t="inlineStr">
        <is>
          <t>GÄVLEBORGS LÄN</t>
        </is>
      </c>
      <c r="E2319" t="inlineStr">
        <is>
          <t>BOLLNÄS</t>
        </is>
      </c>
      <c r="F2319" t="inlineStr">
        <is>
          <t>Bergvik skog väst AB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17007-2026</t>
        </is>
      </c>
      <c r="B2320" s="1" t="n">
        <v>46114</v>
      </c>
      <c r="C2320" s="1" t="n">
        <v>46180</v>
      </c>
      <c r="D2320" t="inlineStr">
        <is>
          <t>GÄVLEBORGS LÄN</t>
        </is>
      </c>
      <c r="E2320" t="inlineStr">
        <is>
          <t>BOLLNÄS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17016-2026</t>
        </is>
      </c>
      <c r="B2321" s="1" t="n">
        <v>46114.43872685185</v>
      </c>
      <c r="C2321" s="1" t="n">
        <v>46180</v>
      </c>
      <c r="D2321" t="inlineStr">
        <is>
          <t>GÄVLEBORGS LÄN</t>
        </is>
      </c>
      <c r="E2321" t="inlineStr">
        <is>
          <t>BOLLNÄS</t>
        </is>
      </c>
      <c r="F2321" t="inlineStr">
        <is>
          <t>Holmen skog AB</t>
        </is>
      </c>
      <c r="G2321" t="n">
        <v>2.4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17776-2025</t>
        </is>
      </c>
      <c r="B2322" s="1" t="n">
        <v>45758.52517361111</v>
      </c>
      <c r="C2322" s="1" t="n">
        <v>46180</v>
      </c>
      <c r="D2322" t="inlineStr">
        <is>
          <t>GÄVLEBORGS LÄN</t>
        </is>
      </c>
      <c r="E2322" t="inlineStr">
        <is>
          <t>BOLLNÄS</t>
        </is>
      </c>
      <c r="G2322" t="n">
        <v>0.4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2932-2024</t>
        </is>
      </c>
      <c r="B2323" s="1" t="n">
        <v>45315.59603009259</v>
      </c>
      <c r="C2323" s="1" t="n">
        <v>46180</v>
      </c>
      <c r="D2323" t="inlineStr">
        <is>
          <t>GÄVLEBORGS LÄN</t>
        </is>
      </c>
      <c r="E2323" t="inlineStr">
        <is>
          <t>BOLLNÄS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5691-2022</t>
        </is>
      </c>
      <c r="B2324" s="1" t="n">
        <v>44596</v>
      </c>
      <c r="C2324" s="1" t="n">
        <v>46180</v>
      </c>
      <c r="D2324" t="inlineStr">
        <is>
          <t>GÄVLEBORGS LÄN</t>
        </is>
      </c>
      <c r="E2324" t="inlineStr">
        <is>
          <t>BOLLNÄS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17092-2026</t>
        </is>
      </c>
      <c r="B2325" s="1" t="n">
        <v>46114.58456018518</v>
      </c>
      <c r="C2325" s="1" t="n">
        <v>46180</v>
      </c>
      <c r="D2325" t="inlineStr">
        <is>
          <t>GÄVLEBORGS LÄN</t>
        </is>
      </c>
      <c r="E2325" t="inlineStr">
        <is>
          <t>BOLLNÄS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17093-2026</t>
        </is>
      </c>
      <c r="B2326" s="1" t="n">
        <v>46114.58547453704</v>
      </c>
      <c r="C2326" s="1" t="n">
        <v>46180</v>
      </c>
      <c r="D2326" t="inlineStr">
        <is>
          <t>GÄVLEBORGS LÄN</t>
        </is>
      </c>
      <c r="E2326" t="inlineStr">
        <is>
          <t>BOLLNÄS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22746-2026</t>
        </is>
      </c>
      <c r="B2327" s="1" t="n">
        <v>46157.42943287037</v>
      </c>
      <c r="C2327" s="1" t="n">
        <v>46180</v>
      </c>
      <c r="D2327" t="inlineStr">
        <is>
          <t>GÄVLEBORGS LÄN</t>
        </is>
      </c>
      <c r="E2327" t="inlineStr">
        <is>
          <t>BOLLNÄS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16992-2026</t>
        </is>
      </c>
      <c r="B2328" s="1" t="n">
        <v>46114.41744212963</v>
      </c>
      <c r="C2328" s="1" t="n">
        <v>46180</v>
      </c>
      <c r="D2328" t="inlineStr">
        <is>
          <t>GÄVLEBORGS LÄN</t>
        </is>
      </c>
      <c r="E2328" t="inlineStr">
        <is>
          <t>BOLLNÄS</t>
        </is>
      </c>
      <c r="F2328" t="inlineStr">
        <is>
          <t>Holmen skog AB</t>
        </is>
      </c>
      <c r="G2328" t="n">
        <v>2.4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17032-2026</t>
        </is>
      </c>
      <c r="B2329" s="1" t="n">
        <v>46114</v>
      </c>
      <c r="C2329" s="1" t="n">
        <v>46180</v>
      </c>
      <c r="D2329" t="inlineStr">
        <is>
          <t>GÄVLEBORGS LÄN</t>
        </is>
      </c>
      <c r="E2329" t="inlineStr">
        <is>
          <t>BOLLNÄS</t>
        </is>
      </c>
      <c r="G2329" t="n">
        <v>2.1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17070-2026</t>
        </is>
      </c>
      <c r="B2330" s="1" t="n">
        <v>46114</v>
      </c>
      <c r="C2330" s="1" t="n">
        <v>46180</v>
      </c>
      <c r="D2330" t="inlineStr">
        <is>
          <t>GÄVLEBORGS LÄN</t>
        </is>
      </c>
      <c r="E2330" t="inlineStr">
        <is>
          <t>BOLLNÄS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60426-2024</t>
        </is>
      </c>
      <c r="B2331" s="1" t="n">
        <v>45643</v>
      </c>
      <c r="C2331" s="1" t="n">
        <v>46180</v>
      </c>
      <c r="D2331" t="inlineStr">
        <is>
          <t>GÄVLEBORGS LÄN</t>
        </is>
      </c>
      <c r="E2331" t="inlineStr">
        <is>
          <t>BOLLNÄS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12800-2025</t>
        </is>
      </c>
      <c r="B2332" s="1" t="n">
        <v>45733.61204861111</v>
      </c>
      <c r="C2332" s="1" t="n">
        <v>46180</v>
      </c>
      <c r="D2332" t="inlineStr">
        <is>
          <t>GÄVLEBORGS LÄN</t>
        </is>
      </c>
      <c r="E2332" t="inlineStr">
        <is>
          <t>BOLLNÄS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12867-2025</t>
        </is>
      </c>
      <c r="B2333" s="1" t="n">
        <v>45733.67521990741</v>
      </c>
      <c r="C2333" s="1" t="n">
        <v>46180</v>
      </c>
      <c r="D2333" t="inlineStr">
        <is>
          <t>GÄVLEBORGS LÄN</t>
        </is>
      </c>
      <c r="E2333" t="inlineStr">
        <is>
          <t>BOLLNÄS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48308-2024</t>
        </is>
      </c>
      <c r="B2334" s="1" t="n">
        <v>45590.47798611111</v>
      </c>
      <c r="C2334" s="1" t="n">
        <v>46180</v>
      </c>
      <c r="D2334" t="inlineStr">
        <is>
          <t>GÄVLEBORGS LÄN</t>
        </is>
      </c>
      <c r="E2334" t="inlineStr">
        <is>
          <t>BOLLNÄS</t>
        </is>
      </c>
      <c r="G2334" t="n">
        <v>2.1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42643-2024</t>
        </is>
      </c>
      <c r="B2335" s="1" t="n">
        <v>45566.28908564815</v>
      </c>
      <c r="C2335" s="1" t="n">
        <v>46180</v>
      </c>
      <c r="D2335" t="inlineStr">
        <is>
          <t>GÄVLEBORGS LÄN</t>
        </is>
      </c>
      <c r="E2335" t="inlineStr">
        <is>
          <t>BOLLNÄS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42644-2024</t>
        </is>
      </c>
      <c r="B2336" s="1" t="n">
        <v>45566.29006944445</v>
      </c>
      <c r="C2336" s="1" t="n">
        <v>46180</v>
      </c>
      <c r="D2336" t="inlineStr">
        <is>
          <t>GÄVLEBORGS LÄN</t>
        </is>
      </c>
      <c r="E2336" t="inlineStr">
        <is>
          <t>BOLLNÄS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16998-2026</t>
        </is>
      </c>
      <c r="B2337" s="1" t="n">
        <v>46114.42623842593</v>
      </c>
      <c r="C2337" s="1" t="n">
        <v>46180</v>
      </c>
      <c r="D2337" t="inlineStr">
        <is>
          <t>GÄVLEBORGS LÄN</t>
        </is>
      </c>
      <c r="E2337" t="inlineStr">
        <is>
          <t>BOLLNÄS</t>
        </is>
      </c>
      <c r="F2337" t="inlineStr">
        <is>
          <t>Bergvik skog väst AB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40928-2024</t>
        </is>
      </c>
      <c r="B2338" s="1" t="n">
        <v>45558.64020833333</v>
      </c>
      <c r="C2338" s="1" t="n">
        <v>46180</v>
      </c>
      <c r="D2338" t="inlineStr">
        <is>
          <t>GÄVLEBORGS LÄN</t>
        </is>
      </c>
      <c r="E2338" t="inlineStr">
        <is>
          <t>BOLLNÄS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10482-2024</t>
        </is>
      </c>
      <c r="B2339" s="1" t="n">
        <v>45366</v>
      </c>
      <c r="C2339" s="1" t="n">
        <v>46180</v>
      </c>
      <c r="D2339" t="inlineStr">
        <is>
          <t>GÄVLEBORGS LÄN</t>
        </is>
      </c>
      <c r="E2339" t="inlineStr">
        <is>
          <t>BOLLNÄS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7015-2025</t>
        </is>
      </c>
      <c r="B2340" s="1" t="n">
        <v>45701.61202546296</v>
      </c>
      <c r="C2340" s="1" t="n">
        <v>46180</v>
      </c>
      <c r="D2340" t="inlineStr">
        <is>
          <t>GÄVLEBORGS LÄN</t>
        </is>
      </c>
      <c r="E2340" t="inlineStr">
        <is>
          <t>BOLLNÄS</t>
        </is>
      </c>
      <c r="G2340" t="n">
        <v>3.2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31022-2024</t>
        </is>
      </c>
      <c r="B2341" s="1" t="n">
        <v>45500.42336805556</v>
      </c>
      <c r="C2341" s="1" t="n">
        <v>46180</v>
      </c>
      <c r="D2341" t="inlineStr">
        <is>
          <t>GÄVLEBORGS LÄN</t>
        </is>
      </c>
      <c r="E2341" t="inlineStr">
        <is>
          <t>BOLLNÄS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28658-2024</t>
        </is>
      </c>
      <c r="B2342" s="1" t="n">
        <v>45478.47041666666</v>
      </c>
      <c r="C2342" s="1" t="n">
        <v>46180</v>
      </c>
      <c r="D2342" t="inlineStr">
        <is>
          <t>GÄVLEBORGS LÄN</t>
        </is>
      </c>
      <c r="E2342" t="inlineStr">
        <is>
          <t>BOLLNÄS</t>
        </is>
      </c>
      <c r="F2342" t="inlineStr">
        <is>
          <t>Bergvik skog väst AB</t>
        </is>
      </c>
      <c r="G2342" t="n">
        <v>0.4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29715-2024</t>
        </is>
      </c>
      <c r="B2343" s="1" t="n">
        <v>45485.35292824074</v>
      </c>
      <c r="C2343" s="1" t="n">
        <v>46180</v>
      </c>
      <c r="D2343" t="inlineStr">
        <is>
          <t>GÄVLEBORGS LÄN</t>
        </is>
      </c>
      <c r="E2343" t="inlineStr">
        <is>
          <t>BOLLNÄS</t>
        </is>
      </c>
      <c r="G2343" t="n">
        <v>2.4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10180-2022</t>
        </is>
      </c>
      <c r="B2344" s="1" t="n">
        <v>44622.40689814815</v>
      </c>
      <c r="C2344" s="1" t="n">
        <v>46180</v>
      </c>
      <c r="D2344" t="inlineStr">
        <is>
          <t>GÄVLEBORGS LÄN</t>
        </is>
      </c>
      <c r="E2344" t="inlineStr">
        <is>
          <t>BOLLNÄS</t>
        </is>
      </c>
      <c r="G2344" t="n">
        <v>0.2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16379-2022</t>
        </is>
      </c>
      <c r="B2345" s="1" t="n">
        <v>44671</v>
      </c>
      <c r="C2345" s="1" t="n">
        <v>46180</v>
      </c>
      <c r="D2345" t="inlineStr">
        <is>
          <t>GÄVLEBORGS LÄN</t>
        </is>
      </c>
      <c r="E2345" t="inlineStr">
        <is>
          <t>BOLLNÄS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16971-2026</t>
        </is>
      </c>
      <c r="B2346" s="1" t="n">
        <v>46114</v>
      </c>
      <c r="C2346" s="1" t="n">
        <v>46180</v>
      </c>
      <c r="D2346" t="inlineStr">
        <is>
          <t>GÄVLEBORGS LÄN</t>
        </is>
      </c>
      <c r="E2346" t="inlineStr">
        <is>
          <t>BOLLNÄS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11579-2025</t>
        </is>
      </c>
      <c r="B2347" s="1" t="n">
        <v>45727.3865162037</v>
      </c>
      <c r="C2347" s="1" t="n">
        <v>46180</v>
      </c>
      <c r="D2347" t="inlineStr">
        <is>
          <t>GÄVLEBORGS LÄN</t>
        </is>
      </c>
      <c r="E2347" t="inlineStr">
        <is>
          <t>BOLLNÄS</t>
        </is>
      </c>
      <c r="F2347" t="inlineStr">
        <is>
          <t>Kyrkan</t>
        </is>
      </c>
      <c r="G2347" t="n">
        <v>5.7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32056-2023</t>
        </is>
      </c>
      <c r="B2348" s="1" t="n">
        <v>45119.55945601852</v>
      </c>
      <c r="C2348" s="1" t="n">
        <v>46180</v>
      </c>
      <c r="D2348" t="inlineStr">
        <is>
          <t>GÄVLEBORGS LÄN</t>
        </is>
      </c>
      <c r="E2348" t="inlineStr">
        <is>
          <t>BOLLNÄS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17056-2026</t>
        </is>
      </c>
      <c r="B2349" s="1" t="n">
        <v>46114</v>
      </c>
      <c r="C2349" s="1" t="n">
        <v>46180</v>
      </c>
      <c r="D2349" t="inlineStr">
        <is>
          <t>GÄVLEBORGS LÄN</t>
        </is>
      </c>
      <c r="E2349" t="inlineStr">
        <is>
          <t>BOLLNÄS</t>
        </is>
      </c>
      <c r="G2349" t="n">
        <v>4.7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22761-2026</t>
        </is>
      </c>
      <c r="B2350" s="1" t="n">
        <v>46157.47758101852</v>
      </c>
      <c r="C2350" s="1" t="n">
        <v>46180</v>
      </c>
      <c r="D2350" t="inlineStr">
        <is>
          <t>GÄVLEBORGS LÄN</t>
        </is>
      </c>
      <c r="E2350" t="inlineStr">
        <is>
          <t>BOLLNÄS</t>
        </is>
      </c>
      <c r="G2350" t="n">
        <v>6.1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18486-2022</t>
        </is>
      </c>
      <c r="B2351" s="1" t="n">
        <v>44686.5978125</v>
      </c>
      <c r="C2351" s="1" t="n">
        <v>46180</v>
      </c>
      <c r="D2351" t="inlineStr">
        <is>
          <t>GÄVLEBORGS LÄN</t>
        </is>
      </c>
      <c r="E2351" t="inlineStr">
        <is>
          <t>BOLLNÄS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15872-2026</t>
        </is>
      </c>
      <c r="B2352" s="1" t="n">
        <v>46107.58853009259</v>
      </c>
      <c r="C2352" s="1" t="n">
        <v>46180</v>
      </c>
      <c r="D2352" t="inlineStr">
        <is>
          <t>GÄVLEBORGS LÄN</t>
        </is>
      </c>
      <c r="E2352" t="inlineStr">
        <is>
          <t>BOLLNÄS</t>
        </is>
      </c>
      <c r="G2352" t="n">
        <v>14.6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60044-2024</t>
        </is>
      </c>
      <c r="B2353" s="1" t="n">
        <v>45642.47278935185</v>
      </c>
      <c r="C2353" s="1" t="n">
        <v>46180</v>
      </c>
      <c r="D2353" t="inlineStr">
        <is>
          <t>GÄVLEBORGS LÄN</t>
        </is>
      </c>
      <c r="E2353" t="inlineStr">
        <is>
          <t>BOLLNÄS</t>
        </is>
      </c>
      <c r="G2353" t="n">
        <v>1.9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38883-2022</t>
        </is>
      </c>
      <c r="B2354" s="1" t="n">
        <v>44816.56690972222</v>
      </c>
      <c r="C2354" s="1" t="n">
        <v>46180</v>
      </c>
      <c r="D2354" t="inlineStr">
        <is>
          <t>GÄVLEBORGS LÄN</t>
        </is>
      </c>
      <c r="E2354" t="inlineStr">
        <is>
          <t>BOLLNÄS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17394-2022</t>
        </is>
      </c>
      <c r="B2355" s="1" t="n">
        <v>44678.68134259259</v>
      </c>
      <c r="C2355" s="1" t="n">
        <v>46180</v>
      </c>
      <c r="D2355" t="inlineStr">
        <is>
          <t>GÄVLEBORGS LÄN</t>
        </is>
      </c>
      <c r="E2355" t="inlineStr">
        <is>
          <t>BOLLNÄS</t>
        </is>
      </c>
      <c r="G2355" t="n">
        <v>4.8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1221-2025</t>
        </is>
      </c>
      <c r="B2356" s="1" t="n">
        <v>45667.43208333333</v>
      </c>
      <c r="C2356" s="1" t="n">
        <v>46180</v>
      </c>
      <c r="D2356" t="inlineStr">
        <is>
          <t>GÄVLEBORGS LÄN</t>
        </is>
      </c>
      <c r="E2356" t="inlineStr">
        <is>
          <t>BOLLNÄS</t>
        </is>
      </c>
      <c r="G2356" t="n">
        <v>2.6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51797-2023</t>
        </is>
      </c>
      <c r="B2357" s="1" t="n">
        <v>45222</v>
      </c>
      <c r="C2357" s="1" t="n">
        <v>46180</v>
      </c>
      <c r="D2357" t="inlineStr">
        <is>
          <t>GÄVLEBORGS LÄN</t>
        </is>
      </c>
      <c r="E2357" t="inlineStr">
        <is>
          <t>BOLLNÄS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43131-2024</t>
        </is>
      </c>
      <c r="B2358" s="1" t="n">
        <v>45567.60054398148</v>
      </c>
      <c r="C2358" s="1" t="n">
        <v>46180</v>
      </c>
      <c r="D2358" t="inlineStr">
        <is>
          <t>GÄVLEBORGS LÄN</t>
        </is>
      </c>
      <c r="E2358" t="inlineStr">
        <is>
          <t>BOLLNÄS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51970-2024</t>
        </is>
      </c>
      <c r="B2359" s="1" t="n">
        <v>45607</v>
      </c>
      <c r="C2359" s="1" t="n">
        <v>46180</v>
      </c>
      <c r="D2359" t="inlineStr">
        <is>
          <t>GÄVLEBORGS LÄN</t>
        </is>
      </c>
      <c r="E2359" t="inlineStr">
        <is>
          <t>BOLLNÄS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3630-2025</t>
        </is>
      </c>
      <c r="B2360" s="1" t="n">
        <v>45681.37418981481</v>
      </c>
      <c r="C2360" s="1" t="n">
        <v>46180</v>
      </c>
      <c r="D2360" t="inlineStr">
        <is>
          <t>GÄVLEBORGS LÄN</t>
        </is>
      </c>
      <c r="E2360" t="inlineStr">
        <is>
          <t>BOLLNÄS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22609-2026</t>
        </is>
      </c>
      <c r="B2361" s="1" t="n">
        <v>46155</v>
      </c>
      <c r="C2361" s="1" t="n">
        <v>46180</v>
      </c>
      <c r="D2361" t="inlineStr">
        <is>
          <t>GÄVLEBORGS LÄN</t>
        </is>
      </c>
      <c r="E2361" t="inlineStr">
        <is>
          <t>BOLLNÄS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20778-2023</t>
        </is>
      </c>
      <c r="B2362" s="1" t="n">
        <v>45058.5878125</v>
      </c>
      <c r="C2362" s="1" t="n">
        <v>46180</v>
      </c>
      <c r="D2362" t="inlineStr">
        <is>
          <t>GÄVLEBORGS LÄN</t>
        </is>
      </c>
      <c r="E2362" t="inlineStr">
        <is>
          <t>BOLLNÄS</t>
        </is>
      </c>
      <c r="F2362" t="inlineStr">
        <is>
          <t>Sveaskog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56024-2024</t>
        </is>
      </c>
      <c r="B2363" s="1" t="n">
        <v>45624.28030092592</v>
      </c>
      <c r="C2363" s="1" t="n">
        <v>46180</v>
      </c>
      <c r="D2363" t="inlineStr">
        <is>
          <t>GÄVLEBORGS LÄN</t>
        </is>
      </c>
      <c r="E2363" t="inlineStr">
        <is>
          <t>BOLLNÄS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38837-2024</t>
        </is>
      </c>
      <c r="B2364" s="1" t="n">
        <v>45547</v>
      </c>
      <c r="C2364" s="1" t="n">
        <v>46180</v>
      </c>
      <c r="D2364" t="inlineStr">
        <is>
          <t>GÄVLEBORGS LÄN</t>
        </is>
      </c>
      <c r="E2364" t="inlineStr">
        <is>
          <t>BOLLNÄS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49413-2023</t>
        </is>
      </c>
      <c r="B2365" s="1" t="n">
        <v>45211</v>
      </c>
      <c r="C2365" s="1" t="n">
        <v>46180</v>
      </c>
      <c r="D2365" t="inlineStr">
        <is>
          <t>GÄVLEBORGS LÄN</t>
        </is>
      </c>
      <c r="E2365" t="inlineStr">
        <is>
          <t>BOLLNÄS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579-2025</t>
        </is>
      </c>
      <c r="B2366" s="1" t="n">
        <v>45664.56732638889</v>
      </c>
      <c r="C2366" s="1" t="n">
        <v>46180</v>
      </c>
      <c r="D2366" t="inlineStr">
        <is>
          <t>GÄVLEBORGS LÄN</t>
        </is>
      </c>
      <c r="E2366" t="inlineStr">
        <is>
          <t>BOLLNÄS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617-2025</t>
        </is>
      </c>
      <c r="B2367" s="1" t="n">
        <v>45664.60994212963</v>
      </c>
      <c r="C2367" s="1" t="n">
        <v>46180</v>
      </c>
      <c r="D2367" t="inlineStr">
        <is>
          <t>GÄVLEBORGS LÄN</t>
        </is>
      </c>
      <c r="E2367" t="inlineStr">
        <is>
          <t>BOLLNÄS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2667-2025</t>
        </is>
      </c>
      <c r="B2368" s="1" t="n">
        <v>45677.27587962963</v>
      </c>
      <c r="C2368" s="1" t="n">
        <v>46180</v>
      </c>
      <c r="D2368" t="inlineStr">
        <is>
          <t>GÄVLEBORGS LÄN</t>
        </is>
      </c>
      <c r="E2368" t="inlineStr">
        <is>
          <t>BOLLNÄS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2620-2025</t>
        </is>
      </c>
      <c r="B2369" s="1" t="n">
        <v>45675.58435185185</v>
      </c>
      <c r="C2369" s="1" t="n">
        <v>46180</v>
      </c>
      <c r="D2369" t="inlineStr">
        <is>
          <t>GÄVLEBORGS LÄN</t>
        </is>
      </c>
      <c r="E2369" t="inlineStr">
        <is>
          <t>BOLLNÄS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23172-2026</t>
        </is>
      </c>
      <c r="B2370" s="1" t="n">
        <v>46161.67034722222</v>
      </c>
      <c r="C2370" s="1" t="n">
        <v>46180</v>
      </c>
      <c r="D2370" t="inlineStr">
        <is>
          <t>GÄVLEBORGS LÄN</t>
        </is>
      </c>
      <c r="E2370" t="inlineStr">
        <is>
          <t>BOLLNÄS</t>
        </is>
      </c>
      <c r="G2370" t="n">
        <v>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8119-2024</t>
        </is>
      </c>
      <c r="B2371" s="1" t="n">
        <v>45351</v>
      </c>
      <c r="C2371" s="1" t="n">
        <v>46180</v>
      </c>
      <c r="D2371" t="inlineStr">
        <is>
          <t>GÄVLEBORGS LÄN</t>
        </is>
      </c>
      <c r="E2371" t="inlineStr">
        <is>
          <t>BOLLNÄS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27179-2023</t>
        </is>
      </c>
      <c r="B2372" s="1" t="n">
        <v>45096.52631944444</v>
      </c>
      <c r="C2372" s="1" t="n">
        <v>46180</v>
      </c>
      <c r="D2372" t="inlineStr">
        <is>
          <t>GÄVLEBORGS LÄN</t>
        </is>
      </c>
      <c r="E2372" t="inlineStr">
        <is>
          <t>BOLLNÄS</t>
        </is>
      </c>
      <c r="G2372" t="n">
        <v>3.7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59637-2024</t>
        </is>
      </c>
      <c r="B2373" s="1" t="n">
        <v>45639.27597222223</v>
      </c>
      <c r="C2373" s="1" t="n">
        <v>46180</v>
      </c>
      <c r="D2373" t="inlineStr">
        <is>
          <t>GÄVLEBORGS LÄN</t>
        </is>
      </c>
      <c r="E2373" t="inlineStr">
        <is>
          <t>BOLLNÄS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23085-2026</t>
        </is>
      </c>
      <c r="B2374" s="1" t="n">
        <v>46161.5396412037</v>
      </c>
      <c r="C2374" s="1" t="n">
        <v>46180</v>
      </c>
      <c r="D2374" t="inlineStr">
        <is>
          <t>GÄVLEBORGS LÄN</t>
        </is>
      </c>
      <c r="E2374" t="inlineStr">
        <is>
          <t>BOLLNÄS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23086-2026</t>
        </is>
      </c>
      <c r="B2375" s="1" t="n">
        <v>46161.54045138889</v>
      </c>
      <c r="C2375" s="1" t="n">
        <v>46180</v>
      </c>
      <c r="D2375" t="inlineStr">
        <is>
          <t>GÄVLEBORGS LÄN</t>
        </is>
      </c>
      <c r="E2375" t="inlineStr">
        <is>
          <t>BOLLNÄS</t>
        </is>
      </c>
      <c r="G2375" t="n">
        <v>0.3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23091-2026</t>
        </is>
      </c>
      <c r="B2376" s="1" t="n">
        <v>46161.54792824074</v>
      </c>
      <c r="C2376" s="1" t="n">
        <v>46180</v>
      </c>
      <c r="D2376" t="inlineStr">
        <is>
          <t>GÄVLEBORGS LÄN</t>
        </is>
      </c>
      <c r="E2376" t="inlineStr">
        <is>
          <t>BOLLNÄS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23092-2026</t>
        </is>
      </c>
      <c r="B2377" s="1" t="n">
        <v>46161.55078703703</v>
      </c>
      <c r="C2377" s="1" t="n">
        <v>46180</v>
      </c>
      <c r="D2377" t="inlineStr">
        <is>
          <t>GÄVLEBORGS LÄN</t>
        </is>
      </c>
      <c r="E2377" t="inlineStr">
        <is>
          <t>BOLLNÄS</t>
        </is>
      </c>
      <c r="G2377" t="n">
        <v>2.8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56209-2023</t>
        </is>
      </c>
      <c r="B2378" s="1" t="n">
        <v>45240</v>
      </c>
      <c r="C2378" s="1" t="n">
        <v>46180</v>
      </c>
      <c r="D2378" t="inlineStr">
        <is>
          <t>GÄVLEBORGS LÄN</t>
        </is>
      </c>
      <c r="E2378" t="inlineStr">
        <is>
          <t>BOLLNÄS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7136-2025</t>
        </is>
      </c>
      <c r="B2379" s="1" t="n">
        <v>45702.36628472222</v>
      </c>
      <c r="C2379" s="1" t="n">
        <v>46180</v>
      </c>
      <c r="D2379" t="inlineStr">
        <is>
          <t>GÄVLEBORGS LÄN</t>
        </is>
      </c>
      <c r="E2379" t="inlineStr">
        <is>
          <t>BOLLNÄS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19972-2024</t>
        </is>
      </c>
      <c r="B2380" s="1" t="n">
        <v>45433</v>
      </c>
      <c r="C2380" s="1" t="n">
        <v>46180</v>
      </c>
      <c r="D2380" t="inlineStr">
        <is>
          <t>GÄVLEBORGS LÄN</t>
        </is>
      </c>
      <c r="E2380" t="inlineStr">
        <is>
          <t>BOLLNÄS</t>
        </is>
      </c>
      <c r="G2380" t="n">
        <v>9.4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16098-2026</t>
        </is>
      </c>
      <c r="B2381" s="1" t="n">
        <v>46108</v>
      </c>
      <c r="C2381" s="1" t="n">
        <v>46180</v>
      </c>
      <c r="D2381" t="inlineStr">
        <is>
          <t>GÄVLEBORGS LÄN</t>
        </is>
      </c>
      <c r="E2381" t="inlineStr">
        <is>
          <t>BOLLNÄS</t>
        </is>
      </c>
      <c r="G2381" t="n">
        <v>2.9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48310-2023</t>
        </is>
      </c>
      <c r="B2382" s="1" t="n">
        <v>45205</v>
      </c>
      <c r="C2382" s="1" t="n">
        <v>46180</v>
      </c>
      <c r="D2382" t="inlineStr">
        <is>
          <t>GÄVLEBORGS LÄN</t>
        </is>
      </c>
      <c r="E2382" t="inlineStr">
        <is>
          <t>BOLLNÄS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48605-2023</t>
        </is>
      </c>
      <c r="B2383" s="1" t="n">
        <v>45208</v>
      </c>
      <c r="C2383" s="1" t="n">
        <v>46180</v>
      </c>
      <c r="D2383" t="inlineStr">
        <is>
          <t>GÄVLEBORGS LÄN</t>
        </is>
      </c>
      <c r="E2383" t="inlineStr">
        <is>
          <t>BOLLNÄS</t>
        </is>
      </c>
      <c r="G2383" t="n">
        <v>0.2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20284-2025</t>
        </is>
      </c>
      <c r="B2384" s="1" t="n">
        <v>45774.50434027778</v>
      </c>
      <c r="C2384" s="1" t="n">
        <v>46180</v>
      </c>
      <c r="D2384" t="inlineStr">
        <is>
          <t>GÄVLEBORGS LÄN</t>
        </is>
      </c>
      <c r="E2384" t="inlineStr">
        <is>
          <t>BOLLNÄS</t>
        </is>
      </c>
      <c r="F2384" t="inlineStr">
        <is>
          <t>Bergvik skog väst AB</t>
        </is>
      </c>
      <c r="G2384" t="n">
        <v>0.4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53494-2023</t>
        </is>
      </c>
      <c r="B2385" s="1" t="n">
        <v>45230.36850694445</v>
      </c>
      <c r="C2385" s="1" t="n">
        <v>46180</v>
      </c>
      <c r="D2385" t="inlineStr">
        <is>
          <t>GÄVLEBORGS LÄN</t>
        </is>
      </c>
      <c r="E2385" t="inlineStr">
        <is>
          <t>BOLLNÄS</t>
        </is>
      </c>
      <c r="G2385" t="n">
        <v>1.7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22815-2026</t>
        </is>
      </c>
      <c r="B2386" s="1" t="n">
        <v>46160</v>
      </c>
      <c r="C2386" s="1" t="n">
        <v>46180</v>
      </c>
      <c r="D2386" t="inlineStr">
        <is>
          <t>GÄVLEBORGS LÄN</t>
        </is>
      </c>
      <c r="E2386" t="inlineStr">
        <is>
          <t>BOLLNÄS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21133-2026</t>
        </is>
      </c>
      <c r="B2387" s="1" t="n">
        <v>46146</v>
      </c>
      <c r="C2387" s="1" t="n">
        <v>46180</v>
      </c>
      <c r="D2387" t="inlineStr">
        <is>
          <t>GÄVLEBORGS LÄN</t>
        </is>
      </c>
      <c r="E2387" t="inlineStr">
        <is>
          <t>BOLLNÄS</t>
        </is>
      </c>
      <c r="F2387" t="inlineStr">
        <is>
          <t>Bergvik skog väst AB</t>
        </is>
      </c>
      <c r="G2387" t="n">
        <v>2.2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17187-2026</t>
        </is>
      </c>
      <c r="B2388" s="1" t="n">
        <v>46117.60270833333</v>
      </c>
      <c r="C2388" s="1" t="n">
        <v>46180</v>
      </c>
      <c r="D2388" t="inlineStr">
        <is>
          <t>GÄVLEBORGS LÄN</t>
        </is>
      </c>
      <c r="E2388" t="inlineStr">
        <is>
          <t>BOLLNÄS</t>
        </is>
      </c>
      <c r="G2388" t="n">
        <v>2.2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55520-2023</t>
        </is>
      </c>
      <c r="B2389" s="1" t="n">
        <v>45238</v>
      </c>
      <c r="C2389" s="1" t="n">
        <v>46180</v>
      </c>
      <c r="D2389" t="inlineStr">
        <is>
          <t>GÄVLEBORGS LÄN</t>
        </is>
      </c>
      <c r="E2389" t="inlineStr">
        <is>
          <t>BOLLNÄS</t>
        </is>
      </c>
      <c r="G2389" t="n">
        <v>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6221-2025</t>
        </is>
      </c>
      <c r="B2390" s="1" t="n">
        <v>45698.54001157408</v>
      </c>
      <c r="C2390" s="1" t="n">
        <v>46180</v>
      </c>
      <c r="D2390" t="inlineStr">
        <is>
          <t>GÄVLEBORGS LÄN</t>
        </is>
      </c>
      <c r="E2390" t="inlineStr">
        <is>
          <t>BOLLNÄS</t>
        </is>
      </c>
      <c r="G2390" t="n">
        <v>5.4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61065-2023</t>
        </is>
      </c>
      <c r="B2391" s="1" t="n">
        <v>45261.61618055555</v>
      </c>
      <c r="C2391" s="1" t="n">
        <v>46180</v>
      </c>
      <c r="D2391" t="inlineStr">
        <is>
          <t>GÄVLEBORGS LÄN</t>
        </is>
      </c>
      <c r="E2391" t="inlineStr">
        <is>
          <t>BOLLNÄS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24770-2022</t>
        </is>
      </c>
      <c r="B2392" s="1" t="n">
        <v>44728.36199074074</v>
      </c>
      <c r="C2392" s="1" t="n">
        <v>46180</v>
      </c>
      <c r="D2392" t="inlineStr">
        <is>
          <t>GÄVLEBORGS LÄN</t>
        </is>
      </c>
      <c r="E2392" t="inlineStr">
        <is>
          <t>BOLLNÄS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36607-2023</t>
        </is>
      </c>
      <c r="B2393" s="1" t="n">
        <v>45153.48958333334</v>
      </c>
      <c r="C2393" s="1" t="n">
        <v>46180</v>
      </c>
      <c r="D2393" t="inlineStr">
        <is>
          <t>GÄVLEBORGS LÄN</t>
        </is>
      </c>
      <c r="E2393" t="inlineStr">
        <is>
          <t>BOLLNÄS</t>
        </is>
      </c>
      <c r="G2393" t="n">
        <v>2.6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17301-2026</t>
        </is>
      </c>
      <c r="B2394" s="1" t="n">
        <v>46119</v>
      </c>
      <c r="C2394" s="1" t="n">
        <v>46180</v>
      </c>
      <c r="D2394" t="inlineStr">
        <is>
          <t>GÄVLEBORGS LÄN</t>
        </is>
      </c>
      <c r="E2394" t="inlineStr">
        <is>
          <t>BOLLNÄS</t>
        </is>
      </c>
      <c r="G2394" t="n">
        <v>1.9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23083-2026</t>
        </is>
      </c>
      <c r="B2395" s="1" t="n">
        <v>46161.53799768518</v>
      </c>
      <c r="C2395" s="1" t="n">
        <v>46180</v>
      </c>
      <c r="D2395" t="inlineStr">
        <is>
          <t>GÄVLEBORGS LÄN</t>
        </is>
      </c>
      <c r="E2395" t="inlineStr">
        <is>
          <t>BOLLNÄS</t>
        </is>
      </c>
      <c r="G2395" t="n">
        <v>3.4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23087-2026</t>
        </is>
      </c>
      <c r="B2396" s="1" t="n">
        <v>46161.54202546296</v>
      </c>
      <c r="C2396" s="1" t="n">
        <v>46180</v>
      </c>
      <c r="D2396" t="inlineStr">
        <is>
          <t>GÄVLEBORGS LÄN</t>
        </is>
      </c>
      <c r="E2396" t="inlineStr">
        <is>
          <t>BOLLNÄS</t>
        </is>
      </c>
      <c r="G2396" t="n">
        <v>13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23089-2026</t>
        </is>
      </c>
      <c r="B2397" s="1" t="n">
        <v>46161.54524305555</v>
      </c>
      <c r="C2397" s="1" t="n">
        <v>46180</v>
      </c>
      <c r="D2397" t="inlineStr">
        <is>
          <t>GÄVLEBORGS LÄN</t>
        </is>
      </c>
      <c r="E2397" t="inlineStr">
        <is>
          <t>BOLLNÄS</t>
        </is>
      </c>
      <c r="G2397" t="n">
        <v>3.9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23090-2026</t>
        </is>
      </c>
      <c r="B2398" s="1" t="n">
        <v>46161.54672453704</v>
      </c>
      <c r="C2398" s="1" t="n">
        <v>46180</v>
      </c>
      <c r="D2398" t="inlineStr">
        <is>
          <t>GÄVLEBORGS LÄN</t>
        </is>
      </c>
      <c r="E2398" t="inlineStr">
        <is>
          <t>BOLLNÄS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23093-2026</t>
        </is>
      </c>
      <c r="B2399" s="1" t="n">
        <v>46161.55385416667</v>
      </c>
      <c r="C2399" s="1" t="n">
        <v>46180</v>
      </c>
      <c r="D2399" t="inlineStr">
        <is>
          <t>GÄVLEBORGS LÄN</t>
        </is>
      </c>
      <c r="E2399" t="inlineStr">
        <is>
          <t>BOLLNÄS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13461-2024</t>
        </is>
      </c>
      <c r="B2400" s="1" t="n">
        <v>45387.55202546297</v>
      </c>
      <c r="C2400" s="1" t="n">
        <v>46180</v>
      </c>
      <c r="D2400" t="inlineStr">
        <is>
          <t>GÄVLEBORGS LÄN</t>
        </is>
      </c>
      <c r="E2400" t="inlineStr">
        <is>
          <t>BOLLNÄS</t>
        </is>
      </c>
      <c r="F2400" t="inlineStr">
        <is>
          <t>Holmen skog AB</t>
        </is>
      </c>
      <c r="G2400" t="n">
        <v>2.4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34175-2022</t>
        </is>
      </c>
      <c r="B2401" s="1" t="n">
        <v>44791</v>
      </c>
      <c r="C2401" s="1" t="n">
        <v>46180</v>
      </c>
      <c r="D2401" t="inlineStr">
        <is>
          <t>GÄVLEBORGS LÄN</t>
        </is>
      </c>
      <c r="E2401" t="inlineStr">
        <is>
          <t>BOLLNÄS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49401-2023</t>
        </is>
      </c>
      <c r="B2402" s="1" t="n">
        <v>45211.42238425926</v>
      </c>
      <c r="C2402" s="1" t="n">
        <v>46180</v>
      </c>
      <c r="D2402" t="inlineStr">
        <is>
          <t>GÄVLEBORGS LÄN</t>
        </is>
      </c>
      <c r="E2402" t="inlineStr">
        <is>
          <t>BOLLNÄS</t>
        </is>
      </c>
      <c r="G2402" t="n">
        <v>1.6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45557-2023</t>
        </is>
      </c>
      <c r="B2403" s="1" t="n">
        <v>45194.58666666667</v>
      </c>
      <c r="C2403" s="1" t="n">
        <v>46180</v>
      </c>
      <c r="D2403" t="inlineStr">
        <is>
          <t>GÄVLEBORGS LÄN</t>
        </is>
      </c>
      <c r="E2403" t="inlineStr">
        <is>
          <t>BOLLNÄS</t>
        </is>
      </c>
      <c r="G2403" t="n">
        <v>2.1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28983-2022</t>
        </is>
      </c>
      <c r="B2404" s="1" t="n">
        <v>44749.65376157407</v>
      </c>
      <c r="C2404" s="1" t="n">
        <v>46180</v>
      </c>
      <c r="D2404" t="inlineStr">
        <is>
          <t>GÄVLEBORGS LÄN</t>
        </is>
      </c>
      <c r="E2404" t="inlineStr">
        <is>
          <t>BOLLNÄS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51261-2023</t>
        </is>
      </c>
      <c r="B2405" s="1" t="n">
        <v>45219</v>
      </c>
      <c r="C2405" s="1" t="n">
        <v>46180</v>
      </c>
      <c r="D2405" t="inlineStr">
        <is>
          <t>GÄVLEBORGS LÄN</t>
        </is>
      </c>
      <c r="E2405" t="inlineStr">
        <is>
          <t>BOLLNÄS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8035-2025</t>
        </is>
      </c>
      <c r="B2406" s="1" t="n">
        <v>45707.59410879629</v>
      </c>
      <c r="C2406" s="1" t="n">
        <v>46180</v>
      </c>
      <c r="D2406" t="inlineStr">
        <is>
          <t>GÄVLEBORGS LÄN</t>
        </is>
      </c>
      <c r="E2406" t="inlineStr">
        <is>
          <t>BOLLNÄS</t>
        </is>
      </c>
      <c r="F2406" t="inlineStr">
        <is>
          <t>Bergvik skog väst AB</t>
        </is>
      </c>
      <c r="G2406" t="n">
        <v>2.1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63862-2023</t>
        </is>
      </c>
      <c r="B2407" s="1" t="n">
        <v>45278.49693287037</v>
      </c>
      <c r="C2407" s="1" t="n">
        <v>46180</v>
      </c>
      <c r="D2407" t="inlineStr">
        <is>
          <t>GÄVLEBORGS LÄN</t>
        </is>
      </c>
      <c r="E2407" t="inlineStr">
        <is>
          <t>BOLLNÄS</t>
        </is>
      </c>
      <c r="G2407" t="n">
        <v>2.7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47852-2023</t>
        </is>
      </c>
      <c r="B2408" s="1" t="n">
        <v>45204</v>
      </c>
      <c r="C2408" s="1" t="n">
        <v>46180</v>
      </c>
      <c r="D2408" t="inlineStr">
        <is>
          <t>GÄVLEBORGS LÄN</t>
        </is>
      </c>
      <c r="E2408" t="inlineStr">
        <is>
          <t>BOLLNÄS</t>
        </is>
      </c>
      <c r="G2408" t="n">
        <v>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23084-2026</t>
        </is>
      </c>
      <c r="B2409" s="1" t="n">
        <v>46161.53899305555</v>
      </c>
      <c r="C2409" s="1" t="n">
        <v>46180</v>
      </c>
      <c r="D2409" t="inlineStr">
        <is>
          <t>GÄVLEBORGS LÄN</t>
        </is>
      </c>
      <c r="E2409" t="inlineStr">
        <is>
          <t>BOLLNÄS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22985-2026</t>
        </is>
      </c>
      <c r="B2410" s="1" t="n">
        <v>46160.65395833334</v>
      </c>
      <c r="C2410" s="1" t="n">
        <v>46180</v>
      </c>
      <c r="D2410" t="inlineStr">
        <is>
          <t>GÄVLEBORGS LÄN</t>
        </is>
      </c>
      <c r="E2410" t="inlineStr">
        <is>
          <t>BOLLNÄS</t>
        </is>
      </c>
      <c r="G2410" t="n">
        <v>4.6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17279-2026</t>
        </is>
      </c>
      <c r="B2411" s="1" t="n">
        <v>46119.52701388889</v>
      </c>
      <c r="C2411" s="1" t="n">
        <v>46180</v>
      </c>
      <c r="D2411" t="inlineStr">
        <is>
          <t>GÄVLEBORGS LÄN</t>
        </is>
      </c>
      <c r="E2411" t="inlineStr">
        <is>
          <t>BOLLNÄS</t>
        </is>
      </c>
      <c r="F2411" t="inlineStr">
        <is>
          <t>Bergvik skog väst AB</t>
        </is>
      </c>
      <c r="G2411" t="n">
        <v>2.3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21629-2026</t>
        </is>
      </c>
      <c r="B2412" s="1" t="n">
        <v>46149</v>
      </c>
      <c r="C2412" s="1" t="n">
        <v>46180</v>
      </c>
      <c r="D2412" t="inlineStr">
        <is>
          <t>GÄVLEBORGS LÄN</t>
        </is>
      </c>
      <c r="E2412" t="inlineStr">
        <is>
          <t>BOLLNÄS</t>
        </is>
      </c>
      <c r="G2412" t="n">
        <v>5.9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22982-2026</t>
        </is>
      </c>
      <c r="B2413" s="1" t="n">
        <v>46160.64396990741</v>
      </c>
      <c r="C2413" s="1" t="n">
        <v>46180</v>
      </c>
      <c r="D2413" t="inlineStr">
        <is>
          <t>GÄVLEBORGS LÄN</t>
        </is>
      </c>
      <c r="E2413" t="inlineStr">
        <is>
          <t>BOLLNÄS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22981-2026</t>
        </is>
      </c>
      <c r="B2414" s="1" t="n">
        <v>46160.64138888889</v>
      </c>
      <c r="C2414" s="1" t="n">
        <v>46180</v>
      </c>
      <c r="D2414" t="inlineStr">
        <is>
          <t>GÄVLEBORGS LÄN</t>
        </is>
      </c>
      <c r="E2414" t="inlineStr">
        <is>
          <t>BOLLNÄS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22549-2026</t>
        </is>
      </c>
      <c r="B2415" s="1" t="n">
        <v>46155</v>
      </c>
      <c r="C2415" s="1" t="n">
        <v>46180</v>
      </c>
      <c r="D2415" t="inlineStr">
        <is>
          <t>GÄVLEBORGS LÄN</t>
        </is>
      </c>
      <c r="E2415" t="inlineStr">
        <is>
          <t>BOLLNÄS</t>
        </is>
      </c>
      <c r="G2415" t="n">
        <v>10.8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21242-2026</t>
        </is>
      </c>
      <c r="B2416" s="1" t="n">
        <v>46147</v>
      </c>
      <c r="C2416" s="1" t="n">
        <v>46180</v>
      </c>
      <c r="D2416" t="inlineStr">
        <is>
          <t>GÄVLEBORGS LÄN</t>
        </is>
      </c>
      <c r="E2416" t="inlineStr">
        <is>
          <t>BOLLNÄS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21241-2026</t>
        </is>
      </c>
      <c r="B2417" s="1" t="n">
        <v>46147</v>
      </c>
      <c r="C2417" s="1" t="n">
        <v>46180</v>
      </c>
      <c r="D2417" t="inlineStr">
        <is>
          <t>GÄVLEBORGS LÄN</t>
        </is>
      </c>
      <c r="E2417" t="inlineStr">
        <is>
          <t>BOLLNÄS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22905-2026</t>
        </is>
      </c>
      <c r="B2418" s="1" t="n">
        <v>46160.49092592593</v>
      </c>
      <c r="C2418" s="1" t="n">
        <v>46180</v>
      </c>
      <c r="D2418" t="inlineStr">
        <is>
          <t>GÄVLEBORGS LÄN</t>
        </is>
      </c>
      <c r="E2418" t="inlineStr">
        <is>
          <t>BOLLNÄS</t>
        </is>
      </c>
      <c r="G2418" t="n">
        <v>12.3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21009-2022</t>
        </is>
      </c>
      <c r="B2419" s="1" t="n">
        <v>44704.34877314815</v>
      </c>
      <c r="C2419" s="1" t="n">
        <v>46180</v>
      </c>
      <c r="D2419" t="inlineStr">
        <is>
          <t>GÄVLEBORGS LÄN</t>
        </is>
      </c>
      <c r="E2419" t="inlineStr">
        <is>
          <t>BOLLNÄS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5388-2024</t>
        </is>
      </c>
      <c r="B2420" s="1" t="n">
        <v>45331</v>
      </c>
      <c r="C2420" s="1" t="n">
        <v>46180</v>
      </c>
      <c r="D2420" t="inlineStr">
        <is>
          <t>GÄVLEBORGS LÄN</t>
        </is>
      </c>
      <c r="E2420" t="inlineStr">
        <is>
          <t>BOLLNÄS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31434-2022</t>
        </is>
      </c>
      <c r="B2421" s="1" t="n">
        <v>44774.92517361111</v>
      </c>
      <c r="C2421" s="1" t="n">
        <v>46180</v>
      </c>
      <c r="D2421" t="inlineStr">
        <is>
          <t>GÄVLEBORGS LÄN</t>
        </is>
      </c>
      <c r="E2421" t="inlineStr">
        <is>
          <t>BOLLNÄS</t>
        </is>
      </c>
      <c r="G2421" t="n">
        <v>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57546-2023</t>
        </is>
      </c>
      <c r="B2422" s="1" t="n">
        <v>45246</v>
      </c>
      <c r="C2422" s="1" t="n">
        <v>46180</v>
      </c>
      <c r="D2422" t="inlineStr">
        <is>
          <t>GÄVLEBORGS LÄN</t>
        </is>
      </c>
      <c r="E2422" t="inlineStr">
        <is>
          <t>BOLLNÄS</t>
        </is>
      </c>
      <c r="G2422" t="n">
        <v>2.5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27804-2024</t>
        </is>
      </c>
      <c r="B2423" s="1" t="n">
        <v>45475.5766087963</v>
      </c>
      <c r="C2423" s="1" t="n">
        <v>46180</v>
      </c>
      <c r="D2423" t="inlineStr">
        <is>
          <t>GÄVLEBORGS LÄN</t>
        </is>
      </c>
      <c r="E2423" t="inlineStr">
        <is>
          <t>BOLLNÄS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51310-2023</t>
        </is>
      </c>
      <c r="B2424" s="1" t="n">
        <v>45219.56564814815</v>
      </c>
      <c r="C2424" s="1" t="n">
        <v>46180</v>
      </c>
      <c r="D2424" t="inlineStr">
        <is>
          <t>GÄVLEBORGS LÄN</t>
        </is>
      </c>
      <c r="E2424" t="inlineStr">
        <is>
          <t>BOLLNÄS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10021-2025</t>
        </is>
      </c>
      <c r="B2425" s="1" t="n">
        <v>45719</v>
      </c>
      <c r="C2425" s="1" t="n">
        <v>46180</v>
      </c>
      <c r="D2425" t="inlineStr">
        <is>
          <t>GÄVLEBORGS LÄN</t>
        </is>
      </c>
      <c r="E2425" t="inlineStr">
        <is>
          <t>BOLLNÄS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42350-2022</t>
        </is>
      </c>
      <c r="B2426" s="1" t="n">
        <v>44831.36085648148</v>
      </c>
      <c r="C2426" s="1" t="n">
        <v>46180</v>
      </c>
      <c r="D2426" t="inlineStr">
        <is>
          <t>GÄVLEBORGS LÄN</t>
        </is>
      </c>
      <c r="E2426" t="inlineStr">
        <is>
          <t>BOLLNÄS</t>
        </is>
      </c>
      <c r="G2426" t="n">
        <v>2.6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23523-2026</t>
        </is>
      </c>
      <c r="B2427" s="1" t="n">
        <v>46163.49626157407</v>
      </c>
      <c r="C2427" s="1" t="n">
        <v>46180</v>
      </c>
      <c r="D2427" t="inlineStr">
        <is>
          <t>GÄVLEBORGS LÄN</t>
        </is>
      </c>
      <c r="E2427" t="inlineStr">
        <is>
          <t>BOLLNÄS</t>
        </is>
      </c>
      <c r="F2427" t="inlineStr">
        <is>
          <t>Bergvik skog väst AB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28981-2022</t>
        </is>
      </c>
      <c r="B2428" s="1" t="n">
        <v>44749.65293981481</v>
      </c>
      <c r="C2428" s="1" t="n">
        <v>46180</v>
      </c>
      <c r="D2428" t="inlineStr">
        <is>
          <t>GÄVLEBORGS LÄN</t>
        </is>
      </c>
      <c r="E2428" t="inlineStr">
        <is>
          <t>BOLLNÄS</t>
        </is>
      </c>
      <c r="G2428" t="n">
        <v>0.4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36087-2023</t>
        </is>
      </c>
      <c r="B2429" s="1" t="n">
        <v>45149</v>
      </c>
      <c r="C2429" s="1" t="n">
        <v>46180</v>
      </c>
      <c r="D2429" t="inlineStr">
        <is>
          <t>GÄVLEBORGS LÄN</t>
        </is>
      </c>
      <c r="E2429" t="inlineStr">
        <is>
          <t>BOLLNÄS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37071-2022</t>
        </is>
      </c>
      <c r="B2430" s="1" t="n">
        <v>44806</v>
      </c>
      <c r="C2430" s="1" t="n">
        <v>46180</v>
      </c>
      <c r="D2430" t="inlineStr">
        <is>
          <t>GÄVLEBORGS LÄN</t>
        </is>
      </c>
      <c r="E2430" t="inlineStr">
        <is>
          <t>BOLLNÄS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58506-2023</t>
        </is>
      </c>
      <c r="B2431" s="1" t="n">
        <v>45251</v>
      </c>
      <c r="C2431" s="1" t="n">
        <v>46180</v>
      </c>
      <c r="D2431" t="inlineStr">
        <is>
          <t>GÄVLEBORGS LÄN</t>
        </is>
      </c>
      <c r="E2431" t="inlineStr">
        <is>
          <t>BOLLNÄS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27612-2024</t>
        </is>
      </c>
      <c r="B2432" s="1" t="n">
        <v>45474.7375925926</v>
      </c>
      <c r="C2432" s="1" t="n">
        <v>46180</v>
      </c>
      <c r="D2432" t="inlineStr">
        <is>
          <t>GÄVLEBORGS LÄN</t>
        </is>
      </c>
      <c r="E2432" t="inlineStr">
        <is>
          <t>BOLLNÄS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14681-2023</t>
        </is>
      </c>
      <c r="B2433" s="1" t="n">
        <v>45014.3017824074</v>
      </c>
      <c r="C2433" s="1" t="n">
        <v>46180</v>
      </c>
      <c r="D2433" t="inlineStr">
        <is>
          <t>GÄVLEBORGS LÄN</t>
        </is>
      </c>
      <c r="E2433" t="inlineStr">
        <is>
          <t>BOLLNÄS</t>
        </is>
      </c>
      <c r="G2433" t="n">
        <v>2.2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51443-2022</t>
        </is>
      </c>
      <c r="B2434" s="1" t="n">
        <v>44869.489375</v>
      </c>
      <c r="C2434" s="1" t="n">
        <v>46180</v>
      </c>
      <c r="D2434" t="inlineStr">
        <is>
          <t>GÄVLEBORGS LÄN</t>
        </is>
      </c>
      <c r="E2434" t="inlineStr">
        <is>
          <t>BOLLNÄS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44715-2022</t>
        </is>
      </c>
      <c r="B2435" s="1" t="n">
        <v>44840</v>
      </c>
      <c r="C2435" s="1" t="n">
        <v>46180</v>
      </c>
      <c r="D2435" t="inlineStr">
        <is>
          <t>GÄVLEBORGS LÄN</t>
        </is>
      </c>
      <c r="E2435" t="inlineStr">
        <is>
          <t>BOLLNÄS</t>
        </is>
      </c>
      <c r="G2435" t="n">
        <v>4.5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2297-2024</t>
        </is>
      </c>
      <c r="B2436" s="1" t="n">
        <v>45310.43618055555</v>
      </c>
      <c r="C2436" s="1" t="n">
        <v>46180</v>
      </c>
      <c r="D2436" t="inlineStr">
        <is>
          <t>GÄVLEBORGS LÄN</t>
        </is>
      </c>
      <c r="E2436" t="inlineStr">
        <is>
          <t>BOLLNÄS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40386-2024</t>
        </is>
      </c>
      <c r="B2437" s="1" t="n">
        <v>45555.43184027778</v>
      </c>
      <c r="C2437" s="1" t="n">
        <v>46180</v>
      </c>
      <c r="D2437" t="inlineStr">
        <is>
          <t>GÄVLEBORGS LÄN</t>
        </is>
      </c>
      <c r="E2437" t="inlineStr">
        <is>
          <t>BOLLNÄS</t>
        </is>
      </c>
      <c r="F2437" t="inlineStr">
        <is>
          <t>Bergvik skog väst AB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41962-2022</t>
        </is>
      </c>
      <c r="B2438" s="1" t="n">
        <v>44830</v>
      </c>
      <c r="C2438" s="1" t="n">
        <v>46180</v>
      </c>
      <c r="D2438" t="inlineStr">
        <is>
          <t>GÄVLEBORGS LÄN</t>
        </is>
      </c>
      <c r="E2438" t="inlineStr">
        <is>
          <t>BOLLNÄS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14986-2025</t>
        </is>
      </c>
      <c r="B2439" s="1" t="n">
        <v>45743.60083333333</v>
      </c>
      <c r="C2439" s="1" t="n">
        <v>46180</v>
      </c>
      <c r="D2439" t="inlineStr">
        <is>
          <t>GÄVLEBORGS LÄN</t>
        </is>
      </c>
      <c r="E2439" t="inlineStr">
        <is>
          <t>BOLLNÄS</t>
        </is>
      </c>
      <c r="F2439" t="inlineStr">
        <is>
          <t>Bergvik skog väst AB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32062-2023</t>
        </is>
      </c>
      <c r="B2440" s="1" t="n">
        <v>45119.56549768519</v>
      </c>
      <c r="C2440" s="1" t="n">
        <v>46180</v>
      </c>
      <c r="D2440" t="inlineStr">
        <is>
          <t>GÄVLEBORGS LÄN</t>
        </is>
      </c>
      <c r="E2440" t="inlineStr">
        <is>
          <t>BOLLNÄS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51867-2022</t>
        </is>
      </c>
      <c r="B2441" s="1" t="n">
        <v>44872.58997685185</v>
      </c>
      <c r="C2441" s="1" t="n">
        <v>46180</v>
      </c>
      <c r="D2441" t="inlineStr">
        <is>
          <t>GÄVLEBORGS LÄN</t>
        </is>
      </c>
      <c r="E2441" t="inlineStr">
        <is>
          <t>BOLLNÄS</t>
        </is>
      </c>
      <c r="G2441" t="n">
        <v>1.6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31385-2023</t>
        </is>
      </c>
      <c r="B2442" s="1" t="n">
        <v>45114</v>
      </c>
      <c r="C2442" s="1" t="n">
        <v>46180</v>
      </c>
      <c r="D2442" t="inlineStr">
        <is>
          <t>GÄVLEBORGS LÄN</t>
        </is>
      </c>
      <c r="E2442" t="inlineStr">
        <is>
          <t>BOLLNÄS</t>
        </is>
      </c>
      <c r="G2442" t="n">
        <v>6.9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54772-2022</t>
        </is>
      </c>
      <c r="B2443" s="1" t="n">
        <v>44883</v>
      </c>
      <c r="C2443" s="1" t="n">
        <v>46180</v>
      </c>
      <c r="D2443" t="inlineStr">
        <is>
          <t>GÄVLEBORGS LÄN</t>
        </is>
      </c>
      <c r="E2443" t="inlineStr">
        <is>
          <t>BOLLNÄS</t>
        </is>
      </c>
      <c r="G2443" t="n">
        <v>12.5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521-2024</t>
        </is>
      </c>
      <c r="B2444" s="1" t="n">
        <v>45299.4562037037</v>
      </c>
      <c r="C2444" s="1" t="n">
        <v>46180</v>
      </c>
      <c r="D2444" t="inlineStr">
        <is>
          <t>GÄVLEBORGS LÄN</t>
        </is>
      </c>
      <c r="E2444" t="inlineStr">
        <is>
          <t>BOLLNÄS</t>
        </is>
      </c>
      <c r="G2444" t="n">
        <v>4.8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26440-2024</t>
        </is>
      </c>
      <c r="B2445" s="1" t="n">
        <v>45469.49199074074</v>
      </c>
      <c r="C2445" s="1" t="n">
        <v>46180</v>
      </c>
      <c r="D2445" t="inlineStr">
        <is>
          <t>GÄVLEBORGS LÄN</t>
        </is>
      </c>
      <c r="E2445" t="inlineStr">
        <is>
          <t>BOLLNÄS</t>
        </is>
      </c>
      <c r="F2445" t="inlineStr">
        <is>
          <t>Bergvik skog väst AB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23218-2026</t>
        </is>
      </c>
      <c r="B2446" s="1" t="n">
        <v>46162.35390046296</v>
      </c>
      <c r="C2446" s="1" t="n">
        <v>46180</v>
      </c>
      <c r="D2446" t="inlineStr">
        <is>
          <t>GÄVLEBORGS LÄN</t>
        </is>
      </c>
      <c r="E2446" t="inlineStr">
        <is>
          <t>BOLLNÄS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25631-2022</t>
        </is>
      </c>
      <c r="B2447" s="1" t="n">
        <v>44732</v>
      </c>
      <c r="C2447" s="1" t="n">
        <v>46180</v>
      </c>
      <c r="D2447" t="inlineStr">
        <is>
          <t>GÄVLEBORGS LÄN</t>
        </is>
      </c>
      <c r="E2447" t="inlineStr">
        <is>
          <t>BOLLNÄS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26246-2024</t>
        </is>
      </c>
      <c r="B2448" s="1" t="n">
        <v>45468.63453703704</v>
      </c>
      <c r="C2448" s="1" t="n">
        <v>46180</v>
      </c>
      <c r="D2448" t="inlineStr">
        <is>
          <t>GÄVLEBORGS LÄN</t>
        </is>
      </c>
      <c r="E2448" t="inlineStr">
        <is>
          <t>BOLLNÄS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50066-2022</t>
        </is>
      </c>
      <c r="B2449" s="1" t="n">
        <v>44865.47965277778</v>
      </c>
      <c r="C2449" s="1" t="n">
        <v>46180</v>
      </c>
      <c r="D2449" t="inlineStr">
        <is>
          <t>GÄVLEBORGS LÄN</t>
        </is>
      </c>
      <c r="E2449" t="inlineStr">
        <is>
          <t>BOLLNÄS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56704-2023</t>
        </is>
      </c>
      <c r="B2450" s="1" t="n">
        <v>45244</v>
      </c>
      <c r="C2450" s="1" t="n">
        <v>46180</v>
      </c>
      <c r="D2450" t="inlineStr">
        <is>
          <t>GÄVLEBORGS LÄN</t>
        </is>
      </c>
      <c r="E2450" t="inlineStr">
        <is>
          <t>BOLLNÄS</t>
        </is>
      </c>
      <c r="G2450" t="n">
        <v>2.4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40653-2023</t>
        </is>
      </c>
      <c r="B2451" s="1" t="n">
        <v>45169</v>
      </c>
      <c r="C2451" s="1" t="n">
        <v>46180</v>
      </c>
      <c r="D2451" t="inlineStr">
        <is>
          <t>GÄVLEBORGS LÄN</t>
        </is>
      </c>
      <c r="E2451" t="inlineStr">
        <is>
          <t>BOLLNÄS</t>
        </is>
      </c>
      <c r="G2451" t="n">
        <v>3.5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29881-2024</t>
        </is>
      </c>
      <c r="B2452" s="1" t="n">
        <v>45486.76454861111</v>
      </c>
      <c r="C2452" s="1" t="n">
        <v>46180</v>
      </c>
      <c r="D2452" t="inlineStr">
        <is>
          <t>GÄVLEBORGS LÄN</t>
        </is>
      </c>
      <c r="E2452" t="inlineStr">
        <is>
          <t>BOLLNÄS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20165-2025</t>
        </is>
      </c>
      <c r="B2453" s="1" t="n">
        <v>45772.57445601852</v>
      </c>
      <c r="C2453" s="1" t="n">
        <v>46180</v>
      </c>
      <c r="D2453" t="inlineStr">
        <is>
          <t>GÄVLEBORGS LÄN</t>
        </is>
      </c>
      <c r="E2453" t="inlineStr">
        <is>
          <t>BOLLNÄS</t>
        </is>
      </c>
      <c r="G2453" t="n">
        <v>2.9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17652-2026</t>
        </is>
      </c>
      <c r="B2454" s="1" t="n">
        <v>46121.55439814815</v>
      </c>
      <c r="C2454" s="1" t="n">
        <v>46180</v>
      </c>
      <c r="D2454" t="inlineStr">
        <is>
          <t>GÄVLEBORGS LÄN</t>
        </is>
      </c>
      <c r="E2454" t="inlineStr">
        <is>
          <t>BOLLNÄS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20308-2026</t>
        </is>
      </c>
      <c r="B2455" s="1" t="n">
        <v>46139.58361111111</v>
      </c>
      <c r="C2455" s="1" t="n">
        <v>46180</v>
      </c>
      <c r="D2455" t="inlineStr">
        <is>
          <t>GÄVLEBORGS LÄN</t>
        </is>
      </c>
      <c r="E2455" t="inlineStr">
        <is>
          <t>BOLLNÄS</t>
        </is>
      </c>
      <c r="G2455" t="n">
        <v>1.9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20451-2026</t>
        </is>
      </c>
      <c r="B2456" s="1" t="n">
        <v>46140</v>
      </c>
      <c r="C2456" s="1" t="n">
        <v>46180</v>
      </c>
      <c r="D2456" t="inlineStr">
        <is>
          <t>GÄVLEBORGS LÄN</t>
        </is>
      </c>
      <c r="E2456" t="inlineStr">
        <is>
          <t>BOLLNÄS</t>
        </is>
      </c>
      <c r="F2456" t="inlineStr">
        <is>
          <t>Bergvik skog väst AB</t>
        </is>
      </c>
      <c r="G2456" t="n">
        <v>3.5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23478-2026</t>
        </is>
      </c>
      <c r="B2457" s="1" t="n">
        <v>46163</v>
      </c>
      <c r="C2457" s="1" t="n">
        <v>46180</v>
      </c>
      <c r="D2457" t="inlineStr">
        <is>
          <t>GÄVLEBORGS LÄN</t>
        </is>
      </c>
      <c r="E2457" t="inlineStr">
        <is>
          <t>BOLLNÄS</t>
        </is>
      </c>
      <c r="F2457" t="inlineStr">
        <is>
          <t>Bergvik skog väst AB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10843-2026</t>
        </is>
      </c>
      <c r="B2458" s="1" t="n">
        <v>46078</v>
      </c>
      <c r="C2458" s="1" t="n">
        <v>46180</v>
      </c>
      <c r="D2458" t="inlineStr">
        <is>
          <t>GÄVLEBORGS LÄN</t>
        </is>
      </c>
      <c r="E2458" t="inlineStr">
        <is>
          <t>BOLLNÄS</t>
        </is>
      </c>
      <c r="F2458" t="inlineStr">
        <is>
          <t>Bergvik skog väst AB</t>
        </is>
      </c>
      <c r="G2458" t="n">
        <v>1.6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23544-2026</t>
        </is>
      </c>
      <c r="B2459" s="1" t="n">
        <v>46163.55135416667</v>
      </c>
      <c r="C2459" s="1" t="n">
        <v>46180</v>
      </c>
      <c r="D2459" t="inlineStr">
        <is>
          <t>GÄVLEBORGS LÄN</t>
        </is>
      </c>
      <c r="E2459" t="inlineStr">
        <is>
          <t>BOLLNÄS</t>
        </is>
      </c>
      <c r="F2459" t="inlineStr">
        <is>
          <t>Bergvik skog väst AB</t>
        </is>
      </c>
      <c r="G2459" t="n">
        <v>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68112-2021</t>
        </is>
      </c>
      <c r="B2460" s="1" t="n">
        <v>44526.37672453704</v>
      </c>
      <c r="C2460" s="1" t="n">
        <v>46180</v>
      </c>
      <c r="D2460" t="inlineStr">
        <is>
          <t>GÄVLEBORGS LÄN</t>
        </is>
      </c>
      <c r="E2460" t="inlineStr">
        <is>
          <t>BOLLNÄS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43310-2024</t>
        </is>
      </c>
      <c r="B2461" s="1" t="n">
        <v>45568.44828703703</v>
      </c>
      <c r="C2461" s="1" t="n">
        <v>46180</v>
      </c>
      <c r="D2461" t="inlineStr">
        <is>
          <t>GÄVLEBORGS LÄN</t>
        </is>
      </c>
      <c r="E2461" t="inlineStr">
        <is>
          <t>BOLLNÄS</t>
        </is>
      </c>
      <c r="G2461" t="n">
        <v>3.1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23387-2026</t>
        </is>
      </c>
      <c r="B2462" s="1" t="n">
        <v>46162.65603009259</v>
      </c>
      <c r="C2462" s="1" t="n">
        <v>46180</v>
      </c>
      <c r="D2462" t="inlineStr">
        <is>
          <t>GÄVLEBORGS LÄN</t>
        </is>
      </c>
      <c r="E2462" t="inlineStr">
        <is>
          <t>BOLLNÄS</t>
        </is>
      </c>
      <c r="G2462" t="n">
        <v>7.5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23268-2026</t>
        </is>
      </c>
      <c r="B2463" s="1" t="n">
        <v>46162.4570949074</v>
      </c>
      <c r="C2463" s="1" t="n">
        <v>46180</v>
      </c>
      <c r="D2463" t="inlineStr">
        <is>
          <t>GÄVLEBORGS LÄN</t>
        </is>
      </c>
      <c r="E2463" t="inlineStr">
        <is>
          <t>BOLLNÄS</t>
        </is>
      </c>
      <c r="G2463" t="n">
        <v>3.6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23272-2026</t>
        </is>
      </c>
      <c r="B2464" s="1" t="n">
        <v>46162.45961805555</v>
      </c>
      <c r="C2464" s="1" t="n">
        <v>46180</v>
      </c>
      <c r="D2464" t="inlineStr">
        <is>
          <t>GÄVLEBORGS LÄN</t>
        </is>
      </c>
      <c r="E2464" t="inlineStr">
        <is>
          <t>BOLLNÄS</t>
        </is>
      </c>
      <c r="G2464" t="n">
        <v>6.7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23276-2026</t>
        </is>
      </c>
      <c r="B2465" s="1" t="n">
        <v>46162.4653125</v>
      </c>
      <c r="C2465" s="1" t="n">
        <v>46180</v>
      </c>
      <c r="D2465" t="inlineStr">
        <is>
          <t>GÄVLEBORGS LÄN</t>
        </is>
      </c>
      <c r="E2465" t="inlineStr">
        <is>
          <t>BOLLNÄS</t>
        </is>
      </c>
      <c r="G2465" t="n">
        <v>7.1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23277-2026</t>
        </is>
      </c>
      <c r="B2466" s="1" t="n">
        <v>46162.46625</v>
      </c>
      <c r="C2466" s="1" t="n">
        <v>46180</v>
      </c>
      <c r="D2466" t="inlineStr">
        <is>
          <t>GÄVLEBORGS LÄN</t>
        </is>
      </c>
      <c r="E2466" t="inlineStr">
        <is>
          <t>BOLLNÄS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12815-2025</t>
        </is>
      </c>
      <c r="B2467" s="1" t="n">
        <v>45733.62225694444</v>
      </c>
      <c r="C2467" s="1" t="n">
        <v>46180</v>
      </c>
      <c r="D2467" t="inlineStr">
        <is>
          <t>GÄVLEBORGS LÄN</t>
        </is>
      </c>
      <c r="E2467" t="inlineStr">
        <is>
          <t>BOLLNÄS</t>
        </is>
      </c>
      <c r="G2467" t="n">
        <v>2.9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17375-2024</t>
        </is>
      </c>
      <c r="B2468" s="1" t="n">
        <v>45414.63744212963</v>
      </c>
      <c r="C2468" s="1" t="n">
        <v>46180</v>
      </c>
      <c r="D2468" t="inlineStr">
        <is>
          <t>GÄVLEBORGS LÄN</t>
        </is>
      </c>
      <c r="E2468" t="inlineStr">
        <is>
          <t>BOLLNÄS</t>
        </is>
      </c>
      <c r="G2468" t="n">
        <v>2.5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11151-2026</t>
        </is>
      </c>
      <c r="B2469" s="1" t="n">
        <v>46080</v>
      </c>
      <c r="C2469" s="1" t="n">
        <v>46180</v>
      </c>
      <c r="D2469" t="inlineStr">
        <is>
          <t>GÄVLEBORGS LÄN</t>
        </is>
      </c>
      <c r="E2469" t="inlineStr">
        <is>
          <t>BOLLNÄS</t>
        </is>
      </c>
      <c r="G2469" t="n">
        <v>4.2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21309-2026</t>
        </is>
      </c>
      <c r="B2470" s="1" t="n">
        <v>46147</v>
      </c>
      <c r="C2470" s="1" t="n">
        <v>46180</v>
      </c>
      <c r="D2470" t="inlineStr">
        <is>
          <t>GÄVLEBORGS LÄN</t>
        </is>
      </c>
      <c r="E2470" t="inlineStr">
        <is>
          <t>BOLLNÄS</t>
        </is>
      </c>
      <c r="F2470" t="inlineStr">
        <is>
          <t>Bergvik skog väst AB</t>
        </is>
      </c>
      <c r="G2470" t="n">
        <v>1.9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59729-2022</t>
        </is>
      </c>
      <c r="B2471" s="1" t="n">
        <v>44908</v>
      </c>
      <c r="C2471" s="1" t="n">
        <v>46180</v>
      </c>
      <c r="D2471" t="inlineStr">
        <is>
          <t>GÄVLEBORGS LÄN</t>
        </is>
      </c>
      <c r="E2471" t="inlineStr">
        <is>
          <t>BOLLNÄS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5135-2022</t>
        </is>
      </c>
      <c r="B2472" s="1" t="n">
        <v>44594.32063657408</v>
      </c>
      <c r="C2472" s="1" t="n">
        <v>46180</v>
      </c>
      <c r="D2472" t="inlineStr">
        <is>
          <t>GÄVLEBORGS LÄN</t>
        </is>
      </c>
      <c r="E2472" t="inlineStr">
        <is>
          <t>BOLLNÄS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39091-2024</t>
        </is>
      </c>
      <c r="B2473" s="1" t="n">
        <v>45548.55346064815</v>
      </c>
      <c r="C2473" s="1" t="n">
        <v>46180</v>
      </c>
      <c r="D2473" t="inlineStr">
        <is>
          <t>GÄVLEBORGS LÄN</t>
        </is>
      </c>
      <c r="E2473" t="inlineStr">
        <is>
          <t>BOLLNÄS</t>
        </is>
      </c>
      <c r="G2473" t="n">
        <v>1.6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30561-2024</t>
        </is>
      </c>
      <c r="B2474" s="1" t="n">
        <v>45492.92834490741</v>
      </c>
      <c r="C2474" s="1" t="n">
        <v>46180</v>
      </c>
      <c r="D2474" t="inlineStr">
        <is>
          <t>GÄVLEBORGS LÄN</t>
        </is>
      </c>
      <c r="E2474" t="inlineStr">
        <is>
          <t>BOLLNÄS</t>
        </is>
      </c>
      <c r="G2474" t="n">
        <v>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49624-2022</t>
        </is>
      </c>
      <c r="B2475" s="1" t="n">
        <v>44862</v>
      </c>
      <c r="C2475" s="1" t="n">
        <v>46180</v>
      </c>
      <c r="D2475" t="inlineStr">
        <is>
          <t>GÄVLEBORGS LÄN</t>
        </is>
      </c>
      <c r="E2475" t="inlineStr">
        <is>
          <t>BOLLNÄS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65403-2021</t>
        </is>
      </c>
      <c r="B2476" s="1" t="n">
        <v>44515</v>
      </c>
      <c r="C2476" s="1" t="n">
        <v>46180</v>
      </c>
      <c r="D2476" t="inlineStr">
        <is>
          <t>GÄVLEBORGS LÄN</t>
        </is>
      </c>
      <c r="E2476" t="inlineStr">
        <is>
          <t>BOLLNÄS</t>
        </is>
      </c>
      <c r="F2476" t="inlineStr">
        <is>
          <t>Bergvik skog väst AB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53566-2022</t>
        </is>
      </c>
      <c r="B2477" s="1" t="n">
        <v>44879</v>
      </c>
      <c r="C2477" s="1" t="n">
        <v>46180</v>
      </c>
      <c r="D2477" t="inlineStr">
        <is>
          <t>GÄVLEBORGS LÄN</t>
        </is>
      </c>
      <c r="E2477" t="inlineStr">
        <is>
          <t>BOLLNÄS</t>
        </is>
      </c>
      <c r="F2477" t="inlineStr">
        <is>
          <t>Holmen skog AB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40453-2024</t>
        </is>
      </c>
      <c r="B2478" s="1" t="n">
        <v>45555.49383101852</v>
      </c>
      <c r="C2478" s="1" t="n">
        <v>46180</v>
      </c>
      <c r="D2478" t="inlineStr">
        <is>
          <t>GÄVLEBORGS LÄN</t>
        </is>
      </c>
      <c r="E2478" t="inlineStr">
        <is>
          <t>BOLLNÄS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14050-2023</t>
        </is>
      </c>
      <c r="B2479" s="1" t="n">
        <v>45008</v>
      </c>
      <c r="C2479" s="1" t="n">
        <v>46180</v>
      </c>
      <c r="D2479" t="inlineStr">
        <is>
          <t>GÄVLEBORGS LÄN</t>
        </is>
      </c>
      <c r="E2479" t="inlineStr">
        <is>
          <t>BOLLNÄS</t>
        </is>
      </c>
      <c r="G2479" t="n">
        <v>0.4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23251-2026</t>
        </is>
      </c>
      <c r="B2480" s="1" t="n">
        <v>46162.43679398148</v>
      </c>
      <c r="C2480" s="1" t="n">
        <v>46180</v>
      </c>
      <c r="D2480" t="inlineStr">
        <is>
          <t>GÄVLEBORGS LÄN</t>
        </is>
      </c>
      <c r="E2480" t="inlineStr">
        <is>
          <t>BOLLNÄS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23256-2026</t>
        </is>
      </c>
      <c r="B2481" s="1" t="n">
        <v>46162.44471064815</v>
      </c>
      <c r="C2481" s="1" t="n">
        <v>46180</v>
      </c>
      <c r="D2481" t="inlineStr">
        <is>
          <t>GÄVLEBORGS LÄN</t>
        </is>
      </c>
      <c r="E2481" t="inlineStr">
        <is>
          <t>BOLLNÄS</t>
        </is>
      </c>
      <c r="G2481" t="n">
        <v>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28314-2023</t>
        </is>
      </c>
      <c r="B2482" s="1" t="n">
        <v>45099.66478009259</v>
      </c>
      <c r="C2482" s="1" t="n">
        <v>46180</v>
      </c>
      <c r="D2482" t="inlineStr">
        <is>
          <t>GÄVLEBORGS LÄN</t>
        </is>
      </c>
      <c r="E2482" t="inlineStr">
        <is>
          <t>BOLLNÄS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36877-2022</t>
        </is>
      </c>
      <c r="B2483" s="1" t="n">
        <v>44805</v>
      </c>
      <c r="C2483" s="1" t="n">
        <v>46180</v>
      </c>
      <c r="D2483" t="inlineStr">
        <is>
          <t>GÄVLEBORGS LÄN</t>
        </is>
      </c>
      <c r="E2483" t="inlineStr">
        <is>
          <t>BOLLNÄS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41740-2023</t>
        </is>
      </c>
      <c r="B2484" s="1" t="n">
        <v>45176.41961805556</v>
      </c>
      <c r="C2484" s="1" t="n">
        <v>46180</v>
      </c>
      <c r="D2484" t="inlineStr">
        <is>
          <t>GÄVLEBORGS LÄN</t>
        </is>
      </c>
      <c r="E2484" t="inlineStr">
        <is>
          <t>BOLLNÄS</t>
        </is>
      </c>
      <c r="G2484" t="n">
        <v>0.4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17647-2026</t>
        </is>
      </c>
      <c r="B2485" s="1" t="n">
        <v>46121</v>
      </c>
      <c r="C2485" s="1" t="n">
        <v>46180</v>
      </c>
      <c r="D2485" t="inlineStr">
        <is>
          <t>GÄVLEBORGS LÄN</t>
        </is>
      </c>
      <c r="E2485" t="inlineStr">
        <is>
          <t>BOLLNÄS</t>
        </is>
      </c>
      <c r="G2485" t="n">
        <v>7.2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20175-2026</t>
        </is>
      </c>
      <c r="B2486" s="1" t="n">
        <v>46139</v>
      </c>
      <c r="C2486" s="1" t="n">
        <v>46180</v>
      </c>
      <c r="D2486" t="inlineStr">
        <is>
          <t>GÄVLEBORGS LÄN</t>
        </is>
      </c>
      <c r="E2486" t="inlineStr">
        <is>
          <t>BOLLNÄS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61592-2022</t>
        </is>
      </c>
      <c r="B2487" s="1" t="n">
        <v>44916</v>
      </c>
      <c r="C2487" s="1" t="n">
        <v>46180</v>
      </c>
      <c r="D2487" t="inlineStr">
        <is>
          <t>GÄVLEBORGS LÄN</t>
        </is>
      </c>
      <c r="E2487" t="inlineStr">
        <is>
          <t>BOLLNÄS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23608-2026</t>
        </is>
      </c>
      <c r="B2488" s="1" t="n">
        <v>46163.65800925926</v>
      </c>
      <c r="C2488" s="1" t="n">
        <v>46180</v>
      </c>
      <c r="D2488" t="inlineStr">
        <is>
          <t>GÄVLEBORGS LÄN</t>
        </is>
      </c>
      <c r="E2488" t="inlineStr">
        <is>
          <t>BOLLNÄS</t>
        </is>
      </c>
      <c r="F2488" t="inlineStr">
        <is>
          <t>Kommuner</t>
        </is>
      </c>
      <c r="G2488" t="n">
        <v>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6879-2023</t>
        </is>
      </c>
      <c r="B2489" s="1" t="n">
        <v>44967.4797337963</v>
      </c>
      <c r="C2489" s="1" t="n">
        <v>46180</v>
      </c>
      <c r="D2489" t="inlineStr">
        <is>
          <t>GÄVLEBORGS LÄN</t>
        </is>
      </c>
      <c r="E2489" t="inlineStr">
        <is>
          <t>BOLLNÄS</t>
        </is>
      </c>
      <c r="G2489" t="n">
        <v>6.3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17667-2026</t>
        </is>
      </c>
      <c r="B2490" s="1" t="n">
        <v>46121</v>
      </c>
      <c r="C2490" s="1" t="n">
        <v>46180</v>
      </c>
      <c r="D2490" t="inlineStr">
        <is>
          <t>GÄVLEBORGS LÄN</t>
        </is>
      </c>
      <c r="E2490" t="inlineStr">
        <is>
          <t>BOLLNÄS</t>
        </is>
      </c>
      <c r="F2490" t="inlineStr">
        <is>
          <t>Bergvik skog väst AB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23273-2026</t>
        </is>
      </c>
      <c r="B2491" s="1" t="n">
        <v>46162.46057870371</v>
      </c>
      <c r="C2491" s="1" t="n">
        <v>46180</v>
      </c>
      <c r="D2491" t="inlineStr">
        <is>
          <t>GÄVLEBORGS LÄN</t>
        </is>
      </c>
      <c r="E2491" t="inlineStr">
        <is>
          <t>BOLLNÄS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23288-2026</t>
        </is>
      </c>
      <c r="B2492" s="1" t="n">
        <v>46162</v>
      </c>
      <c r="C2492" s="1" t="n">
        <v>46180</v>
      </c>
      <c r="D2492" t="inlineStr">
        <is>
          <t>GÄVLEBORGS LÄN</t>
        </is>
      </c>
      <c r="E2492" t="inlineStr">
        <is>
          <t>BOLLNÄS</t>
        </is>
      </c>
      <c r="G2492" t="n">
        <v>5.6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20447-2026</t>
        </is>
      </c>
      <c r="B2493" s="1" t="n">
        <v>46140</v>
      </c>
      <c r="C2493" s="1" t="n">
        <v>46180</v>
      </c>
      <c r="D2493" t="inlineStr">
        <is>
          <t>GÄVLEBORGS LÄN</t>
        </is>
      </c>
      <c r="E2493" t="inlineStr">
        <is>
          <t>BOLLNÄS</t>
        </is>
      </c>
      <c r="F2493" t="inlineStr">
        <is>
          <t>Bergvik skog väst AB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20460-2026</t>
        </is>
      </c>
      <c r="B2494" s="1" t="n">
        <v>46140</v>
      </c>
      <c r="C2494" s="1" t="n">
        <v>46180</v>
      </c>
      <c r="D2494" t="inlineStr">
        <is>
          <t>GÄVLEBORGS LÄN</t>
        </is>
      </c>
      <c r="E2494" t="inlineStr">
        <is>
          <t>BOLLNÄS</t>
        </is>
      </c>
      <c r="F2494" t="inlineStr">
        <is>
          <t>Bergvik skog väst AB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21474-2026</t>
        </is>
      </c>
      <c r="B2495" s="1" t="n">
        <v>46148</v>
      </c>
      <c r="C2495" s="1" t="n">
        <v>46180</v>
      </c>
      <c r="D2495" t="inlineStr">
        <is>
          <t>GÄVLEBORGS LÄN</t>
        </is>
      </c>
      <c r="E2495" t="inlineStr">
        <is>
          <t>BOLLNÄS</t>
        </is>
      </c>
      <c r="F2495" t="inlineStr">
        <is>
          <t>Bergvik skog väst AB</t>
        </is>
      </c>
      <c r="G2495" t="n">
        <v>2.7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23289-2026</t>
        </is>
      </c>
      <c r="B2496" s="1" t="n">
        <v>46162</v>
      </c>
      <c r="C2496" s="1" t="n">
        <v>46180</v>
      </c>
      <c r="D2496" t="inlineStr">
        <is>
          <t>GÄVLEBORGS LÄN</t>
        </is>
      </c>
      <c r="E2496" t="inlineStr">
        <is>
          <t>BOLLNÄS</t>
        </is>
      </c>
      <c r="G2496" t="n">
        <v>9.9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23278-2026</t>
        </is>
      </c>
      <c r="B2497" s="1" t="n">
        <v>46162.46707175926</v>
      </c>
      <c r="C2497" s="1" t="n">
        <v>46180</v>
      </c>
      <c r="D2497" t="inlineStr">
        <is>
          <t>GÄVLEBORGS LÄN</t>
        </is>
      </c>
      <c r="E2497" t="inlineStr">
        <is>
          <t>BOLLNÄS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23291-2026</t>
        </is>
      </c>
      <c r="B2498" s="1" t="n">
        <v>46162.48263888889</v>
      </c>
      <c r="C2498" s="1" t="n">
        <v>46180</v>
      </c>
      <c r="D2498" t="inlineStr">
        <is>
          <t>GÄVLEBORGS LÄN</t>
        </is>
      </c>
      <c r="E2498" t="inlineStr">
        <is>
          <t>BOLLNÄS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18025-2026</t>
        </is>
      </c>
      <c r="B2499" s="1" t="n">
        <v>46125</v>
      </c>
      <c r="C2499" s="1" t="n">
        <v>46180</v>
      </c>
      <c r="D2499" t="inlineStr">
        <is>
          <t>GÄVLEBORGS LÄN</t>
        </is>
      </c>
      <c r="E2499" t="inlineStr">
        <is>
          <t>BOLLNÄS</t>
        </is>
      </c>
      <c r="G2499" t="n">
        <v>2.2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23939-2026</t>
        </is>
      </c>
      <c r="B2500" s="1" t="n">
        <v>46167.55577546296</v>
      </c>
      <c r="C2500" s="1" t="n">
        <v>46180</v>
      </c>
      <c r="D2500" t="inlineStr">
        <is>
          <t>GÄVLEBORGS LÄN</t>
        </is>
      </c>
      <c r="E2500" t="inlineStr">
        <is>
          <t>BOLLNÄS</t>
        </is>
      </c>
      <c r="G2500" t="n">
        <v>3.6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21503-2026</t>
        </is>
      </c>
      <c r="B2501" s="1" t="n">
        <v>46148</v>
      </c>
      <c r="C2501" s="1" t="n">
        <v>46180</v>
      </c>
      <c r="D2501" t="inlineStr">
        <is>
          <t>GÄVLEBORGS LÄN</t>
        </is>
      </c>
      <c r="E2501" t="inlineStr">
        <is>
          <t>BOLLNÄS</t>
        </is>
      </c>
      <c r="G2501" t="n">
        <v>2.4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21572-2026</t>
        </is>
      </c>
      <c r="B2502" s="1" t="n">
        <v>46148</v>
      </c>
      <c r="C2502" s="1" t="n">
        <v>46180</v>
      </c>
      <c r="D2502" t="inlineStr">
        <is>
          <t>GÄVLEBORGS LÄN</t>
        </is>
      </c>
      <c r="E2502" t="inlineStr">
        <is>
          <t>BOLLNÄS</t>
        </is>
      </c>
      <c r="F2502" t="inlineStr">
        <is>
          <t>Bergvik skog väst AB</t>
        </is>
      </c>
      <c r="G2502" t="n">
        <v>1.6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23664-2026</t>
        </is>
      </c>
      <c r="B2503" s="1" t="n">
        <v>46164.37744212963</v>
      </c>
      <c r="C2503" s="1" t="n">
        <v>46180</v>
      </c>
      <c r="D2503" t="inlineStr">
        <is>
          <t>GÄVLEBORGS LÄN</t>
        </is>
      </c>
      <c r="E2503" t="inlineStr">
        <is>
          <t>BOLLNÄS</t>
        </is>
      </c>
      <c r="G2503" t="n">
        <v>6.3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17748-2026</t>
        </is>
      </c>
      <c r="B2504" s="1" t="n">
        <v>46122</v>
      </c>
      <c r="C2504" s="1" t="n">
        <v>46180</v>
      </c>
      <c r="D2504" t="inlineStr">
        <is>
          <t>GÄVLEBORGS LÄN</t>
        </is>
      </c>
      <c r="E2504" t="inlineStr">
        <is>
          <t>BOLLNÄS</t>
        </is>
      </c>
      <c r="F2504" t="inlineStr">
        <is>
          <t>Bergvik skog väst AB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17960-2026</t>
        </is>
      </c>
      <c r="B2505" s="1" t="n">
        <v>46122</v>
      </c>
      <c r="C2505" s="1" t="n">
        <v>46180</v>
      </c>
      <c r="D2505" t="inlineStr">
        <is>
          <t>GÄVLEBORGS LÄN</t>
        </is>
      </c>
      <c r="E2505" t="inlineStr">
        <is>
          <t>BOLLNÄS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23719-2026</t>
        </is>
      </c>
      <c r="B2506" s="1" t="n">
        <v>46164.46807870371</v>
      </c>
      <c r="C2506" s="1" t="n">
        <v>46180</v>
      </c>
      <c r="D2506" t="inlineStr">
        <is>
          <t>GÄVLEBORGS LÄN</t>
        </is>
      </c>
      <c r="E2506" t="inlineStr">
        <is>
          <t>BOLLNÄS</t>
        </is>
      </c>
      <c r="F2506" t="inlineStr">
        <is>
          <t>Bergvik skog väst AB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18195-2026</t>
        </is>
      </c>
      <c r="B2507" s="1" t="n">
        <v>46125</v>
      </c>
      <c r="C2507" s="1" t="n">
        <v>46180</v>
      </c>
      <c r="D2507" t="inlineStr">
        <is>
          <t>GÄVLEBORGS LÄN</t>
        </is>
      </c>
      <c r="E2507" t="inlineStr">
        <is>
          <t>BOLLNÄS</t>
        </is>
      </c>
      <c r="F2507" t="inlineStr">
        <is>
          <t>Bergvik skog väst AB</t>
        </is>
      </c>
      <c r="G2507" t="n">
        <v>4.6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22058-2026</t>
        </is>
      </c>
      <c r="B2508" s="1" t="n">
        <v>46153</v>
      </c>
      <c r="C2508" s="1" t="n">
        <v>46180</v>
      </c>
      <c r="D2508" t="inlineStr">
        <is>
          <t>GÄVLEBORGS LÄN</t>
        </is>
      </c>
      <c r="E2508" t="inlineStr">
        <is>
          <t>BOLLNÄS</t>
        </is>
      </c>
      <c r="G2508" t="n">
        <v>1.5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18010-2026</t>
        </is>
      </c>
      <c r="B2509" s="1" t="n">
        <v>46125.33712962963</v>
      </c>
      <c r="C2509" s="1" t="n">
        <v>46180</v>
      </c>
      <c r="D2509" t="inlineStr">
        <is>
          <t>GÄVLEBORGS LÄN</t>
        </is>
      </c>
      <c r="E2509" t="inlineStr">
        <is>
          <t>BOLLNÄS</t>
        </is>
      </c>
      <c r="F2509" t="inlineStr">
        <is>
          <t>Holmen skog AB</t>
        </is>
      </c>
      <c r="G2509" t="n">
        <v>5.1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23891-2026</t>
        </is>
      </c>
      <c r="B2510" s="1" t="n">
        <v>46167.45952546296</v>
      </c>
      <c r="C2510" s="1" t="n">
        <v>46180</v>
      </c>
      <c r="D2510" t="inlineStr">
        <is>
          <t>GÄVLEBORGS LÄN</t>
        </is>
      </c>
      <c r="E2510" t="inlineStr">
        <is>
          <t>BOLLNÄS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18196-2026</t>
        </is>
      </c>
      <c r="B2511" s="1" t="n">
        <v>46125</v>
      </c>
      <c r="C2511" s="1" t="n">
        <v>46180</v>
      </c>
      <c r="D2511" t="inlineStr">
        <is>
          <t>GÄVLEBORGS LÄN</t>
        </is>
      </c>
      <c r="E2511" t="inlineStr">
        <is>
          <t>BOLLNÄS</t>
        </is>
      </c>
      <c r="F2511" t="inlineStr">
        <is>
          <t>Bergvik skog väst AB</t>
        </is>
      </c>
      <c r="G2511" t="n">
        <v>5.7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18203-2026</t>
        </is>
      </c>
      <c r="B2512" s="1" t="n">
        <v>46125</v>
      </c>
      <c r="C2512" s="1" t="n">
        <v>46180</v>
      </c>
      <c r="D2512" t="inlineStr">
        <is>
          <t>GÄVLEBORGS LÄN</t>
        </is>
      </c>
      <c r="E2512" t="inlineStr">
        <is>
          <t>BOLLNÄS</t>
        </is>
      </c>
      <c r="F2512" t="inlineStr">
        <is>
          <t>Bergvik skog väst AB</t>
        </is>
      </c>
      <c r="G2512" t="n">
        <v>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46958-2024</t>
        </is>
      </c>
      <c r="B2513" s="1" t="n">
        <v>45586.29105324074</v>
      </c>
      <c r="C2513" s="1" t="n">
        <v>46180</v>
      </c>
      <c r="D2513" t="inlineStr">
        <is>
          <t>GÄVLEBORGS LÄN</t>
        </is>
      </c>
      <c r="E2513" t="inlineStr">
        <is>
          <t>BOLLNÄS</t>
        </is>
      </c>
      <c r="F2513" t="inlineStr">
        <is>
          <t>Bergvik skog väst AB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21313-2026</t>
        </is>
      </c>
      <c r="B2514" s="1" t="n">
        <v>46147</v>
      </c>
      <c r="C2514" s="1" t="n">
        <v>46180</v>
      </c>
      <c r="D2514" t="inlineStr">
        <is>
          <t>GÄVLEBORGS LÄN</t>
        </is>
      </c>
      <c r="E2514" t="inlineStr">
        <is>
          <t>BOLLNÄS</t>
        </is>
      </c>
      <c r="F2514" t="inlineStr">
        <is>
          <t>Bergvik skog väst AB</t>
        </is>
      </c>
      <c r="G2514" t="n">
        <v>2.5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21920-2026</t>
        </is>
      </c>
      <c r="B2515" s="1" t="n">
        <v>46150</v>
      </c>
      <c r="C2515" s="1" t="n">
        <v>46180</v>
      </c>
      <c r="D2515" t="inlineStr">
        <is>
          <t>GÄVLEBORGS LÄN</t>
        </is>
      </c>
      <c r="E2515" t="inlineStr">
        <is>
          <t>BOLLNÄS</t>
        </is>
      </c>
      <c r="G2515" t="n">
        <v>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22551-2026</t>
        </is>
      </c>
      <c r="B2516" s="1" t="n">
        <v>46155</v>
      </c>
      <c r="C2516" s="1" t="n">
        <v>46180</v>
      </c>
      <c r="D2516" t="inlineStr">
        <is>
          <t>GÄVLEBORGS LÄN</t>
        </is>
      </c>
      <c r="E2516" t="inlineStr">
        <is>
          <t>BOLLNÄS</t>
        </is>
      </c>
      <c r="G2516" t="n">
        <v>7.9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11947-2026</t>
        </is>
      </c>
      <c r="B2517" s="1" t="n">
        <v>46085</v>
      </c>
      <c r="C2517" s="1" t="n">
        <v>46180</v>
      </c>
      <c r="D2517" t="inlineStr">
        <is>
          <t>GÄVLEBORGS LÄN</t>
        </is>
      </c>
      <c r="E2517" t="inlineStr">
        <is>
          <t>BOLLNÄS</t>
        </is>
      </c>
      <c r="G2517" t="n">
        <v>5.8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17970-2026</t>
        </is>
      </c>
      <c r="B2518" s="1" t="n">
        <v>46123.49990740741</v>
      </c>
      <c r="C2518" s="1" t="n">
        <v>46180</v>
      </c>
      <c r="D2518" t="inlineStr">
        <is>
          <t>GÄVLEBORGS LÄN</t>
        </is>
      </c>
      <c r="E2518" t="inlineStr">
        <is>
          <t>BOLLNÄS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20468-2026</t>
        </is>
      </c>
      <c r="B2519" s="1" t="n">
        <v>46140</v>
      </c>
      <c r="C2519" s="1" t="n">
        <v>46180</v>
      </c>
      <c r="D2519" t="inlineStr">
        <is>
          <t>GÄVLEBORGS LÄN</t>
        </is>
      </c>
      <c r="E2519" t="inlineStr">
        <is>
          <t>BOLLNÄS</t>
        </is>
      </c>
      <c r="F2519" t="inlineStr">
        <is>
          <t>Bergvik skog väst AB</t>
        </is>
      </c>
      <c r="G2519" t="n">
        <v>2.3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18211-2026</t>
        </is>
      </c>
      <c r="B2520" s="1" t="n">
        <v>46125</v>
      </c>
      <c r="C2520" s="1" t="n">
        <v>46180</v>
      </c>
      <c r="D2520" t="inlineStr">
        <is>
          <t>GÄVLEBORGS LÄN</t>
        </is>
      </c>
      <c r="E2520" t="inlineStr">
        <is>
          <t>BOLLNÄS</t>
        </is>
      </c>
      <c r="G2520" t="n">
        <v>3.4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23856-2026</t>
        </is>
      </c>
      <c r="B2521" s="1" t="n">
        <v>46167.38784722222</v>
      </c>
      <c r="C2521" s="1" t="n">
        <v>46180</v>
      </c>
      <c r="D2521" t="inlineStr">
        <is>
          <t>GÄVLEBORGS LÄN</t>
        </is>
      </c>
      <c r="E2521" t="inlineStr">
        <is>
          <t>BOLLNÄS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23897-2026</t>
        </is>
      </c>
      <c r="B2522" s="1" t="n">
        <v>46167.46493055556</v>
      </c>
      <c r="C2522" s="1" t="n">
        <v>46180</v>
      </c>
      <c r="D2522" t="inlineStr">
        <is>
          <t>GÄVLEBORGS LÄN</t>
        </is>
      </c>
      <c r="E2522" t="inlineStr">
        <is>
          <t>BOLLNÄS</t>
        </is>
      </c>
      <c r="G2522" t="n">
        <v>3.2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6405-2026</t>
        </is>
      </c>
      <c r="B2523" s="1" t="n">
        <v>46055</v>
      </c>
      <c r="C2523" s="1" t="n">
        <v>46180</v>
      </c>
      <c r="D2523" t="inlineStr">
        <is>
          <t>GÄVLEBORGS LÄN</t>
        </is>
      </c>
      <c r="E2523" t="inlineStr">
        <is>
          <t>BOLLNÄS</t>
        </is>
      </c>
      <c r="F2523" t="inlineStr">
        <is>
          <t>Bergvik skog väst AB</t>
        </is>
      </c>
      <c r="G2523" t="n">
        <v>9.699999999999999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23703-2026</t>
        </is>
      </c>
      <c r="B2524" s="1" t="n">
        <v>46164.45052083334</v>
      </c>
      <c r="C2524" s="1" t="n">
        <v>46180</v>
      </c>
      <c r="D2524" t="inlineStr">
        <is>
          <t>GÄVLEBORGS LÄN</t>
        </is>
      </c>
      <c r="E2524" t="inlineStr">
        <is>
          <t>BOLLNÄS</t>
        </is>
      </c>
      <c r="F2524" t="inlineStr">
        <is>
          <t>Bergvik skog väst AB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18198-2026</t>
        </is>
      </c>
      <c r="B2525" s="1" t="n">
        <v>46125</v>
      </c>
      <c r="C2525" s="1" t="n">
        <v>46180</v>
      </c>
      <c r="D2525" t="inlineStr">
        <is>
          <t>GÄVLEBORGS LÄN</t>
        </is>
      </c>
      <c r="E2525" t="inlineStr">
        <is>
          <t>BOLLNÄS</t>
        </is>
      </c>
      <c r="F2525" t="inlineStr">
        <is>
          <t>Bergvik skog väst AB</t>
        </is>
      </c>
      <c r="G2525" t="n">
        <v>11.6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21633-2026</t>
        </is>
      </c>
      <c r="B2526" s="1" t="n">
        <v>46149</v>
      </c>
      <c r="C2526" s="1" t="n">
        <v>46180</v>
      </c>
      <c r="D2526" t="inlineStr">
        <is>
          <t>GÄVLEBORGS LÄN</t>
        </is>
      </c>
      <c r="E2526" t="inlineStr">
        <is>
          <t>BOLLNÄS</t>
        </is>
      </c>
      <c r="F2526" t="inlineStr">
        <is>
          <t>Bergvik skog väst AB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23885-2026</t>
        </is>
      </c>
      <c r="B2527" s="1" t="n">
        <v>46167.44890046296</v>
      </c>
      <c r="C2527" s="1" t="n">
        <v>46180</v>
      </c>
      <c r="D2527" t="inlineStr">
        <is>
          <t>GÄVLEBORGS LÄN</t>
        </is>
      </c>
      <c r="E2527" t="inlineStr">
        <is>
          <t>BOLLNÄS</t>
        </is>
      </c>
      <c r="G2527" t="n">
        <v>16.3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21510-2026</t>
        </is>
      </c>
      <c r="B2528" s="1" t="n">
        <v>46148</v>
      </c>
      <c r="C2528" s="1" t="n">
        <v>46180</v>
      </c>
      <c r="D2528" t="inlineStr">
        <is>
          <t>GÄVLEBORGS LÄN</t>
        </is>
      </c>
      <c r="E2528" t="inlineStr">
        <is>
          <t>BOLLNÄS</t>
        </is>
      </c>
      <c r="G2528" t="n">
        <v>4.3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21555-2026</t>
        </is>
      </c>
      <c r="B2529" s="1" t="n">
        <v>46148</v>
      </c>
      <c r="C2529" s="1" t="n">
        <v>46180</v>
      </c>
      <c r="D2529" t="inlineStr">
        <is>
          <t>GÄVLEBORGS LÄN</t>
        </is>
      </c>
      <c r="E2529" t="inlineStr">
        <is>
          <t>BOLLNÄS</t>
        </is>
      </c>
      <c r="G2529" t="n">
        <v>8.9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18182-2026</t>
        </is>
      </c>
      <c r="B2530" s="1" t="n">
        <v>46125</v>
      </c>
      <c r="C2530" s="1" t="n">
        <v>46180</v>
      </c>
      <c r="D2530" t="inlineStr">
        <is>
          <t>GÄVLEBORGS LÄN</t>
        </is>
      </c>
      <c r="E2530" t="inlineStr">
        <is>
          <t>BOLLNÄS</t>
        </is>
      </c>
      <c r="F2530" t="inlineStr">
        <is>
          <t>Bergvik skog väst AB</t>
        </is>
      </c>
      <c r="G2530" t="n">
        <v>10.1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23673-2026</t>
        </is>
      </c>
      <c r="B2531" s="1" t="n">
        <v>46164.38887731481</v>
      </c>
      <c r="C2531" s="1" t="n">
        <v>46180</v>
      </c>
      <c r="D2531" t="inlineStr">
        <is>
          <t>GÄVLEBORGS LÄN</t>
        </is>
      </c>
      <c r="E2531" t="inlineStr">
        <is>
          <t>BOLLNÄS</t>
        </is>
      </c>
      <c r="G2531" t="n">
        <v>20.9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23881-2026</t>
        </is>
      </c>
      <c r="B2532" s="1" t="n">
        <v>46167.44730324074</v>
      </c>
      <c r="C2532" s="1" t="n">
        <v>46180</v>
      </c>
      <c r="D2532" t="inlineStr">
        <is>
          <t>GÄVLEBORGS LÄN</t>
        </is>
      </c>
      <c r="E2532" t="inlineStr">
        <is>
          <t>BOLLNÄS</t>
        </is>
      </c>
      <c r="G2532" t="n">
        <v>5.9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9187-2026</t>
        </is>
      </c>
      <c r="B2533" s="1" t="n">
        <v>46070.37931712963</v>
      </c>
      <c r="C2533" s="1" t="n">
        <v>46180</v>
      </c>
      <c r="D2533" t="inlineStr">
        <is>
          <t>GÄVLEBORGS LÄN</t>
        </is>
      </c>
      <c r="E2533" t="inlineStr">
        <is>
          <t>BOLLNÄS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21299-2026</t>
        </is>
      </c>
      <c r="B2534" s="1" t="n">
        <v>46147</v>
      </c>
      <c r="C2534" s="1" t="n">
        <v>46180</v>
      </c>
      <c r="D2534" t="inlineStr">
        <is>
          <t>GÄVLEBORGS LÄN</t>
        </is>
      </c>
      <c r="E2534" t="inlineStr">
        <is>
          <t>BOLLNÄS</t>
        </is>
      </c>
      <c r="F2534" t="inlineStr">
        <is>
          <t>Bergvik skog väst AB</t>
        </is>
      </c>
      <c r="G2534" t="n">
        <v>2.4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21399-2026</t>
        </is>
      </c>
      <c r="B2535" s="1" t="n">
        <v>46148</v>
      </c>
      <c r="C2535" s="1" t="n">
        <v>46180</v>
      </c>
      <c r="D2535" t="inlineStr">
        <is>
          <t>GÄVLEBORGS LÄN</t>
        </is>
      </c>
      <c r="E2535" t="inlineStr">
        <is>
          <t>BOLLNÄS</t>
        </is>
      </c>
      <c r="F2535" t="inlineStr">
        <is>
          <t>Bergvik skog väst AB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18088-2026</t>
        </is>
      </c>
      <c r="B2536" s="1" t="n">
        <v>46125.54267361111</v>
      </c>
      <c r="C2536" s="1" t="n">
        <v>46180</v>
      </c>
      <c r="D2536" t="inlineStr">
        <is>
          <t>GÄVLEBORGS LÄN</t>
        </is>
      </c>
      <c r="E2536" t="inlineStr">
        <is>
          <t>BOLLNÄS</t>
        </is>
      </c>
      <c r="G2536" t="n">
        <v>5.1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23857-2026</t>
        </is>
      </c>
      <c r="B2537" s="1" t="n">
        <v>46167.38853009259</v>
      </c>
      <c r="C2537" s="1" t="n">
        <v>46180</v>
      </c>
      <c r="D2537" t="inlineStr">
        <is>
          <t>GÄVLEBORGS LÄN</t>
        </is>
      </c>
      <c r="E2537" t="inlineStr">
        <is>
          <t>BOLLNÄS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18037-2026</t>
        </is>
      </c>
      <c r="B2538" s="1" t="n">
        <v>46125</v>
      </c>
      <c r="C2538" s="1" t="n">
        <v>46180</v>
      </c>
      <c r="D2538" t="inlineStr">
        <is>
          <t>GÄVLEBORGS LÄN</t>
        </is>
      </c>
      <c r="E2538" t="inlineStr">
        <is>
          <t>BOLLNÄS</t>
        </is>
      </c>
      <c r="G2538" t="n">
        <v>7.8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18053-2026</t>
        </is>
      </c>
      <c r="B2539" s="1" t="n">
        <v>46125</v>
      </c>
      <c r="C2539" s="1" t="n">
        <v>46180</v>
      </c>
      <c r="D2539" t="inlineStr">
        <is>
          <t>GÄVLEBORGS LÄN</t>
        </is>
      </c>
      <c r="E2539" t="inlineStr">
        <is>
          <t>BOLLNÄS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27558-2023</t>
        </is>
      </c>
      <c r="B2540" s="1" t="n">
        <v>45097</v>
      </c>
      <c r="C2540" s="1" t="n">
        <v>46180</v>
      </c>
      <c r="D2540" t="inlineStr">
        <is>
          <t>GÄVLEBORGS LÄN</t>
        </is>
      </c>
      <c r="E2540" t="inlineStr">
        <is>
          <t>BOLLNÄS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20915-2026</t>
        </is>
      </c>
      <c r="B2541" s="1" t="n">
        <v>46142</v>
      </c>
      <c r="C2541" s="1" t="n">
        <v>46180</v>
      </c>
      <c r="D2541" t="inlineStr">
        <is>
          <t>GÄVLEBORGS LÄN</t>
        </is>
      </c>
      <c r="E2541" t="inlineStr">
        <is>
          <t>BOLLNÄS</t>
        </is>
      </c>
      <c r="F2541" t="inlineStr">
        <is>
          <t>Bergvik skog väst AB</t>
        </is>
      </c>
      <c r="G2541" t="n">
        <v>1.5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21565-2026</t>
        </is>
      </c>
      <c r="B2542" s="1" t="n">
        <v>46148</v>
      </c>
      <c r="C2542" s="1" t="n">
        <v>46180</v>
      </c>
      <c r="D2542" t="inlineStr">
        <is>
          <t>GÄVLEBORGS LÄN</t>
        </is>
      </c>
      <c r="E2542" t="inlineStr">
        <is>
          <t>BOLLNÄS</t>
        </is>
      </c>
      <c r="F2542" t="inlineStr">
        <is>
          <t>Bergvik skog väst AB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20878-2026</t>
        </is>
      </c>
      <c r="B2543" s="1" t="n">
        <v>46142</v>
      </c>
      <c r="C2543" s="1" t="n">
        <v>46180</v>
      </c>
      <c r="D2543" t="inlineStr">
        <is>
          <t>GÄVLEBORGS LÄN</t>
        </is>
      </c>
      <c r="E2543" t="inlineStr">
        <is>
          <t>BOLLNÄS</t>
        </is>
      </c>
      <c r="G2543" t="n">
        <v>4.3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22394-2026</t>
        </is>
      </c>
      <c r="B2544" s="1" t="n">
        <v>46154</v>
      </c>
      <c r="C2544" s="1" t="n">
        <v>46180</v>
      </c>
      <c r="D2544" t="inlineStr">
        <is>
          <t>GÄVLEBORGS LÄN</t>
        </is>
      </c>
      <c r="E2544" t="inlineStr">
        <is>
          <t>BOLLNÄS</t>
        </is>
      </c>
      <c r="G2544" t="n">
        <v>2.7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18092-2026</t>
        </is>
      </c>
      <c r="B2545" s="1" t="n">
        <v>46125</v>
      </c>
      <c r="C2545" s="1" t="n">
        <v>46180</v>
      </c>
      <c r="D2545" t="inlineStr">
        <is>
          <t>GÄVLEBORGS LÄN</t>
        </is>
      </c>
      <c r="E2545" t="inlineStr">
        <is>
          <t>BOLLNÄS</t>
        </is>
      </c>
      <c r="G2545" t="n">
        <v>3.6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21485-2026</t>
        </is>
      </c>
      <c r="B2546" s="1" t="n">
        <v>46148</v>
      </c>
      <c r="C2546" s="1" t="n">
        <v>46180</v>
      </c>
      <c r="D2546" t="inlineStr">
        <is>
          <t>GÄVLEBORGS LÄN</t>
        </is>
      </c>
      <c r="E2546" t="inlineStr">
        <is>
          <t>BOLLNÄS</t>
        </is>
      </c>
      <c r="F2546" t="inlineStr">
        <is>
          <t>Bergvik skog väst AB</t>
        </is>
      </c>
      <c r="G2546" t="n">
        <v>3.3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21550-2026</t>
        </is>
      </c>
      <c r="B2547" s="1" t="n">
        <v>46148</v>
      </c>
      <c r="C2547" s="1" t="n">
        <v>46180</v>
      </c>
      <c r="D2547" t="inlineStr">
        <is>
          <t>GÄVLEBORGS LÄN</t>
        </is>
      </c>
      <c r="E2547" t="inlineStr">
        <is>
          <t>BOLLNÄS</t>
        </is>
      </c>
      <c r="G2547" t="n">
        <v>3.6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48301-2023</t>
        </is>
      </c>
      <c r="B2548" s="1" t="n">
        <v>45205</v>
      </c>
      <c r="C2548" s="1" t="n">
        <v>46180</v>
      </c>
      <c r="D2548" t="inlineStr">
        <is>
          <t>GÄVLEBORGS LÄN</t>
        </is>
      </c>
      <c r="E2548" t="inlineStr">
        <is>
          <t>BOLLNÄS</t>
        </is>
      </c>
      <c r="G2548" t="n">
        <v>5.1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15464-2022</t>
        </is>
      </c>
      <c r="B2549" s="1" t="n">
        <v>44662</v>
      </c>
      <c r="C2549" s="1" t="n">
        <v>46180</v>
      </c>
      <c r="D2549" t="inlineStr">
        <is>
          <t>GÄVLEBORGS LÄN</t>
        </is>
      </c>
      <c r="E2549" t="inlineStr">
        <is>
          <t>BOLLNÄS</t>
        </is>
      </c>
      <c r="G2549" t="n">
        <v>1.6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24147-2026</t>
        </is>
      </c>
      <c r="B2550" s="1" t="n">
        <v>46168.49009259259</v>
      </c>
      <c r="C2550" s="1" t="n">
        <v>46180</v>
      </c>
      <c r="D2550" t="inlineStr">
        <is>
          <t>GÄVLEBORGS LÄN</t>
        </is>
      </c>
      <c r="E2550" t="inlineStr">
        <is>
          <t>BOLLNÄS</t>
        </is>
      </c>
      <c r="G2550" t="n">
        <v>1.9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37194-2023</t>
        </is>
      </c>
      <c r="B2551" s="1" t="n">
        <v>45155.66672453703</v>
      </c>
      <c r="C2551" s="1" t="n">
        <v>46180</v>
      </c>
      <c r="D2551" t="inlineStr">
        <is>
          <t>GÄVLEBORGS LÄN</t>
        </is>
      </c>
      <c r="E2551" t="inlineStr">
        <is>
          <t>BOLLNÄS</t>
        </is>
      </c>
      <c r="G2551" t="n">
        <v>2.7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18539-2026</t>
        </is>
      </c>
      <c r="B2552" s="1" t="n">
        <v>46127.56037037037</v>
      </c>
      <c r="C2552" s="1" t="n">
        <v>46180</v>
      </c>
      <c r="D2552" t="inlineStr">
        <is>
          <t>GÄVLEBORGS LÄN</t>
        </is>
      </c>
      <c r="E2552" t="inlineStr">
        <is>
          <t>BOLLNÄS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21764-2026</t>
        </is>
      </c>
      <c r="B2553" s="1" t="n">
        <v>46150</v>
      </c>
      <c r="C2553" s="1" t="n">
        <v>46180</v>
      </c>
      <c r="D2553" t="inlineStr">
        <is>
          <t>GÄVLEBORGS LÄN</t>
        </is>
      </c>
      <c r="E2553" t="inlineStr">
        <is>
          <t>BOLLNÄS</t>
        </is>
      </c>
      <c r="F2553" t="inlineStr">
        <is>
          <t>Bergvik skog väst AB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21793-2026</t>
        </is>
      </c>
      <c r="B2554" s="1" t="n">
        <v>46150</v>
      </c>
      <c r="C2554" s="1" t="n">
        <v>46180</v>
      </c>
      <c r="D2554" t="inlineStr">
        <is>
          <t>GÄVLEBORGS LÄN</t>
        </is>
      </c>
      <c r="E2554" t="inlineStr">
        <is>
          <t>BOLLNÄS</t>
        </is>
      </c>
      <c r="F2554" t="inlineStr">
        <is>
          <t>Bergvik skog väst AB</t>
        </is>
      </c>
      <c r="G2554" t="n">
        <v>2.7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23206-2026</t>
        </is>
      </c>
      <c r="B2555" s="1" t="n">
        <v>46162</v>
      </c>
      <c r="C2555" s="1" t="n">
        <v>46180</v>
      </c>
      <c r="D2555" t="inlineStr">
        <is>
          <t>GÄVLEBORGS LÄN</t>
        </is>
      </c>
      <c r="E2555" t="inlineStr">
        <is>
          <t>BOLLNÄS</t>
        </is>
      </c>
      <c r="F2555" t="inlineStr">
        <is>
          <t>Bergvik skog väst AB</t>
        </is>
      </c>
      <c r="G2555" t="n">
        <v>2.2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23262-2026</t>
        </is>
      </c>
      <c r="B2556" s="1" t="n">
        <v>46162</v>
      </c>
      <c r="C2556" s="1" t="n">
        <v>46180</v>
      </c>
      <c r="D2556" t="inlineStr">
        <is>
          <t>GÄVLEBORGS LÄN</t>
        </is>
      </c>
      <c r="E2556" t="inlineStr">
        <is>
          <t>BOLLNÄS</t>
        </is>
      </c>
      <c r="F2556" t="inlineStr">
        <is>
          <t>Bergvik skog väst AB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18381-2026</t>
        </is>
      </c>
      <c r="B2557" s="1" t="n">
        <v>46126</v>
      </c>
      <c r="C2557" s="1" t="n">
        <v>46180</v>
      </c>
      <c r="D2557" t="inlineStr">
        <is>
          <t>GÄVLEBORGS LÄN</t>
        </is>
      </c>
      <c r="E2557" t="inlineStr">
        <is>
          <t>BOLLNÄS</t>
        </is>
      </c>
      <c r="F2557" t="inlineStr">
        <is>
          <t>Kyrkan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71657-2021</t>
        </is>
      </c>
      <c r="B2558" s="1" t="n">
        <v>44543.37199074074</v>
      </c>
      <c r="C2558" s="1" t="n">
        <v>46180</v>
      </c>
      <c r="D2558" t="inlineStr">
        <is>
          <t>GÄVLEBORGS LÄN</t>
        </is>
      </c>
      <c r="E2558" t="inlineStr">
        <is>
          <t>BOLLNÄS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21666-2026</t>
        </is>
      </c>
      <c r="B2559" s="1" t="n">
        <v>46149</v>
      </c>
      <c r="C2559" s="1" t="n">
        <v>46180</v>
      </c>
      <c r="D2559" t="inlineStr">
        <is>
          <t>GÄVLEBORGS LÄN</t>
        </is>
      </c>
      <c r="E2559" t="inlineStr">
        <is>
          <t>BOLLNÄS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21677-2026</t>
        </is>
      </c>
      <c r="B2560" s="1" t="n">
        <v>46149</v>
      </c>
      <c r="C2560" s="1" t="n">
        <v>46180</v>
      </c>
      <c r="D2560" t="inlineStr">
        <is>
          <t>GÄVLEBORGS LÄN</t>
        </is>
      </c>
      <c r="E2560" t="inlineStr">
        <is>
          <t>BOLLNÄS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18151-2024</t>
        </is>
      </c>
      <c r="B2561" s="1" t="n">
        <v>45420.60313657407</v>
      </c>
      <c r="C2561" s="1" t="n">
        <v>46180</v>
      </c>
      <c r="D2561" t="inlineStr">
        <is>
          <t>GÄVLEBORGS LÄN</t>
        </is>
      </c>
      <c r="E2561" t="inlineStr">
        <is>
          <t>BOLLNÄS</t>
        </is>
      </c>
      <c r="G2561" t="n">
        <v>7.2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24141-2026</t>
        </is>
      </c>
      <c r="B2562" s="1" t="n">
        <v>46168.47836805556</v>
      </c>
      <c r="C2562" s="1" t="n">
        <v>46180</v>
      </c>
      <c r="D2562" t="inlineStr">
        <is>
          <t>GÄVLEBORGS LÄN</t>
        </is>
      </c>
      <c r="E2562" t="inlineStr">
        <is>
          <t>BOLLNÄS</t>
        </is>
      </c>
      <c r="G2562" t="n">
        <v>3.9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55048-2022</t>
        </is>
      </c>
      <c r="B2563" s="1" t="n">
        <v>44886</v>
      </c>
      <c r="C2563" s="1" t="n">
        <v>46180</v>
      </c>
      <c r="D2563" t="inlineStr">
        <is>
          <t>GÄVLEBORGS LÄN</t>
        </is>
      </c>
      <c r="E2563" t="inlineStr">
        <is>
          <t>BOLLNÄS</t>
        </is>
      </c>
      <c r="F2563" t="inlineStr">
        <is>
          <t>Sveaskog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13528-2026</t>
        </is>
      </c>
      <c r="B2564" s="1" t="n">
        <v>46094</v>
      </c>
      <c r="C2564" s="1" t="n">
        <v>46180</v>
      </c>
      <c r="D2564" t="inlineStr">
        <is>
          <t>GÄVLEBORGS LÄN</t>
        </is>
      </c>
      <c r="E2564" t="inlineStr">
        <is>
          <t>BOLLNÄS</t>
        </is>
      </c>
      <c r="G2564" t="n">
        <v>3.7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13547-2026</t>
        </is>
      </c>
      <c r="B2565" s="1" t="n">
        <v>46094</v>
      </c>
      <c r="C2565" s="1" t="n">
        <v>46180</v>
      </c>
      <c r="D2565" t="inlineStr">
        <is>
          <t>GÄVLEBORGS LÄN</t>
        </is>
      </c>
      <c r="E2565" t="inlineStr">
        <is>
          <t>BOLLNÄS</t>
        </is>
      </c>
      <c r="G2565" t="n">
        <v>7.5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24136-2026</t>
        </is>
      </c>
      <c r="B2566" s="1" t="n">
        <v>46168.45886574074</v>
      </c>
      <c r="C2566" s="1" t="n">
        <v>46180</v>
      </c>
      <c r="D2566" t="inlineStr">
        <is>
          <t>GÄVLEBORGS LÄN</t>
        </is>
      </c>
      <c r="E2566" t="inlineStr">
        <is>
          <t>BOLLNÄS</t>
        </is>
      </c>
      <c r="F2566" t="inlineStr">
        <is>
          <t>Bergvik skog väst AB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18462-2026</t>
        </is>
      </c>
      <c r="B2567" s="1" t="n">
        <v>46127</v>
      </c>
      <c r="C2567" s="1" t="n">
        <v>46180</v>
      </c>
      <c r="D2567" t="inlineStr">
        <is>
          <t>GÄVLEBORGS LÄN</t>
        </is>
      </c>
      <c r="E2567" t="inlineStr">
        <is>
          <t>BOLLNÄS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51259-2023</t>
        </is>
      </c>
      <c r="B2568" s="1" t="n">
        <v>45219</v>
      </c>
      <c r="C2568" s="1" t="n">
        <v>46180</v>
      </c>
      <c r="D2568" t="inlineStr">
        <is>
          <t>GÄVLEBORGS LÄN</t>
        </is>
      </c>
      <c r="E2568" t="inlineStr">
        <is>
          <t>BOLLNÄS</t>
        </is>
      </c>
      <c r="G2568" t="n">
        <v>0.4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21643-2026</t>
        </is>
      </c>
      <c r="B2569" s="1" t="n">
        <v>46149</v>
      </c>
      <c r="C2569" s="1" t="n">
        <v>46180</v>
      </c>
      <c r="D2569" t="inlineStr">
        <is>
          <t>GÄVLEBORGS LÄN</t>
        </is>
      </c>
      <c r="E2569" t="inlineStr">
        <is>
          <t>BOLLNÄS</t>
        </is>
      </c>
      <c r="G2569" t="n">
        <v>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11799-2025</t>
        </is>
      </c>
      <c r="B2570" s="1" t="n">
        <v>45727.8137037037</v>
      </c>
      <c r="C2570" s="1" t="n">
        <v>46180</v>
      </c>
      <c r="D2570" t="inlineStr">
        <is>
          <t>GÄVLEBORGS LÄN</t>
        </is>
      </c>
      <c r="E2570" t="inlineStr">
        <is>
          <t>BOLLNÄS</t>
        </is>
      </c>
      <c r="G2570" t="n">
        <v>9.5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12870-2026</t>
        </is>
      </c>
      <c r="B2571" s="1" t="n">
        <v>46092</v>
      </c>
      <c r="C2571" s="1" t="n">
        <v>46180</v>
      </c>
      <c r="D2571" t="inlineStr">
        <is>
          <t>GÄVLEBORGS LÄN</t>
        </is>
      </c>
      <c r="E2571" t="inlineStr">
        <is>
          <t>BOLLNÄS</t>
        </is>
      </c>
      <c r="G2571" t="n">
        <v>8.199999999999999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18361-2026</t>
        </is>
      </c>
      <c r="B2572" s="1" t="n">
        <v>46126</v>
      </c>
      <c r="C2572" s="1" t="n">
        <v>46180</v>
      </c>
      <c r="D2572" t="inlineStr">
        <is>
          <t>GÄVLEBORGS LÄN</t>
        </is>
      </c>
      <c r="E2572" t="inlineStr">
        <is>
          <t>BOLLNÄS</t>
        </is>
      </c>
      <c r="F2572" t="inlineStr">
        <is>
          <t>Kyrkan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18317-2026</t>
        </is>
      </c>
      <c r="B2573" s="1" t="n">
        <v>46126.47783564815</v>
      </c>
      <c r="C2573" s="1" t="n">
        <v>46180</v>
      </c>
      <c r="D2573" t="inlineStr">
        <is>
          <t>GÄVLEBORGS LÄN</t>
        </is>
      </c>
      <c r="E2573" t="inlineStr">
        <is>
          <t>BOLLNÄS</t>
        </is>
      </c>
      <c r="G2573" t="n">
        <v>2.6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28080-2024</t>
        </is>
      </c>
      <c r="B2574" s="1" t="n">
        <v>45476.58725694445</v>
      </c>
      <c r="C2574" s="1" t="n">
        <v>46180</v>
      </c>
      <c r="D2574" t="inlineStr">
        <is>
          <t>GÄVLEBORGS LÄN</t>
        </is>
      </c>
      <c r="E2574" t="inlineStr">
        <is>
          <t>BOLLNÄS</t>
        </is>
      </c>
      <c r="G2574" t="n">
        <v>1.9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18397-2026</t>
        </is>
      </c>
      <c r="B2575" s="1" t="n">
        <v>46126</v>
      </c>
      <c r="C2575" s="1" t="n">
        <v>46180</v>
      </c>
      <c r="D2575" t="inlineStr">
        <is>
          <t>GÄVLEBORGS LÄN</t>
        </is>
      </c>
      <c r="E2575" t="inlineStr">
        <is>
          <t>BOLLNÄS</t>
        </is>
      </c>
      <c r="G2575" t="n">
        <v>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18228-2026</t>
        </is>
      </c>
      <c r="B2576" s="1" t="n">
        <v>46126.32944444445</v>
      </c>
      <c r="C2576" s="1" t="n">
        <v>46180</v>
      </c>
      <c r="D2576" t="inlineStr">
        <is>
          <t>GÄVLEBORGS LÄN</t>
        </is>
      </c>
      <c r="E2576" t="inlineStr">
        <is>
          <t>BOLLNÄS</t>
        </is>
      </c>
      <c r="F2576" t="inlineStr">
        <is>
          <t>Kyrkan</t>
        </is>
      </c>
      <c r="G2576" t="n">
        <v>1.6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18420-2026</t>
        </is>
      </c>
      <c r="B2577" s="1" t="n">
        <v>46126.87754629629</v>
      </c>
      <c r="C2577" s="1" t="n">
        <v>46180</v>
      </c>
      <c r="D2577" t="inlineStr">
        <is>
          <t>GÄVLEBORGS LÄN</t>
        </is>
      </c>
      <c r="E2577" t="inlineStr">
        <is>
          <t>BOLLNÄS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24231-2026</t>
        </is>
      </c>
      <c r="B2578" s="1" t="n">
        <v>46168.65699074074</v>
      </c>
      <c r="C2578" s="1" t="n">
        <v>46180</v>
      </c>
      <c r="D2578" t="inlineStr">
        <is>
          <t>GÄVLEBORGS LÄN</t>
        </is>
      </c>
      <c r="E2578" t="inlineStr">
        <is>
          <t>BOLLNÄS</t>
        </is>
      </c>
      <c r="G2578" t="n">
        <v>4.5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18364-2026</t>
        </is>
      </c>
      <c r="B2579" s="1" t="n">
        <v>46126.60865740741</v>
      </c>
      <c r="C2579" s="1" t="n">
        <v>46180</v>
      </c>
      <c r="D2579" t="inlineStr">
        <is>
          <t>GÄVLEBORGS LÄN</t>
        </is>
      </c>
      <c r="E2579" t="inlineStr">
        <is>
          <t>BOLLNÄS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21680-2026</t>
        </is>
      </c>
      <c r="B2580" s="1" t="n">
        <v>46149</v>
      </c>
      <c r="C2580" s="1" t="n">
        <v>46180</v>
      </c>
      <c r="D2580" t="inlineStr">
        <is>
          <t>GÄVLEBORGS LÄN</t>
        </is>
      </c>
      <c r="E2580" t="inlineStr">
        <is>
          <t>BOLLNÄS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18672-2026</t>
        </is>
      </c>
      <c r="B2581" s="1" t="n">
        <v>46128</v>
      </c>
      <c r="C2581" s="1" t="n">
        <v>46180</v>
      </c>
      <c r="D2581" t="inlineStr">
        <is>
          <t>GÄVLEBORGS LÄN</t>
        </is>
      </c>
      <c r="E2581" t="inlineStr">
        <is>
          <t>BOLLNÄS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24461-2026</t>
        </is>
      </c>
      <c r="B2582" s="1" t="n">
        <v>46170</v>
      </c>
      <c r="C2582" s="1" t="n">
        <v>46180</v>
      </c>
      <c r="D2582" t="inlineStr">
        <is>
          <t>GÄVLEBORGS LÄN</t>
        </is>
      </c>
      <c r="E2582" t="inlineStr">
        <is>
          <t>BOLLNÄS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21769-2026</t>
        </is>
      </c>
      <c r="B2583" s="1" t="n">
        <v>46150</v>
      </c>
      <c r="C2583" s="1" t="n">
        <v>46180</v>
      </c>
      <c r="D2583" t="inlineStr">
        <is>
          <t>GÄVLEBORGS LÄN</t>
        </is>
      </c>
      <c r="E2583" t="inlineStr">
        <is>
          <t>BOLLNÄS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18723-2026</t>
        </is>
      </c>
      <c r="B2584" s="1" t="n">
        <v>46128</v>
      </c>
      <c r="C2584" s="1" t="n">
        <v>46180</v>
      </c>
      <c r="D2584" t="inlineStr">
        <is>
          <t>GÄVLEBORGS LÄN</t>
        </is>
      </c>
      <c r="E2584" t="inlineStr">
        <is>
          <t>BOLLNÄS</t>
        </is>
      </c>
      <c r="G2584" t="n">
        <v>2.3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23586-2026</t>
        </is>
      </c>
      <c r="B2585" s="1" t="n">
        <v>46163</v>
      </c>
      <c r="C2585" s="1" t="n">
        <v>46180</v>
      </c>
      <c r="D2585" t="inlineStr">
        <is>
          <t>GÄVLEBORGS LÄN</t>
        </is>
      </c>
      <c r="E2585" t="inlineStr">
        <is>
          <t>BOLLNÄS</t>
        </is>
      </c>
      <c r="F2585" t="inlineStr">
        <is>
          <t>Bergvik skog väst AB</t>
        </is>
      </c>
      <c r="G2585" t="n">
        <v>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22303-2026</t>
        </is>
      </c>
      <c r="B2586" s="1" t="n">
        <v>46154</v>
      </c>
      <c r="C2586" s="1" t="n">
        <v>46180</v>
      </c>
      <c r="D2586" t="inlineStr">
        <is>
          <t>GÄVLEBORGS LÄN</t>
        </is>
      </c>
      <c r="E2586" t="inlineStr">
        <is>
          <t>BOLLNÄS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24557-2026</t>
        </is>
      </c>
      <c r="B2587" s="1" t="n">
        <v>46170.60248842592</v>
      </c>
      <c r="C2587" s="1" t="n">
        <v>46180</v>
      </c>
      <c r="D2587" t="inlineStr">
        <is>
          <t>GÄVLEBORGS LÄN</t>
        </is>
      </c>
      <c r="E2587" t="inlineStr">
        <is>
          <t>BOLLNÄS</t>
        </is>
      </c>
      <c r="G2587" t="n">
        <v>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51983-2024</t>
        </is>
      </c>
      <c r="B2588" s="1" t="n">
        <v>45607.67049768518</v>
      </c>
      <c r="C2588" s="1" t="n">
        <v>46180</v>
      </c>
      <c r="D2588" t="inlineStr">
        <is>
          <t>GÄVLEBORGS LÄN</t>
        </is>
      </c>
      <c r="E2588" t="inlineStr">
        <is>
          <t>BOLLNÄS</t>
        </is>
      </c>
      <c r="G2588" t="n">
        <v>0.4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15146-2023</t>
        </is>
      </c>
      <c r="B2589" s="1" t="n">
        <v>45016</v>
      </c>
      <c r="C2589" s="1" t="n">
        <v>46180</v>
      </c>
      <c r="D2589" t="inlineStr">
        <is>
          <t>GÄVLEBORGS LÄN</t>
        </is>
      </c>
      <c r="E2589" t="inlineStr">
        <is>
          <t>BOLLNÄS</t>
        </is>
      </c>
      <c r="G2589" t="n">
        <v>0.4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18334-2024</t>
        </is>
      </c>
      <c r="B2590" s="1" t="n">
        <v>45422.56760416667</v>
      </c>
      <c r="C2590" s="1" t="n">
        <v>46180</v>
      </c>
      <c r="D2590" t="inlineStr">
        <is>
          <t>GÄVLEBORGS LÄN</t>
        </is>
      </c>
      <c r="E2590" t="inlineStr">
        <is>
          <t>BOLLNÄS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53298-2023</t>
        </is>
      </c>
      <c r="B2591" s="1" t="n">
        <v>45229</v>
      </c>
      <c r="C2591" s="1" t="n">
        <v>46180</v>
      </c>
      <c r="D2591" t="inlineStr">
        <is>
          <t>GÄVLEBORGS LÄN</t>
        </is>
      </c>
      <c r="E2591" t="inlineStr">
        <is>
          <t>BOLLNÄS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53384-2023</t>
        </is>
      </c>
      <c r="B2592" s="1" t="n">
        <v>45223</v>
      </c>
      <c r="C2592" s="1" t="n">
        <v>46180</v>
      </c>
      <c r="D2592" t="inlineStr">
        <is>
          <t>GÄVLEBORGS LÄN</t>
        </is>
      </c>
      <c r="E2592" t="inlineStr">
        <is>
          <t>BOLLNÄS</t>
        </is>
      </c>
      <c r="G2592" t="n">
        <v>2.8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24859-2026</t>
        </is>
      </c>
      <c r="B2593" s="1" t="n">
        <v>46174.39693287037</v>
      </c>
      <c r="C2593" s="1" t="n">
        <v>46180</v>
      </c>
      <c r="D2593" t="inlineStr">
        <is>
          <t>GÄVLEBORGS LÄN</t>
        </is>
      </c>
      <c r="E2593" t="inlineStr">
        <is>
          <t>BOLLNÄS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24551-2024</t>
        </is>
      </c>
      <c r="B2594" s="1" t="n">
        <v>45460.40803240741</v>
      </c>
      <c r="C2594" s="1" t="n">
        <v>46180</v>
      </c>
      <c r="D2594" t="inlineStr">
        <is>
          <t>GÄVLEBORGS LÄN</t>
        </is>
      </c>
      <c r="E2594" t="inlineStr">
        <is>
          <t>BOLLNÄS</t>
        </is>
      </c>
      <c r="G2594" t="n">
        <v>6.8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6833-2023</t>
        </is>
      </c>
      <c r="B2595" s="1" t="n">
        <v>44967</v>
      </c>
      <c r="C2595" s="1" t="n">
        <v>46180</v>
      </c>
      <c r="D2595" t="inlineStr">
        <is>
          <t>GÄVLEBORGS LÄN</t>
        </is>
      </c>
      <c r="E2595" t="inlineStr">
        <is>
          <t>BOLLNÄS</t>
        </is>
      </c>
      <c r="G2595" t="n">
        <v>11.1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59085-2021</t>
        </is>
      </c>
      <c r="B2596" s="1" t="n">
        <v>44490.41263888889</v>
      </c>
      <c r="C2596" s="1" t="n">
        <v>46180</v>
      </c>
      <c r="D2596" t="inlineStr">
        <is>
          <t>GÄVLEBORGS LÄN</t>
        </is>
      </c>
      <c r="E2596" t="inlineStr">
        <is>
          <t>BOLLNÄS</t>
        </is>
      </c>
      <c r="G2596" t="n">
        <v>1.2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12181-2025</t>
        </is>
      </c>
      <c r="B2597" s="1" t="n">
        <v>45729.45688657407</v>
      </c>
      <c r="C2597" s="1" t="n">
        <v>46180</v>
      </c>
      <c r="D2597" t="inlineStr">
        <is>
          <t>GÄVLEBORGS LÄN</t>
        </is>
      </c>
      <c r="E2597" t="inlineStr">
        <is>
          <t>BOLLNÄS</t>
        </is>
      </c>
      <c r="G2597" t="n">
        <v>3.8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27590-2023</t>
        </is>
      </c>
      <c r="B2598" s="1" t="n">
        <v>45097</v>
      </c>
      <c r="C2598" s="1" t="n">
        <v>46180</v>
      </c>
      <c r="D2598" t="inlineStr">
        <is>
          <t>GÄVLEBORGS LÄN</t>
        </is>
      </c>
      <c r="E2598" t="inlineStr">
        <is>
          <t>BOLLNÄS</t>
        </is>
      </c>
      <c r="G2598" t="n">
        <v>3.8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13137-2025</t>
        </is>
      </c>
      <c r="B2599" s="1" t="n">
        <v>45735.2934837963</v>
      </c>
      <c r="C2599" s="1" t="n">
        <v>46180</v>
      </c>
      <c r="D2599" t="inlineStr">
        <is>
          <t>GÄVLEBORGS LÄN</t>
        </is>
      </c>
      <c r="E2599" t="inlineStr">
        <is>
          <t>BOLLNÄS</t>
        </is>
      </c>
      <c r="F2599" t="inlineStr">
        <is>
          <t>Bergvik skog väst AB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22195-2026</t>
        </is>
      </c>
      <c r="B2600" s="1" t="n">
        <v>46153</v>
      </c>
      <c r="C2600" s="1" t="n">
        <v>46180</v>
      </c>
      <c r="D2600" t="inlineStr">
        <is>
          <t>GÄVLEBORGS LÄN</t>
        </is>
      </c>
      <c r="E2600" t="inlineStr">
        <is>
          <t>BOLLNÄS</t>
        </is>
      </c>
      <c r="G2600" t="n">
        <v>2.2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49993-2024</t>
        </is>
      </c>
      <c r="B2601" s="1" t="n">
        <v>45597.84851851852</v>
      </c>
      <c r="C2601" s="1" t="n">
        <v>46180</v>
      </c>
      <c r="D2601" t="inlineStr">
        <is>
          <t>GÄVLEBORGS LÄN</t>
        </is>
      </c>
      <c r="E2601" t="inlineStr">
        <is>
          <t>BOLLNÄS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29241-2022</t>
        </is>
      </c>
      <c r="B2602" s="1" t="n">
        <v>44750.61899305556</v>
      </c>
      <c r="C2602" s="1" t="n">
        <v>46180</v>
      </c>
      <c r="D2602" t="inlineStr">
        <is>
          <t>GÄVLEBORGS LÄN</t>
        </is>
      </c>
      <c r="E2602" t="inlineStr">
        <is>
          <t>BOLLNÄS</t>
        </is>
      </c>
      <c r="F2602" t="inlineStr">
        <is>
          <t>Sveaskog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59237-2024</t>
        </is>
      </c>
      <c r="B2603" s="1" t="n">
        <v>45637.58819444444</v>
      </c>
      <c r="C2603" s="1" t="n">
        <v>46180</v>
      </c>
      <c r="D2603" t="inlineStr">
        <is>
          <t>GÄVLEBORGS LÄN</t>
        </is>
      </c>
      <c r="E2603" t="inlineStr">
        <is>
          <t>BOLLNÄS</t>
        </is>
      </c>
      <c r="G2603" t="n">
        <v>3.1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18842-2026</t>
        </is>
      </c>
      <c r="B2604" s="1" t="n">
        <v>46129.32571759259</v>
      </c>
      <c r="C2604" s="1" t="n">
        <v>46180</v>
      </c>
      <c r="D2604" t="inlineStr">
        <is>
          <t>GÄVLEBORGS LÄN</t>
        </is>
      </c>
      <c r="E2604" t="inlineStr">
        <is>
          <t>BOLLNÄS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44625-2023</t>
        </is>
      </c>
      <c r="B2605" s="1" t="n">
        <v>45189</v>
      </c>
      <c r="C2605" s="1" t="n">
        <v>46180</v>
      </c>
      <c r="D2605" t="inlineStr">
        <is>
          <t>GÄVLEBORGS LÄN</t>
        </is>
      </c>
      <c r="E2605" t="inlineStr">
        <is>
          <t>BOLLNÄS</t>
        </is>
      </c>
      <c r="G2605" t="n">
        <v>5.1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18794-2026</t>
        </is>
      </c>
      <c r="B2606" s="1" t="n">
        <v>46128.61241898148</v>
      </c>
      <c r="C2606" s="1" t="n">
        <v>46180</v>
      </c>
      <c r="D2606" t="inlineStr">
        <is>
          <t>GÄVLEBORGS LÄN</t>
        </is>
      </c>
      <c r="E2606" t="inlineStr">
        <is>
          <t>BOLLNÄS</t>
        </is>
      </c>
      <c r="G2606" t="n">
        <v>8.800000000000001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35174-2023</t>
        </is>
      </c>
      <c r="B2607" s="1" t="n">
        <v>45145.58690972222</v>
      </c>
      <c r="C2607" s="1" t="n">
        <v>46180</v>
      </c>
      <c r="D2607" t="inlineStr">
        <is>
          <t>GÄVLEBORGS LÄN</t>
        </is>
      </c>
      <c r="E2607" t="inlineStr">
        <is>
          <t>BOLLNÄS</t>
        </is>
      </c>
      <c r="F2607" t="inlineStr">
        <is>
          <t>Holmen skog AB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24897-2026</t>
        </is>
      </c>
      <c r="B2608" s="1" t="n">
        <v>46174.46665509259</v>
      </c>
      <c r="C2608" s="1" t="n">
        <v>46180</v>
      </c>
      <c r="D2608" t="inlineStr">
        <is>
          <t>GÄVLEBORGS LÄN</t>
        </is>
      </c>
      <c r="E2608" t="inlineStr">
        <is>
          <t>BOLLNÄS</t>
        </is>
      </c>
      <c r="G2608" t="n">
        <v>9.9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18905-2026</t>
        </is>
      </c>
      <c r="B2609" s="1" t="n">
        <v>46129</v>
      </c>
      <c r="C2609" s="1" t="n">
        <v>46180</v>
      </c>
      <c r="D2609" t="inlineStr">
        <is>
          <t>GÄVLEBORGS LÄN</t>
        </is>
      </c>
      <c r="E2609" t="inlineStr">
        <is>
          <t>BOLLNÄS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15147-2023</t>
        </is>
      </c>
      <c r="B2610" s="1" t="n">
        <v>45016</v>
      </c>
      <c r="C2610" s="1" t="n">
        <v>46180</v>
      </c>
      <c r="D2610" t="inlineStr">
        <is>
          <t>GÄVLEBORGS LÄN</t>
        </is>
      </c>
      <c r="E2610" t="inlineStr">
        <is>
          <t>BOLLNÄS</t>
        </is>
      </c>
      <c r="G2610" t="n">
        <v>3.1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15150-2023</t>
        </is>
      </c>
      <c r="B2611" s="1" t="n">
        <v>45016</v>
      </c>
      <c r="C2611" s="1" t="n">
        <v>46180</v>
      </c>
      <c r="D2611" t="inlineStr">
        <is>
          <t>GÄVLEBORGS LÄN</t>
        </is>
      </c>
      <c r="E2611" t="inlineStr">
        <is>
          <t>BOLLNÄS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19115-2026</t>
        </is>
      </c>
      <c r="B2612" s="1" t="n">
        <v>46132.46232638889</v>
      </c>
      <c r="C2612" s="1" t="n">
        <v>46180</v>
      </c>
      <c r="D2612" t="inlineStr">
        <is>
          <t>GÄVLEBORGS LÄN</t>
        </is>
      </c>
      <c r="E2612" t="inlineStr">
        <is>
          <t>BOLLNÄS</t>
        </is>
      </c>
      <c r="G2612" t="n">
        <v>0.4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19235-2026</t>
        </is>
      </c>
      <c r="B2613" s="1" t="n">
        <v>46132</v>
      </c>
      <c r="C2613" s="1" t="n">
        <v>46180</v>
      </c>
      <c r="D2613" t="inlineStr">
        <is>
          <t>GÄVLEBORGS LÄN</t>
        </is>
      </c>
      <c r="E2613" t="inlineStr">
        <is>
          <t>BOLLNÄS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46739-2024</t>
        </is>
      </c>
      <c r="B2614" s="1" t="n">
        <v>45583.4724074074</v>
      </c>
      <c r="C2614" s="1" t="n">
        <v>46180</v>
      </c>
      <c r="D2614" t="inlineStr">
        <is>
          <t>GÄVLEBORGS LÄN</t>
        </is>
      </c>
      <c r="E2614" t="inlineStr">
        <is>
          <t>BOLLNÄS</t>
        </is>
      </c>
      <c r="G2614" t="n">
        <v>5.1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40487-2024</t>
        </is>
      </c>
      <c r="B2615" s="1" t="n">
        <v>45555.55648148148</v>
      </c>
      <c r="C2615" s="1" t="n">
        <v>46180</v>
      </c>
      <c r="D2615" t="inlineStr">
        <is>
          <t>GÄVLEBORGS LÄN</t>
        </is>
      </c>
      <c r="E2615" t="inlineStr">
        <is>
          <t>BOLLNÄS</t>
        </is>
      </c>
      <c r="G2615" t="n">
        <v>1.3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35071-2023</t>
        </is>
      </c>
      <c r="B2616" s="1" t="n">
        <v>45145.42189814815</v>
      </c>
      <c r="C2616" s="1" t="n">
        <v>46180</v>
      </c>
      <c r="D2616" t="inlineStr">
        <is>
          <t>GÄVLEBORGS LÄN</t>
        </is>
      </c>
      <c r="E2616" t="inlineStr">
        <is>
          <t>BOLLNÄS</t>
        </is>
      </c>
      <c r="G2616" t="n">
        <v>1.6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21700-2026</t>
        </is>
      </c>
      <c r="B2617" s="1" t="n">
        <v>46149</v>
      </c>
      <c r="C2617" s="1" t="n">
        <v>46180</v>
      </c>
      <c r="D2617" t="inlineStr">
        <is>
          <t>GÄVLEBORGS LÄN</t>
        </is>
      </c>
      <c r="E2617" t="inlineStr">
        <is>
          <t>BOLLNÄS</t>
        </is>
      </c>
      <c r="G2617" t="n">
        <v>4.5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51306-2023</t>
        </is>
      </c>
      <c r="B2618" s="1" t="n">
        <v>45219</v>
      </c>
      <c r="C2618" s="1" t="n">
        <v>46180</v>
      </c>
      <c r="D2618" t="inlineStr">
        <is>
          <t>GÄVLEBORGS LÄN</t>
        </is>
      </c>
      <c r="E2618" t="inlineStr">
        <is>
          <t>BOLLNÄS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2311-2024</t>
        </is>
      </c>
      <c r="B2619" s="1" t="n">
        <v>45310</v>
      </c>
      <c r="C2619" s="1" t="n">
        <v>46180</v>
      </c>
      <c r="D2619" t="inlineStr">
        <is>
          <t>GÄVLEBORGS LÄN</t>
        </is>
      </c>
      <c r="E2619" t="inlineStr">
        <is>
          <t>BOLLNÄS</t>
        </is>
      </c>
      <c r="F2619" t="inlineStr">
        <is>
          <t>Övriga statliga verk och myndigheter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49931-2023</t>
        </is>
      </c>
      <c r="B2620" s="1" t="n">
        <v>45215</v>
      </c>
      <c r="C2620" s="1" t="n">
        <v>46180</v>
      </c>
      <c r="D2620" t="inlineStr">
        <is>
          <t>GÄVLEBORGS LÄN</t>
        </is>
      </c>
      <c r="E2620" t="inlineStr">
        <is>
          <t>BOLLNÄS</t>
        </is>
      </c>
      <c r="G2620" t="n">
        <v>5.1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50544-2023</t>
        </is>
      </c>
      <c r="B2621" s="1" t="n">
        <v>45217.35626157407</v>
      </c>
      <c r="C2621" s="1" t="n">
        <v>46180</v>
      </c>
      <c r="D2621" t="inlineStr">
        <is>
          <t>GÄVLEBORGS LÄN</t>
        </is>
      </c>
      <c r="E2621" t="inlineStr">
        <is>
          <t>BOLLNÄS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2345-2024</t>
        </is>
      </c>
      <c r="B2622" s="1" t="n">
        <v>45310.581875</v>
      </c>
      <c r="C2622" s="1" t="n">
        <v>46180</v>
      </c>
      <c r="D2622" t="inlineStr">
        <is>
          <t>GÄVLEBORGS LÄN</t>
        </is>
      </c>
      <c r="E2622" t="inlineStr">
        <is>
          <t>BOLLNÄS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41730-2023</t>
        </is>
      </c>
      <c r="B2623" s="1" t="n">
        <v>45176</v>
      </c>
      <c r="C2623" s="1" t="n">
        <v>46180</v>
      </c>
      <c r="D2623" t="inlineStr">
        <is>
          <t>GÄVLEBORGS LÄN</t>
        </is>
      </c>
      <c r="E2623" t="inlineStr">
        <is>
          <t>BOLLNÄS</t>
        </is>
      </c>
      <c r="G2623" t="n">
        <v>1.4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54974-2022</t>
        </is>
      </c>
      <c r="B2624" s="1" t="n">
        <v>44886.48644675926</v>
      </c>
      <c r="C2624" s="1" t="n">
        <v>46180</v>
      </c>
      <c r="D2624" t="inlineStr">
        <is>
          <t>GÄVLEBORGS LÄN</t>
        </is>
      </c>
      <c r="E2624" t="inlineStr">
        <is>
          <t>BOLLNÄS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50053-2022</t>
        </is>
      </c>
      <c r="B2625" s="1" t="n">
        <v>44865.47443287037</v>
      </c>
      <c r="C2625" s="1" t="n">
        <v>46180</v>
      </c>
      <c r="D2625" t="inlineStr">
        <is>
          <t>GÄVLEBORGS LÄN</t>
        </is>
      </c>
      <c r="E2625" t="inlineStr">
        <is>
          <t>BOLLNÄS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36629-2023</t>
        </is>
      </c>
      <c r="B2626" s="1" t="n">
        <v>45153.53344907407</v>
      </c>
      <c r="C2626" s="1" t="n">
        <v>46180</v>
      </c>
      <c r="D2626" t="inlineStr">
        <is>
          <t>GÄVLEBORGS LÄN</t>
        </is>
      </c>
      <c r="E2626" t="inlineStr">
        <is>
          <t>BOLLNÄS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36699-2023</t>
        </is>
      </c>
      <c r="B2627" s="1" t="n">
        <v>45153.63834490741</v>
      </c>
      <c r="C2627" s="1" t="n">
        <v>46180</v>
      </c>
      <c r="D2627" t="inlineStr">
        <is>
          <t>GÄVLEBORGS LÄN</t>
        </is>
      </c>
      <c r="E2627" t="inlineStr">
        <is>
          <t>BOLLNÄS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24958-2023</t>
        </is>
      </c>
      <c r="B2628" s="1" t="n">
        <v>45085</v>
      </c>
      <c r="C2628" s="1" t="n">
        <v>46180</v>
      </c>
      <c r="D2628" t="inlineStr">
        <is>
          <t>GÄVLEBORGS LÄN</t>
        </is>
      </c>
      <c r="E2628" t="inlineStr">
        <is>
          <t>BOLLNÄS</t>
        </is>
      </c>
      <c r="G2628" t="n">
        <v>1.4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47528-2024</t>
        </is>
      </c>
      <c r="B2629" s="1" t="n">
        <v>45587.63690972222</v>
      </c>
      <c r="C2629" s="1" t="n">
        <v>46180</v>
      </c>
      <c r="D2629" t="inlineStr">
        <is>
          <t>GÄVLEBORGS LÄN</t>
        </is>
      </c>
      <c r="E2629" t="inlineStr">
        <is>
          <t>BOLLNÄS</t>
        </is>
      </c>
      <c r="G2629" t="n">
        <v>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60495-2023</t>
        </is>
      </c>
      <c r="B2630" s="1" t="n">
        <v>45258</v>
      </c>
      <c r="C2630" s="1" t="n">
        <v>46180</v>
      </c>
      <c r="D2630" t="inlineStr">
        <is>
          <t>GÄVLEBORGS LÄN</t>
        </is>
      </c>
      <c r="E2630" t="inlineStr">
        <is>
          <t>BOLLNÄS</t>
        </is>
      </c>
      <c r="G2630" t="n">
        <v>7.1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54511-2024</t>
        </is>
      </c>
      <c r="B2631" s="1" t="n">
        <v>45617</v>
      </c>
      <c r="C2631" s="1" t="n">
        <v>46180</v>
      </c>
      <c r="D2631" t="inlineStr">
        <is>
          <t>GÄVLEBORGS LÄN</t>
        </is>
      </c>
      <c r="E2631" t="inlineStr">
        <is>
          <t>BOLLNÄS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6752-2024</t>
        </is>
      </c>
      <c r="B2632" s="1" t="n">
        <v>45342</v>
      </c>
      <c r="C2632" s="1" t="n">
        <v>46180</v>
      </c>
      <c r="D2632" t="inlineStr">
        <is>
          <t>GÄVLEBORGS LÄN</t>
        </is>
      </c>
      <c r="E2632" t="inlineStr">
        <is>
          <t>BOLLNÄS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6755-2024</t>
        </is>
      </c>
      <c r="B2633" s="1" t="n">
        <v>45342</v>
      </c>
      <c r="C2633" s="1" t="n">
        <v>46180</v>
      </c>
      <c r="D2633" t="inlineStr">
        <is>
          <t>GÄVLEBORGS LÄN</t>
        </is>
      </c>
      <c r="E2633" t="inlineStr">
        <is>
          <t>BOLLNÄS</t>
        </is>
      </c>
      <c r="G2633" t="n">
        <v>2.4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19117-2026</t>
        </is>
      </c>
      <c r="B2634" s="1" t="n">
        <v>46132.46540509259</v>
      </c>
      <c r="C2634" s="1" t="n">
        <v>46180</v>
      </c>
      <c r="D2634" t="inlineStr">
        <is>
          <t>GÄVLEBORGS LÄN</t>
        </is>
      </c>
      <c r="E2634" t="inlineStr">
        <is>
          <t>BOLLNÄS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12018-2024</t>
        </is>
      </c>
      <c r="B2635" s="1" t="n">
        <v>45377.36298611111</v>
      </c>
      <c r="C2635" s="1" t="n">
        <v>46180</v>
      </c>
      <c r="D2635" t="inlineStr">
        <is>
          <t>GÄVLEBORGS LÄN</t>
        </is>
      </c>
      <c r="E2635" t="inlineStr">
        <is>
          <t>BOLLNÄS</t>
        </is>
      </c>
      <c r="G2635" t="n">
        <v>2.7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10123-2024</t>
        </is>
      </c>
      <c r="B2636" s="1" t="n">
        <v>45364.56289351852</v>
      </c>
      <c r="C2636" s="1" t="n">
        <v>46180</v>
      </c>
      <c r="D2636" t="inlineStr">
        <is>
          <t>GÄVLEBORGS LÄN</t>
        </is>
      </c>
      <c r="E2636" t="inlineStr">
        <is>
          <t>BOLLNÄS</t>
        </is>
      </c>
      <c r="G2636" t="n">
        <v>1.7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32859-2024</t>
        </is>
      </c>
      <c r="B2637" s="1" t="n">
        <v>45516.64608796296</v>
      </c>
      <c r="C2637" s="1" t="n">
        <v>46180</v>
      </c>
      <c r="D2637" t="inlineStr">
        <is>
          <t>GÄVLEBORGS LÄN</t>
        </is>
      </c>
      <c r="E2637" t="inlineStr">
        <is>
          <t>BOLLNÄS</t>
        </is>
      </c>
      <c r="F2637" t="inlineStr">
        <is>
          <t>Sveaskog</t>
        </is>
      </c>
      <c r="G2637" t="n">
        <v>0.3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46669-2024</t>
        </is>
      </c>
      <c r="B2638" s="1" t="n">
        <v>45583.3762037037</v>
      </c>
      <c r="C2638" s="1" t="n">
        <v>46180</v>
      </c>
      <c r="D2638" t="inlineStr">
        <is>
          <t>GÄVLEBORGS LÄN</t>
        </is>
      </c>
      <c r="E2638" t="inlineStr">
        <is>
          <t>BOLLNÄS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42306-2023</t>
        </is>
      </c>
      <c r="B2639" s="1" t="n">
        <v>45180.45332175926</v>
      </c>
      <c r="C2639" s="1" t="n">
        <v>46180</v>
      </c>
      <c r="D2639" t="inlineStr">
        <is>
          <t>GÄVLEBORGS LÄN</t>
        </is>
      </c>
      <c r="E2639" t="inlineStr">
        <is>
          <t>BOLLNÄS</t>
        </is>
      </c>
      <c r="G2639" t="n">
        <v>4.8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55593-2024</t>
        </is>
      </c>
      <c r="B2640" s="1" t="n">
        <v>45622.56936342592</v>
      </c>
      <c r="C2640" s="1" t="n">
        <v>46180</v>
      </c>
      <c r="D2640" t="inlineStr">
        <is>
          <t>GÄVLEBORGS LÄN</t>
        </is>
      </c>
      <c r="E2640" t="inlineStr">
        <is>
          <t>BOLLNÄS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42233-2023</t>
        </is>
      </c>
      <c r="B2641" s="1" t="n">
        <v>45180</v>
      </c>
      <c r="C2641" s="1" t="n">
        <v>46180</v>
      </c>
      <c r="D2641" t="inlineStr">
        <is>
          <t>GÄVLEBORGS LÄN</t>
        </is>
      </c>
      <c r="E2641" t="inlineStr">
        <is>
          <t>BOLLNÄS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3271-2025</t>
        </is>
      </c>
      <c r="B2642" s="1" t="n">
        <v>45679.58766203704</v>
      </c>
      <c r="C2642" s="1" t="n">
        <v>46180</v>
      </c>
      <c r="D2642" t="inlineStr">
        <is>
          <t>GÄVLEBORGS LÄN</t>
        </is>
      </c>
      <c r="E2642" t="inlineStr">
        <is>
          <t>BOLLNÄS</t>
        </is>
      </c>
      <c r="G2642" t="n">
        <v>2.5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61220-2022</t>
        </is>
      </c>
      <c r="B2643" s="1" t="n">
        <v>44915.55640046296</v>
      </c>
      <c r="C2643" s="1" t="n">
        <v>46180</v>
      </c>
      <c r="D2643" t="inlineStr">
        <is>
          <t>GÄVLEBORGS LÄN</t>
        </is>
      </c>
      <c r="E2643" t="inlineStr">
        <is>
          <t>BOLLNÄS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19234-2026</t>
        </is>
      </c>
      <c r="B2644" s="1" t="n">
        <v>46132</v>
      </c>
      <c r="C2644" s="1" t="n">
        <v>46180</v>
      </c>
      <c r="D2644" t="inlineStr">
        <is>
          <t>GÄVLEBORGS LÄN</t>
        </is>
      </c>
      <c r="E2644" t="inlineStr">
        <is>
          <t>BOLLNÄS</t>
        </is>
      </c>
      <c r="G2644" t="n">
        <v>2.8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22745-2022</t>
        </is>
      </c>
      <c r="B2645" s="1" t="n">
        <v>44714.71814814815</v>
      </c>
      <c r="C2645" s="1" t="n">
        <v>46180</v>
      </c>
      <c r="D2645" t="inlineStr">
        <is>
          <t>GÄVLEBORGS LÄN</t>
        </is>
      </c>
      <c r="E2645" t="inlineStr">
        <is>
          <t>BOLLNÄS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18721-2026</t>
        </is>
      </c>
      <c r="B2646" s="1" t="n">
        <v>46128</v>
      </c>
      <c r="C2646" s="1" t="n">
        <v>46180</v>
      </c>
      <c r="D2646" t="inlineStr">
        <is>
          <t>GÄVLEBORGS LÄN</t>
        </is>
      </c>
      <c r="E2646" t="inlineStr">
        <is>
          <t>BOLLNÄS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47438-2023</t>
        </is>
      </c>
      <c r="B2647" s="1" t="n">
        <v>45202</v>
      </c>
      <c r="C2647" s="1" t="n">
        <v>46180</v>
      </c>
      <c r="D2647" t="inlineStr">
        <is>
          <t>GÄVLEBORGS LÄN</t>
        </is>
      </c>
      <c r="E2647" t="inlineStr">
        <is>
          <t>BOLLNÄS</t>
        </is>
      </c>
      <c r="G2647" t="n">
        <v>9.1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19156-2026</t>
        </is>
      </c>
      <c r="B2648" s="1" t="n">
        <v>46132</v>
      </c>
      <c r="C2648" s="1" t="n">
        <v>46180</v>
      </c>
      <c r="D2648" t="inlineStr">
        <is>
          <t>GÄVLEBORGS LÄN</t>
        </is>
      </c>
      <c r="E2648" t="inlineStr">
        <is>
          <t>BOLLNÄS</t>
        </is>
      </c>
      <c r="G2648" t="n">
        <v>1.9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12686-2025</t>
        </is>
      </c>
      <c r="B2649" s="1" t="n">
        <v>45733</v>
      </c>
      <c r="C2649" s="1" t="n">
        <v>46180</v>
      </c>
      <c r="D2649" t="inlineStr">
        <is>
          <t>GÄVLEBORGS LÄN</t>
        </is>
      </c>
      <c r="E2649" t="inlineStr">
        <is>
          <t>BOLLNÄS</t>
        </is>
      </c>
      <c r="G2649" t="n">
        <v>2.7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24748-2026</t>
        </is>
      </c>
      <c r="B2650" s="1" t="n">
        <v>46171.59836805556</v>
      </c>
      <c r="C2650" s="1" t="n">
        <v>46180</v>
      </c>
      <c r="D2650" t="inlineStr">
        <is>
          <t>GÄVLEBORGS LÄN</t>
        </is>
      </c>
      <c r="E2650" t="inlineStr">
        <is>
          <t>BOLLNÄS</t>
        </is>
      </c>
      <c r="G2650" t="n">
        <v>7.2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24753-2026</t>
        </is>
      </c>
      <c r="B2651" s="1" t="n">
        <v>46171.60503472222</v>
      </c>
      <c r="C2651" s="1" t="n">
        <v>46180</v>
      </c>
      <c r="D2651" t="inlineStr">
        <is>
          <t>GÄVLEBORGS LÄN</t>
        </is>
      </c>
      <c r="E2651" t="inlineStr">
        <is>
          <t>BOLLNÄS</t>
        </is>
      </c>
      <c r="G2651" t="n">
        <v>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29712-2023</t>
        </is>
      </c>
      <c r="B2652" s="1" t="n">
        <v>45107</v>
      </c>
      <c r="C2652" s="1" t="n">
        <v>46180</v>
      </c>
      <c r="D2652" t="inlineStr">
        <is>
          <t>GÄVLEBORGS LÄN</t>
        </is>
      </c>
      <c r="E2652" t="inlineStr">
        <is>
          <t>BOLLNÄS</t>
        </is>
      </c>
      <c r="F2652" t="inlineStr">
        <is>
          <t>Sveaskog</t>
        </is>
      </c>
      <c r="G2652" t="n">
        <v>1.9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19153-2026</t>
        </is>
      </c>
      <c r="B2653" s="1" t="n">
        <v>46132</v>
      </c>
      <c r="C2653" s="1" t="n">
        <v>46180</v>
      </c>
      <c r="D2653" t="inlineStr">
        <is>
          <t>GÄVLEBORGS LÄN</t>
        </is>
      </c>
      <c r="E2653" t="inlineStr">
        <is>
          <t>BOLLNÄS</t>
        </is>
      </c>
      <c r="G2653" t="n">
        <v>10.2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19159-2026</t>
        </is>
      </c>
      <c r="B2654" s="1" t="n">
        <v>46132</v>
      </c>
      <c r="C2654" s="1" t="n">
        <v>46180</v>
      </c>
      <c r="D2654" t="inlineStr">
        <is>
          <t>GÄVLEBORGS LÄN</t>
        </is>
      </c>
      <c r="E2654" t="inlineStr">
        <is>
          <t>BOLLNÄS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19168-2026</t>
        </is>
      </c>
      <c r="B2655" s="1" t="n">
        <v>46132</v>
      </c>
      <c r="C2655" s="1" t="n">
        <v>46180</v>
      </c>
      <c r="D2655" t="inlineStr">
        <is>
          <t>GÄVLEBORGS LÄN</t>
        </is>
      </c>
      <c r="E2655" t="inlineStr">
        <is>
          <t>BOLLNÄS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24076-2026</t>
        </is>
      </c>
      <c r="B2656" s="1" t="n">
        <v>46168</v>
      </c>
      <c r="C2656" s="1" t="n">
        <v>46180</v>
      </c>
      <c r="D2656" t="inlineStr">
        <is>
          <t>GÄVLEBORGS LÄN</t>
        </is>
      </c>
      <c r="E2656" t="inlineStr">
        <is>
          <t>BOLLNÄS</t>
        </is>
      </c>
      <c r="G2656" t="n">
        <v>3.3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18768-2026</t>
        </is>
      </c>
      <c r="B2657" s="1" t="n">
        <v>46128.56869212963</v>
      </c>
      <c r="C2657" s="1" t="n">
        <v>46180</v>
      </c>
      <c r="D2657" t="inlineStr">
        <is>
          <t>GÄVLEBORGS LÄN</t>
        </is>
      </c>
      <c r="E2657" t="inlineStr">
        <is>
          <t>BOLLNÄS</t>
        </is>
      </c>
      <c r="F2657" t="inlineStr">
        <is>
          <t>Bergvik skog öst AB</t>
        </is>
      </c>
      <c r="G2657" t="n">
        <v>3.3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22190-2026</t>
        </is>
      </c>
      <c r="B2658" s="1" t="n">
        <v>46153</v>
      </c>
      <c r="C2658" s="1" t="n">
        <v>46180</v>
      </c>
      <c r="D2658" t="inlineStr">
        <is>
          <t>GÄVLEBORGS LÄN</t>
        </is>
      </c>
      <c r="E2658" t="inlineStr">
        <is>
          <t>BOLLNÄS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10606-2024</t>
        </is>
      </c>
      <c r="B2659" s="1" t="n">
        <v>45366.96065972222</v>
      </c>
      <c r="C2659" s="1" t="n">
        <v>46180</v>
      </c>
      <c r="D2659" t="inlineStr">
        <is>
          <t>GÄVLEBORGS LÄN</t>
        </is>
      </c>
      <c r="E2659" t="inlineStr">
        <is>
          <t>BOLLNÄS</t>
        </is>
      </c>
      <c r="G2659" t="n">
        <v>2.6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44576-2023</t>
        </is>
      </c>
      <c r="B2660" s="1" t="n">
        <v>45183</v>
      </c>
      <c r="C2660" s="1" t="n">
        <v>46180</v>
      </c>
      <c r="D2660" t="inlineStr">
        <is>
          <t>GÄVLEBORGS LÄN</t>
        </is>
      </c>
      <c r="E2660" t="inlineStr">
        <is>
          <t>BOLLNÄS</t>
        </is>
      </c>
      <c r="G2660" t="n">
        <v>3.1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28979-2022</t>
        </is>
      </c>
      <c r="B2661" s="1" t="n">
        <v>44749.65016203704</v>
      </c>
      <c r="C2661" s="1" t="n">
        <v>46180</v>
      </c>
      <c r="D2661" t="inlineStr">
        <is>
          <t>GÄVLEBORGS LÄN</t>
        </is>
      </c>
      <c r="E2661" t="inlineStr">
        <is>
          <t>BOLLNÄS</t>
        </is>
      </c>
      <c r="G2661" t="n">
        <v>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54236-2023</t>
        </is>
      </c>
      <c r="B2662" s="1" t="n">
        <v>45232.61173611111</v>
      </c>
      <c r="C2662" s="1" t="n">
        <v>46180</v>
      </c>
      <c r="D2662" t="inlineStr">
        <is>
          <t>GÄVLEBORGS LÄN</t>
        </is>
      </c>
      <c r="E2662" t="inlineStr">
        <is>
          <t>BOLLNÄS</t>
        </is>
      </c>
      <c r="G2662" t="n">
        <v>1.7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595-2025</t>
        </is>
      </c>
      <c r="B2663" s="1" t="n">
        <v>45664.58971064815</v>
      </c>
      <c r="C2663" s="1" t="n">
        <v>46180</v>
      </c>
      <c r="D2663" t="inlineStr">
        <is>
          <t>GÄVLEBORGS LÄN</t>
        </is>
      </c>
      <c r="E2663" t="inlineStr">
        <is>
          <t>BOLLNÄS</t>
        </is>
      </c>
      <c r="G2663" t="n">
        <v>1.5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58929-2023</t>
        </is>
      </c>
      <c r="B2664" s="1" t="n">
        <v>45252.5525462963</v>
      </c>
      <c r="C2664" s="1" t="n">
        <v>46180</v>
      </c>
      <c r="D2664" t="inlineStr">
        <is>
          <t>GÄVLEBORGS LÄN</t>
        </is>
      </c>
      <c r="E2664" t="inlineStr">
        <is>
          <t>BOLLNÄS</t>
        </is>
      </c>
      <c r="F2664" t="inlineStr">
        <is>
          <t>Holmen skog AB</t>
        </is>
      </c>
      <c r="G2664" t="n">
        <v>1.6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61769-2024</t>
        </is>
      </c>
      <c r="B2665" s="1" t="n">
        <v>45649.45278935185</v>
      </c>
      <c r="C2665" s="1" t="n">
        <v>46180</v>
      </c>
      <c r="D2665" t="inlineStr">
        <is>
          <t>GÄVLEBORGS LÄN</t>
        </is>
      </c>
      <c r="E2665" t="inlineStr">
        <is>
          <t>BOLLNÄS</t>
        </is>
      </c>
      <c r="G2665" t="n">
        <v>6.2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9046-2026</t>
        </is>
      </c>
      <c r="B2666" s="1" t="n">
        <v>46069</v>
      </c>
      <c r="C2666" s="1" t="n">
        <v>46180</v>
      </c>
      <c r="D2666" t="inlineStr">
        <is>
          <t>GÄVLEBORGS LÄN</t>
        </is>
      </c>
      <c r="E2666" t="inlineStr">
        <is>
          <t>BOLLNÄS</t>
        </is>
      </c>
      <c r="G2666" t="n">
        <v>7.5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8942-2026</t>
        </is>
      </c>
      <c r="B2667" s="1" t="n">
        <v>46069.37321759259</v>
      </c>
      <c r="C2667" s="1" t="n">
        <v>46180</v>
      </c>
      <c r="D2667" t="inlineStr">
        <is>
          <t>GÄVLEBORGS LÄN</t>
        </is>
      </c>
      <c r="E2667" t="inlineStr">
        <is>
          <t>BOLLNÄS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16391-2026</t>
        </is>
      </c>
      <c r="B2668" s="1" t="n">
        <v>46111</v>
      </c>
      <c r="C2668" s="1" t="n">
        <v>46180</v>
      </c>
      <c r="D2668" t="inlineStr">
        <is>
          <t>GÄVLEBORGS LÄN</t>
        </is>
      </c>
      <c r="E2668" t="inlineStr">
        <is>
          <t>BOLLNÄS</t>
        </is>
      </c>
      <c r="F2668" t="inlineStr">
        <is>
          <t>Bergvik skog öst AB</t>
        </is>
      </c>
      <c r="G2668" t="n">
        <v>1.8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24695-2026</t>
        </is>
      </c>
      <c r="B2669" s="1" t="n">
        <v>46171.48971064815</v>
      </c>
      <c r="C2669" s="1" t="n">
        <v>46180</v>
      </c>
      <c r="D2669" t="inlineStr">
        <is>
          <t>GÄVLEBORGS LÄN</t>
        </is>
      </c>
      <c r="E2669" t="inlineStr">
        <is>
          <t>BOLLNÄS</t>
        </is>
      </c>
      <c r="G2669" t="n">
        <v>1.8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18832-2026</t>
        </is>
      </c>
      <c r="B2670" s="1" t="n">
        <v>46129</v>
      </c>
      <c r="C2670" s="1" t="n">
        <v>46180</v>
      </c>
      <c r="D2670" t="inlineStr">
        <is>
          <t>GÄVLEBORGS LÄN</t>
        </is>
      </c>
      <c r="E2670" t="inlineStr">
        <is>
          <t>BOLLNÄS</t>
        </is>
      </c>
      <c r="G2670" t="n">
        <v>0.7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24743-2026</t>
        </is>
      </c>
      <c r="B2671" s="1" t="n">
        <v>46171.59243055555</v>
      </c>
      <c r="C2671" s="1" t="n">
        <v>46180</v>
      </c>
      <c r="D2671" t="inlineStr">
        <is>
          <t>GÄVLEBORGS LÄN</t>
        </is>
      </c>
      <c r="E2671" t="inlineStr">
        <is>
          <t>BOLLNÄS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1370-2026</t>
        </is>
      </c>
      <c r="B2672" s="1" t="n">
        <v>46031.61216435185</v>
      </c>
      <c r="C2672" s="1" t="n">
        <v>46180</v>
      </c>
      <c r="D2672" t="inlineStr">
        <is>
          <t>GÄVLEBORGS LÄN</t>
        </is>
      </c>
      <c r="E2672" t="inlineStr">
        <is>
          <t>BOLLNÄS</t>
        </is>
      </c>
      <c r="G2672" t="n">
        <v>0.8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19125-2026</t>
        </is>
      </c>
      <c r="B2673" s="1" t="n">
        <v>46132.48353009259</v>
      </c>
      <c r="C2673" s="1" t="n">
        <v>46180</v>
      </c>
      <c r="D2673" t="inlineStr">
        <is>
          <t>GÄVLEBORGS LÄN</t>
        </is>
      </c>
      <c r="E2673" t="inlineStr">
        <is>
          <t>BOLLNÄS</t>
        </is>
      </c>
      <c r="G2673" t="n">
        <v>6.3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19127-2026</t>
        </is>
      </c>
      <c r="B2674" s="1" t="n">
        <v>46132</v>
      </c>
      <c r="C2674" s="1" t="n">
        <v>46180</v>
      </c>
      <c r="D2674" t="inlineStr">
        <is>
          <t>GÄVLEBORGS LÄN</t>
        </is>
      </c>
      <c r="E2674" t="inlineStr">
        <is>
          <t>BOLLNÄS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19118-2026</t>
        </is>
      </c>
      <c r="B2675" s="1" t="n">
        <v>46132.46633101852</v>
      </c>
      <c r="C2675" s="1" t="n">
        <v>46180</v>
      </c>
      <c r="D2675" t="inlineStr">
        <is>
          <t>GÄVLEBORGS LÄN</t>
        </is>
      </c>
      <c r="E2675" t="inlineStr">
        <is>
          <t>BOLLNÄS</t>
        </is>
      </c>
      <c r="G2675" t="n">
        <v>2.5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19124-2026</t>
        </is>
      </c>
      <c r="B2676" s="1" t="n">
        <v>46132</v>
      </c>
      <c r="C2676" s="1" t="n">
        <v>46180</v>
      </c>
      <c r="D2676" t="inlineStr">
        <is>
          <t>GÄVLEBORGS LÄN</t>
        </is>
      </c>
      <c r="E2676" t="inlineStr">
        <is>
          <t>BOLLNÄS</t>
        </is>
      </c>
      <c r="G2676" t="n">
        <v>2.3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60425-2024</t>
        </is>
      </c>
      <c r="B2677" s="1" t="n">
        <v>45643.5507175926</v>
      </c>
      <c r="C2677" s="1" t="n">
        <v>46180</v>
      </c>
      <c r="D2677" t="inlineStr">
        <is>
          <t>GÄVLEBORGS LÄN</t>
        </is>
      </c>
      <c r="E2677" t="inlineStr">
        <is>
          <t>BOLLNÄS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24925-2026</t>
        </is>
      </c>
      <c r="B2678" s="1" t="n">
        <v>46174.51082175926</v>
      </c>
      <c r="C2678" s="1" t="n">
        <v>46180</v>
      </c>
      <c r="D2678" t="inlineStr">
        <is>
          <t>GÄVLEBORGS LÄN</t>
        </is>
      </c>
      <c r="E2678" t="inlineStr">
        <is>
          <t>BOLLNÄS</t>
        </is>
      </c>
      <c r="G2678" t="n">
        <v>1.6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16423-2026</t>
        </is>
      </c>
      <c r="B2679" s="1" t="n">
        <v>46111</v>
      </c>
      <c r="C2679" s="1" t="n">
        <v>46180</v>
      </c>
      <c r="D2679" t="inlineStr">
        <is>
          <t>GÄVLEBORGS LÄN</t>
        </is>
      </c>
      <c r="E2679" t="inlineStr">
        <is>
          <t>BOLLNÄS</t>
        </is>
      </c>
      <c r="F2679" t="inlineStr">
        <is>
          <t>Bergvik skog öst AB</t>
        </is>
      </c>
      <c r="G2679" t="n">
        <v>4.7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24885-2026</t>
        </is>
      </c>
      <c r="B2680" s="1" t="n">
        <v>46174.44864583333</v>
      </c>
      <c r="C2680" s="1" t="n">
        <v>46180</v>
      </c>
      <c r="D2680" t="inlineStr">
        <is>
          <t>GÄVLEBORGS LÄN</t>
        </is>
      </c>
      <c r="E2680" t="inlineStr">
        <is>
          <t>BOLLNÄS</t>
        </is>
      </c>
      <c r="G2680" t="n">
        <v>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23296-2026</t>
        </is>
      </c>
      <c r="B2681" s="1" t="n">
        <v>46162</v>
      </c>
      <c r="C2681" s="1" t="n">
        <v>46180</v>
      </c>
      <c r="D2681" t="inlineStr">
        <is>
          <t>GÄVLEBORGS LÄN</t>
        </is>
      </c>
      <c r="E2681" t="inlineStr">
        <is>
          <t>BOLLNÄS</t>
        </is>
      </c>
      <c r="F2681" t="inlineStr">
        <is>
          <t>Bergvik skog väst AB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23298-2026</t>
        </is>
      </c>
      <c r="B2682" s="1" t="n">
        <v>46162</v>
      </c>
      <c r="C2682" s="1" t="n">
        <v>46180</v>
      </c>
      <c r="D2682" t="inlineStr">
        <is>
          <t>GÄVLEBORGS LÄN</t>
        </is>
      </c>
      <c r="E2682" t="inlineStr">
        <is>
          <t>BOLLNÄS</t>
        </is>
      </c>
      <c r="F2682" t="inlineStr">
        <is>
          <t>Bergvik skog väst AB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24749-2026</t>
        </is>
      </c>
      <c r="B2683" s="1" t="n">
        <v>46171.59935185185</v>
      </c>
      <c r="C2683" s="1" t="n">
        <v>46180</v>
      </c>
      <c r="D2683" t="inlineStr">
        <is>
          <t>GÄVLEBORGS LÄN</t>
        </is>
      </c>
      <c r="E2683" t="inlineStr">
        <is>
          <t>BOLLNÄS</t>
        </is>
      </c>
      <c r="G2683" t="n">
        <v>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24751-2026</t>
        </is>
      </c>
      <c r="B2684" s="1" t="n">
        <v>46171.60082175926</v>
      </c>
      <c r="C2684" s="1" t="n">
        <v>46180</v>
      </c>
      <c r="D2684" t="inlineStr">
        <is>
          <t>GÄVLEBORGS LÄN</t>
        </is>
      </c>
      <c r="E2684" t="inlineStr">
        <is>
          <t>BOLLNÄS</t>
        </is>
      </c>
      <c r="G2684" t="n">
        <v>1.4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19188-2026</t>
        </is>
      </c>
      <c r="B2685" s="1" t="n">
        <v>46132</v>
      </c>
      <c r="C2685" s="1" t="n">
        <v>46180</v>
      </c>
      <c r="D2685" t="inlineStr">
        <is>
          <t>GÄVLEBORGS LÄN</t>
        </is>
      </c>
      <c r="E2685" t="inlineStr">
        <is>
          <t>BOLLNÄS</t>
        </is>
      </c>
      <c r="G2685" t="n">
        <v>1.8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18982-2026</t>
        </is>
      </c>
      <c r="B2686" s="1" t="n">
        <v>46129</v>
      </c>
      <c r="C2686" s="1" t="n">
        <v>46180</v>
      </c>
      <c r="D2686" t="inlineStr">
        <is>
          <t>GÄVLEBORGS LÄN</t>
        </is>
      </c>
      <c r="E2686" t="inlineStr">
        <is>
          <t>BOLLNÄS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24081-2026</t>
        </is>
      </c>
      <c r="B2687" s="1" t="n">
        <v>46168</v>
      </c>
      <c r="C2687" s="1" t="n">
        <v>46180</v>
      </c>
      <c r="D2687" t="inlineStr">
        <is>
          <t>GÄVLEBORGS LÄN</t>
        </is>
      </c>
      <c r="E2687" t="inlineStr">
        <is>
          <t>BOLLNÄS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19228-2026</t>
        </is>
      </c>
      <c r="B2688" s="1" t="n">
        <v>46132</v>
      </c>
      <c r="C2688" s="1" t="n">
        <v>46180</v>
      </c>
      <c r="D2688" t="inlineStr">
        <is>
          <t>GÄVLEBORGS LÄN</t>
        </is>
      </c>
      <c r="E2688" t="inlineStr">
        <is>
          <t>BOLLNÄS</t>
        </is>
      </c>
      <c r="G2688" t="n">
        <v>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24652-2026</t>
        </is>
      </c>
      <c r="B2689" s="1" t="n">
        <v>46171.42253472222</v>
      </c>
      <c r="C2689" s="1" t="n">
        <v>46180</v>
      </c>
      <c r="D2689" t="inlineStr">
        <is>
          <t>GÄVLEBORGS LÄN</t>
        </is>
      </c>
      <c r="E2689" t="inlineStr">
        <is>
          <t>BOLLNÄS</t>
        </is>
      </c>
      <c r="F2689" t="inlineStr">
        <is>
          <t>Bergvik skog väst AB</t>
        </is>
      </c>
      <c r="G2689" t="n">
        <v>15.7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23331-2026</t>
        </is>
      </c>
      <c r="B2690" s="1" t="n">
        <v>46162</v>
      </c>
      <c r="C2690" s="1" t="n">
        <v>46180</v>
      </c>
      <c r="D2690" t="inlineStr">
        <is>
          <t>GÄVLEBORGS LÄN</t>
        </is>
      </c>
      <c r="E2690" t="inlineStr">
        <is>
          <t>BOLLNÄS</t>
        </is>
      </c>
      <c r="F2690" t="inlineStr">
        <is>
          <t>Bergvik skog väst AB</t>
        </is>
      </c>
      <c r="G2690" t="n">
        <v>2.3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24658-2026</t>
        </is>
      </c>
      <c r="B2691" s="1" t="n">
        <v>46171.42936342592</v>
      </c>
      <c r="C2691" s="1" t="n">
        <v>46180</v>
      </c>
      <c r="D2691" t="inlineStr">
        <is>
          <t>GÄVLEBORGS LÄN</t>
        </is>
      </c>
      <c r="E2691" t="inlineStr">
        <is>
          <t>BOLLNÄS</t>
        </is>
      </c>
      <c r="F2691" t="inlineStr">
        <is>
          <t>Bergvik skog väst AB</t>
        </is>
      </c>
      <c r="G2691" t="n">
        <v>15.5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45598-2024</t>
        </is>
      </c>
      <c r="B2692" s="1" t="n">
        <v>45579</v>
      </c>
      <c r="C2692" s="1" t="n">
        <v>46180</v>
      </c>
      <c r="D2692" t="inlineStr">
        <is>
          <t>GÄVLEBORGS LÄN</t>
        </is>
      </c>
      <c r="E2692" t="inlineStr">
        <is>
          <t>BOLLNÄS</t>
        </is>
      </c>
      <c r="F2692" t="inlineStr">
        <is>
          <t>Kommuner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12005-2026</t>
        </is>
      </c>
      <c r="B2693" s="1" t="n">
        <v>46085</v>
      </c>
      <c r="C2693" s="1" t="n">
        <v>46180</v>
      </c>
      <c r="D2693" t="inlineStr">
        <is>
          <t>GÄVLEBORGS LÄN</t>
        </is>
      </c>
      <c r="E2693" t="inlineStr">
        <is>
          <t>BOLLNÄS</t>
        </is>
      </c>
      <c r="G2693" t="n">
        <v>5.6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16587-2026</t>
        </is>
      </c>
      <c r="B2694" s="1" t="n">
        <v>46112.58347222222</v>
      </c>
      <c r="C2694" s="1" t="n">
        <v>46180</v>
      </c>
      <c r="D2694" t="inlineStr">
        <is>
          <t>GÄVLEBORGS LÄN</t>
        </is>
      </c>
      <c r="E2694" t="inlineStr">
        <is>
          <t>BOLLNÄS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48307-2023</t>
        </is>
      </c>
      <c r="B2695" s="1" t="n">
        <v>45205.58381944444</v>
      </c>
      <c r="C2695" s="1" t="n">
        <v>46180</v>
      </c>
      <c r="D2695" t="inlineStr">
        <is>
          <t>GÄVLEBORGS LÄN</t>
        </is>
      </c>
      <c r="E2695" t="inlineStr">
        <is>
          <t>BOLLNÄS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24083-2026</t>
        </is>
      </c>
      <c r="B2696" s="1" t="n">
        <v>46168</v>
      </c>
      <c r="C2696" s="1" t="n">
        <v>46180</v>
      </c>
      <c r="D2696" t="inlineStr">
        <is>
          <t>GÄVLEBORGS LÄN</t>
        </is>
      </c>
      <c r="E2696" t="inlineStr">
        <is>
          <t>BOLLNÄS</t>
        </is>
      </c>
      <c r="G2696" t="n">
        <v>2.4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24747-2026</t>
        </is>
      </c>
      <c r="B2697" s="1" t="n">
        <v>46171.59646990741</v>
      </c>
      <c r="C2697" s="1" t="n">
        <v>46180</v>
      </c>
      <c r="D2697" t="inlineStr">
        <is>
          <t>GÄVLEBORGS LÄN</t>
        </is>
      </c>
      <c r="E2697" t="inlineStr">
        <is>
          <t>BOLLNÄS</t>
        </is>
      </c>
      <c r="G2697" t="n">
        <v>2.9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16349-2026</t>
        </is>
      </c>
      <c r="B2698" s="1" t="n">
        <v>46111</v>
      </c>
      <c r="C2698" s="1" t="n">
        <v>46180</v>
      </c>
      <c r="D2698" t="inlineStr">
        <is>
          <t>GÄVLEBORGS LÄN</t>
        </is>
      </c>
      <c r="E2698" t="inlineStr">
        <is>
          <t>BOLLNÄS</t>
        </is>
      </c>
      <c r="F2698" t="inlineStr">
        <is>
          <t>Bergvik skog öst AB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3451-2025</t>
        </is>
      </c>
      <c r="B2699" s="1" t="n">
        <v>45680</v>
      </c>
      <c r="C2699" s="1" t="n">
        <v>46180</v>
      </c>
      <c r="D2699" t="inlineStr">
        <is>
          <t>GÄVLEBORGS LÄN</t>
        </is>
      </c>
      <c r="E2699" t="inlineStr">
        <is>
          <t>BOLLNÄS</t>
        </is>
      </c>
      <c r="G2699" t="n">
        <v>4.2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18664-2026</t>
        </is>
      </c>
      <c r="B2700" s="1" t="n">
        <v>46128</v>
      </c>
      <c r="C2700" s="1" t="n">
        <v>46180</v>
      </c>
      <c r="D2700" t="inlineStr">
        <is>
          <t>GÄVLEBORGS LÄN</t>
        </is>
      </c>
      <c r="E2700" t="inlineStr">
        <is>
          <t>BOLLNÄS</t>
        </is>
      </c>
      <c r="G2700" t="n">
        <v>7.9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21490-2026</t>
        </is>
      </c>
      <c r="B2701" s="1" t="n">
        <v>46148</v>
      </c>
      <c r="C2701" s="1" t="n">
        <v>46180</v>
      </c>
      <c r="D2701" t="inlineStr">
        <is>
          <t>GÄVLEBORGS LÄN</t>
        </is>
      </c>
      <c r="E2701" t="inlineStr">
        <is>
          <t>BOLLNÄS</t>
        </is>
      </c>
      <c r="G2701" t="n">
        <v>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22193-2026</t>
        </is>
      </c>
      <c r="B2702" s="1" t="n">
        <v>46153</v>
      </c>
      <c r="C2702" s="1" t="n">
        <v>46180</v>
      </c>
      <c r="D2702" t="inlineStr">
        <is>
          <t>GÄVLEBORGS LÄN</t>
        </is>
      </c>
      <c r="E2702" t="inlineStr">
        <is>
          <t>BOLLNÄS</t>
        </is>
      </c>
      <c r="G2702" t="n">
        <v>3.3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19163-2026</t>
        </is>
      </c>
      <c r="B2703" s="1" t="n">
        <v>46132</v>
      </c>
      <c r="C2703" s="1" t="n">
        <v>46180</v>
      </c>
      <c r="D2703" t="inlineStr">
        <is>
          <t>GÄVLEBORGS LÄN</t>
        </is>
      </c>
      <c r="E2703" t="inlineStr">
        <is>
          <t>BOLLNÄS</t>
        </is>
      </c>
      <c r="G2703" t="n">
        <v>14.1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19169-2026</t>
        </is>
      </c>
      <c r="B2704" s="1" t="n">
        <v>46132</v>
      </c>
      <c r="C2704" s="1" t="n">
        <v>46180</v>
      </c>
      <c r="D2704" t="inlineStr">
        <is>
          <t>GÄVLEBORGS LÄN</t>
        </is>
      </c>
      <c r="E2704" t="inlineStr">
        <is>
          <t>BOLLNÄS</t>
        </is>
      </c>
      <c r="G2704" t="n">
        <v>1.6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20422-2026</t>
        </is>
      </c>
      <c r="B2705" s="1" t="n">
        <v>46140</v>
      </c>
      <c r="C2705" s="1" t="n">
        <v>46180</v>
      </c>
      <c r="D2705" t="inlineStr">
        <is>
          <t>GÄVLEBORGS LÄN</t>
        </is>
      </c>
      <c r="E2705" t="inlineStr">
        <is>
          <t>BOLLNÄS</t>
        </is>
      </c>
      <c r="F2705" t="inlineStr">
        <is>
          <t>Bergvik skog väst AB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20426-2026</t>
        </is>
      </c>
      <c r="B2706" s="1" t="n">
        <v>46140</v>
      </c>
      <c r="C2706" s="1" t="n">
        <v>46180</v>
      </c>
      <c r="D2706" t="inlineStr">
        <is>
          <t>GÄVLEBORGS LÄN</t>
        </is>
      </c>
      <c r="E2706" t="inlineStr">
        <is>
          <t>BOLLNÄS</t>
        </is>
      </c>
      <c r="F2706" t="inlineStr">
        <is>
          <t>Bergvik skog väst AB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20472-2026</t>
        </is>
      </c>
      <c r="B2707" s="1" t="n">
        <v>46140</v>
      </c>
      <c r="C2707" s="1" t="n">
        <v>46180</v>
      </c>
      <c r="D2707" t="inlineStr">
        <is>
          <t>GÄVLEBORGS LÄN</t>
        </is>
      </c>
      <c r="E2707" t="inlineStr">
        <is>
          <t>BOLLNÄS</t>
        </is>
      </c>
      <c r="F2707" t="inlineStr">
        <is>
          <t>Bergvik skog väst AB</t>
        </is>
      </c>
      <c r="G2707" t="n">
        <v>0.8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19063-2026</t>
        </is>
      </c>
      <c r="B2708" s="1" t="n">
        <v>46132</v>
      </c>
      <c r="C2708" s="1" t="n">
        <v>46180</v>
      </c>
      <c r="D2708" t="inlineStr">
        <is>
          <t>GÄVLEBORGS LÄN</t>
        </is>
      </c>
      <c r="E2708" t="inlineStr">
        <is>
          <t>BOLLNÄS</t>
        </is>
      </c>
      <c r="F2708" t="inlineStr">
        <is>
          <t>Bergvik skog väst AB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8792-2026</t>
        </is>
      </c>
      <c r="B2709" s="1" t="n">
        <v>46066.58920138889</v>
      </c>
      <c r="C2709" s="1" t="n">
        <v>46180</v>
      </c>
      <c r="D2709" t="inlineStr">
        <is>
          <t>GÄVLEBORGS LÄN</t>
        </is>
      </c>
      <c r="E2709" t="inlineStr">
        <is>
          <t>BOLLNÄS</t>
        </is>
      </c>
      <c r="G2709" t="n">
        <v>5.1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19197-2026</t>
        </is>
      </c>
      <c r="B2710" s="1" t="n">
        <v>46132</v>
      </c>
      <c r="C2710" s="1" t="n">
        <v>46180</v>
      </c>
      <c r="D2710" t="inlineStr">
        <is>
          <t>GÄVLEBORGS LÄN</t>
        </is>
      </c>
      <c r="E2710" t="inlineStr">
        <is>
          <t>BOLLNÄS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39528-2022</t>
        </is>
      </c>
      <c r="B2711" s="1" t="n">
        <v>44818</v>
      </c>
      <c r="C2711" s="1" t="n">
        <v>46180</v>
      </c>
      <c r="D2711" t="inlineStr">
        <is>
          <t>GÄVLEBORGS LÄN</t>
        </is>
      </c>
      <c r="E2711" t="inlineStr">
        <is>
          <t>BOLLNÄS</t>
        </is>
      </c>
      <c r="G2711" t="n">
        <v>7.5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47701-2023</t>
        </is>
      </c>
      <c r="B2712" s="1" t="n">
        <v>45203.64033564815</v>
      </c>
      <c r="C2712" s="1" t="n">
        <v>46180</v>
      </c>
      <c r="D2712" t="inlineStr">
        <is>
          <t>GÄVLEBORGS LÄN</t>
        </is>
      </c>
      <c r="E2712" t="inlineStr">
        <is>
          <t>BOLLNÄS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58329-2024</t>
        </is>
      </c>
      <c r="B2713" s="1" t="n">
        <v>45632.62980324074</v>
      </c>
      <c r="C2713" s="1" t="n">
        <v>46180</v>
      </c>
      <c r="D2713" t="inlineStr">
        <is>
          <t>GÄVLEBORGS LÄN</t>
        </is>
      </c>
      <c r="E2713" t="inlineStr">
        <is>
          <t>BOLLNÄS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19074-2026</t>
        </is>
      </c>
      <c r="B2714" s="1" t="n">
        <v>46132.38482638889</v>
      </c>
      <c r="C2714" s="1" t="n">
        <v>46180</v>
      </c>
      <c r="D2714" t="inlineStr">
        <is>
          <t>GÄVLEBORGS LÄN</t>
        </is>
      </c>
      <c r="E2714" t="inlineStr">
        <is>
          <t>BOLLNÄS</t>
        </is>
      </c>
      <c r="G2714" t="n">
        <v>4.2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19075-2026</t>
        </is>
      </c>
      <c r="B2715" s="1" t="n">
        <v>46132.38583333333</v>
      </c>
      <c r="C2715" s="1" t="n">
        <v>46180</v>
      </c>
      <c r="D2715" t="inlineStr">
        <is>
          <t>GÄVLEBORGS LÄN</t>
        </is>
      </c>
      <c r="E2715" t="inlineStr">
        <is>
          <t>BOLLNÄS</t>
        </is>
      </c>
      <c r="G2715" t="n">
        <v>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23594-2026</t>
        </is>
      </c>
      <c r="B2716" s="1" t="n">
        <v>46163</v>
      </c>
      <c r="C2716" s="1" t="n">
        <v>46180</v>
      </c>
      <c r="D2716" t="inlineStr">
        <is>
          <t>GÄVLEBORGS LÄN</t>
        </is>
      </c>
      <c r="E2716" t="inlineStr">
        <is>
          <t>BOLLNÄS</t>
        </is>
      </c>
      <c r="F2716" t="inlineStr">
        <is>
          <t>Bergvik skog väst AB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18865-2026</t>
        </is>
      </c>
      <c r="B2717" s="1" t="n">
        <v>46129</v>
      </c>
      <c r="C2717" s="1" t="n">
        <v>46180</v>
      </c>
      <c r="D2717" t="inlineStr">
        <is>
          <t>GÄVLEBORGS LÄN</t>
        </is>
      </c>
      <c r="E2717" t="inlineStr">
        <is>
          <t>BOLLNÄS</t>
        </is>
      </c>
      <c r="G2717" t="n">
        <v>1.6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63865-2023</t>
        </is>
      </c>
      <c r="B2718" s="1" t="n">
        <v>45278.50369212963</v>
      </c>
      <c r="C2718" s="1" t="n">
        <v>46180</v>
      </c>
      <c r="D2718" t="inlineStr">
        <is>
          <t>GÄVLEBORGS LÄN</t>
        </is>
      </c>
      <c r="E2718" t="inlineStr">
        <is>
          <t>BOLLNÄS</t>
        </is>
      </c>
      <c r="G2718" t="n">
        <v>0.4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63868-2023</t>
        </is>
      </c>
      <c r="B2719" s="1" t="n">
        <v>45278.50765046296</v>
      </c>
      <c r="C2719" s="1" t="n">
        <v>46180</v>
      </c>
      <c r="D2719" t="inlineStr">
        <is>
          <t>GÄVLEBORGS LÄN</t>
        </is>
      </c>
      <c r="E2719" t="inlineStr">
        <is>
          <t>BOLLNÄS</t>
        </is>
      </c>
      <c r="G2719" t="n">
        <v>0.3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23378-2022</t>
        </is>
      </c>
      <c r="B2720" s="1" t="n">
        <v>44720</v>
      </c>
      <c r="C2720" s="1" t="n">
        <v>46180</v>
      </c>
      <c r="D2720" t="inlineStr">
        <is>
          <t>GÄVLEBORGS LÄN</t>
        </is>
      </c>
      <c r="E2720" t="inlineStr">
        <is>
          <t>BOLLNÄS</t>
        </is>
      </c>
      <c r="G2720" t="n">
        <v>5.2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18791-2026</t>
        </is>
      </c>
      <c r="B2721" s="1" t="n">
        <v>46128.60960648148</v>
      </c>
      <c r="C2721" s="1" t="n">
        <v>46180</v>
      </c>
      <c r="D2721" t="inlineStr">
        <is>
          <t>GÄVLEBORGS LÄN</t>
        </is>
      </c>
      <c r="E2721" t="inlineStr">
        <is>
          <t>BOLLNÄS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18792-2026</t>
        </is>
      </c>
      <c r="B2722" s="1" t="n">
        <v>46128</v>
      </c>
      <c r="C2722" s="1" t="n">
        <v>46180</v>
      </c>
      <c r="D2722" t="inlineStr">
        <is>
          <t>GÄVLEBORGS LÄN</t>
        </is>
      </c>
      <c r="E2722" t="inlineStr">
        <is>
          <t>BOLLNÄS</t>
        </is>
      </c>
      <c r="G2722" t="n">
        <v>8.9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22187-2026</t>
        </is>
      </c>
      <c r="B2723" s="1" t="n">
        <v>46153</v>
      </c>
      <c r="C2723" s="1" t="n">
        <v>46180</v>
      </c>
      <c r="D2723" t="inlineStr">
        <is>
          <t>GÄVLEBORGS LÄN</t>
        </is>
      </c>
      <c r="E2723" t="inlineStr">
        <is>
          <t>BOLLNÄS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19624-2026</t>
        </is>
      </c>
      <c r="B2724" s="1" t="n">
        <v>46134</v>
      </c>
      <c r="C2724" s="1" t="n">
        <v>46180</v>
      </c>
      <c r="D2724" t="inlineStr">
        <is>
          <t>GÄVLEBORGS LÄN</t>
        </is>
      </c>
      <c r="E2724" t="inlineStr">
        <is>
          <t>BOLLNÄS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24992-2024</t>
        </is>
      </c>
      <c r="B2725" s="1" t="n">
        <v>45461</v>
      </c>
      <c r="C2725" s="1" t="n">
        <v>46180</v>
      </c>
      <c r="D2725" t="inlineStr">
        <is>
          <t>GÄVLEBORGS LÄN</t>
        </is>
      </c>
      <c r="E2725" t="inlineStr">
        <is>
          <t>BOLLNÄS</t>
        </is>
      </c>
      <c r="G2725" t="n">
        <v>1.4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19633-2026</t>
        </is>
      </c>
      <c r="B2726" s="1" t="n">
        <v>46134.55969907407</v>
      </c>
      <c r="C2726" s="1" t="n">
        <v>46180</v>
      </c>
      <c r="D2726" t="inlineStr">
        <is>
          <t>GÄVLEBORGS LÄN</t>
        </is>
      </c>
      <c r="E2726" t="inlineStr">
        <is>
          <t>BOLLNÄS</t>
        </is>
      </c>
      <c r="G2726" t="n">
        <v>4.3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19333-2026</t>
        </is>
      </c>
      <c r="B2727" s="1" t="n">
        <v>46133</v>
      </c>
      <c r="C2727" s="1" t="n">
        <v>46180</v>
      </c>
      <c r="D2727" t="inlineStr">
        <is>
          <t>GÄVLEBORGS LÄN</t>
        </is>
      </c>
      <c r="E2727" t="inlineStr">
        <is>
          <t>BOLLNÄS</t>
        </is>
      </c>
      <c r="F2727" t="inlineStr">
        <is>
          <t>Bergvik skog väst AB</t>
        </is>
      </c>
      <c r="G2727" t="n">
        <v>7.9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19482-2026</t>
        </is>
      </c>
      <c r="B2728" s="1" t="n">
        <v>46134</v>
      </c>
      <c r="C2728" s="1" t="n">
        <v>46180</v>
      </c>
      <c r="D2728" t="inlineStr">
        <is>
          <t>GÄVLEBORGS LÄN</t>
        </is>
      </c>
      <c r="E2728" t="inlineStr">
        <is>
          <t>BOLLNÄS</t>
        </is>
      </c>
      <c r="G2728" t="n">
        <v>0.4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19396-2026</t>
        </is>
      </c>
      <c r="B2729" s="1" t="n">
        <v>46133</v>
      </c>
      <c r="C2729" s="1" t="n">
        <v>46180</v>
      </c>
      <c r="D2729" t="inlineStr">
        <is>
          <t>GÄVLEBORGS LÄN</t>
        </is>
      </c>
      <c r="E2729" t="inlineStr">
        <is>
          <t>BOLLNÄS</t>
        </is>
      </c>
      <c r="G2729" t="n">
        <v>4.5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19507-2026</t>
        </is>
      </c>
      <c r="B2730" s="1" t="n">
        <v>46134</v>
      </c>
      <c r="C2730" s="1" t="n">
        <v>46180</v>
      </c>
      <c r="D2730" t="inlineStr">
        <is>
          <t>GÄVLEBORGS LÄN</t>
        </is>
      </c>
      <c r="E2730" t="inlineStr">
        <is>
          <t>BOLLNÄS</t>
        </is>
      </c>
      <c r="F2730" t="inlineStr">
        <is>
          <t>Bergvik skog väst AB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19521-2026</t>
        </is>
      </c>
      <c r="B2731" s="1" t="n">
        <v>46134</v>
      </c>
      <c r="C2731" s="1" t="n">
        <v>46180</v>
      </c>
      <c r="D2731" t="inlineStr">
        <is>
          <t>GÄVLEBORGS LÄN</t>
        </is>
      </c>
      <c r="E2731" t="inlineStr">
        <is>
          <t>BOLLNÄS</t>
        </is>
      </c>
      <c r="G2731" t="n">
        <v>3.5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19534-2026</t>
        </is>
      </c>
      <c r="B2732" s="1" t="n">
        <v>46134</v>
      </c>
      <c r="C2732" s="1" t="n">
        <v>46180</v>
      </c>
      <c r="D2732" t="inlineStr">
        <is>
          <t>GÄVLEBORGS LÄN</t>
        </is>
      </c>
      <c r="E2732" t="inlineStr">
        <is>
          <t>BOLLNÄS</t>
        </is>
      </c>
      <c r="F2732" t="inlineStr">
        <is>
          <t>Bergvik skog väst AB</t>
        </is>
      </c>
      <c r="G2732" t="n">
        <v>1.2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20720-2026</t>
        </is>
      </c>
      <c r="B2733" s="1" t="n">
        <v>46141.53449074074</v>
      </c>
      <c r="C2733" s="1" t="n">
        <v>46180</v>
      </c>
      <c r="D2733" t="inlineStr">
        <is>
          <t>GÄVLEBORGS LÄN</t>
        </is>
      </c>
      <c r="E2733" t="inlineStr">
        <is>
          <t>BOLLNÄS</t>
        </is>
      </c>
      <c r="F2733" t="inlineStr">
        <is>
          <t>Kyrkan</t>
        </is>
      </c>
      <c r="G2733" t="n">
        <v>0.9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22513-2026</t>
        </is>
      </c>
      <c r="B2734" s="1" t="n">
        <v>46155</v>
      </c>
      <c r="C2734" s="1" t="n">
        <v>46180</v>
      </c>
      <c r="D2734" t="inlineStr">
        <is>
          <t>GÄVLEBORGS LÄN</t>
        </is>
      </c>
      <c r="E2734" t="inlineStr">
        <is>
          <t>BOLLNÄS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19487-2026</t>
        </is>
      </c>
      <c r="B2735" s="1" t="n">
        <v>46134.30704861111</v>
      </c>
      <c r="C2735" s="1" t="n">
        <v>46180</v>
      </c>
      <c r="D2735" t="inlineStr">
        <is>
          <t>GÄVLEBORGS LÄN</t>
        </is>
      </c>
      <c r="E2735" t="inlineStr">
        <is>
          <t>BOLLNÄS</t>
        </is>
      </c>
      <c r="G2735" t="n">
        <v>3.2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16964-2026</t>
        </is>
      </c>
      <c r="B2736" s="1" t="n">
        <v>46114</v>
      </c>
      <c r="C2736" s="1" t="n">
        <v>46180</v>
      </c>
      <c r="D2736" t="inlineStr">
        <is>
          <t>GÄVLEBORGS LÄN</t>
        </is>
      </c>
      <c r="E2736" t="inlineStr">
        <is>
          <t>BOLLNÄS</t>
        </is>
      </c>
      <c r="G2736" t="n">
        <v>1.1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19643-2026</t>
        </is>
      </c>
      <c r="B2737" s="1" t="n">
        <v>46134</v>
      </c>
      <c r="C2737" s="1" t="n">
        <v>46180</v>
      </c>
      <c r="D2737" t="inlineStr">
        <is>
          <t>GÄVLEBORGS LÄN</t>
        </is>
      </c>
      <c r="E2737" t="inlineStr">
        <is>
          <t>BOLLNÄS</t>
        </is>
      </c>
      <c r="G2737" t="n">
        <v>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19274-2026</t>
        </is>
      </c>
      <c r="B2738" s="1" t="n">
        <v>46133.27600694444</v>
      </c>
      <c r="C2738" s="1" t="n">
        <v>46180</v>
      </c>
      <c r="D2738" t="inlineStr">
        <is>
          <t>GÄVLEBORGS LÄN</t>
        </is>
      </c>
      <c r="E2738" t="inlineStr">
        <is>
          <t>BOLLNÄS</t>
        </is>
      </c>
      <c r="G2738" t="n">
        <v>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19278-2026</t>
        </is>
      </c>
      <c r="B2739" s="1" t="n">
        <v>46133.28903935185</v>
      </c>
      <c r="C2739" s="1" t="n">
        <v>46180</v>
      </c>
      <c r="D2739" t="inlineStr">
        <is>
          <t>GÄVLEBORGS LÄN</t>
        </is>
      </c>
      <c r="E2739" t="inlineStr">
        <is>
          <t>BOLLNÄS</t>
        </is>
      </c>
      <c r="G2739" t="n">
        <v>2.9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13167-2026</t>
        </is>
      </c>
      <c r="B2740" s="1" t="n">
        <v>46093</v>
      </c>
      <c r="C2740" s="1" t="n">
        <v>46180</v>
      </c>
      <c r="D2740" t="inlineStr">
        <is>
          <t>GÄVLEBORGS LÄN</t>
        </is>
      </c>
      <c r="E2740" t="inlineStr">
        <is>
          <t>BOLLNÄS</t>
        </is>
      </c>
      <c r="G2740" t="n">
        <v>7.6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19414-2026</t>
        </is>
      </c>
      <c r="B2741" s="1" t="n">
        <v>46133</v>
      </c>
      <c r="C2741" s="1" t="n">
        <v>46180</v>
      </c>
      <c r="D2741" t="inlineStr">
        <is>
          <t>GÄVLEBORGS LÄN</t>
        </is>
      </c>
      <c r="E2741" t="inlineStr">
        <is>
          <t>BOLLNÄS</t>
        </is>
      </c>
      <c r="F2741" t="inlineStr">
        <is>
          <t>Bergvik skog väst AB</t>
        </is>
      </c>
      <c r="G2741" t="n">
        <v>14.5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20724-2026</t>
        </is>
      </c>
      <c r="B2742" s="1" t="n">
        <v>46141.54942129629</v>
      </c>
      <c r="C2742" s="1" t="n">
        <v>46180</v>
      </c>
      <c r="D2742" t="inlineStr">
        <is>
          <t>GÄVLEBORGS LÄN</t>
        </is>
      </c>
      <c r="E2742" t="inlineStr">
        <is>
          <t>BOLLNÄS</t>
        </is>
      </c>
      <c r="F2742" t="inlineStr">
        <is>
          <t>Kyrkan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19279-2026</t>
        </is>
      </c>
      <c r="B2743" s="1" t="n">
        <v>46133.29304398148</v>
      </c>
      <c r="C2743" s="1" t="n">
        <v>46180</v>
      </c>
      <c r="D2743" t="inlineStr">
        <is>
          <t>GÄVLEBORGS LÄN</t>
        </is>
      </c>
      <c r="E2743" t="inlineStr">
        <is>
          <t>BOLLNÄS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19282-2026</t>
        </is>
      </c>
      <c r="B2744" s="1" t="n">
        <v>46133</v>
      </c>
      <c r="C2744" s="1" t="n">
        <v>46180</v>
      </c>
      <c r="D2744" t="inlineStr">
        <is>
          <t>GÄVLEBORGS LÄN</t>
        </is>
      </c>
      <c r="E2744" t="inlineStr">
        <is>
          <t>BOLLNÄS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19288-2026</t>
        </is>
      </c>
      <c r="B2745" s="1" t="n">
        <v>46133</v>
      </c>
      <c r="C2745" s="1" t="n">
        <v>46180</v>
      </c>
      <c r="D2745" t="inlineStr">
        <is>
          <t>GÄVLEBORGS LÄN</t>
        </is>
      </c>
      <c r="E2745" t="inlineStr">
        <is>
          <t>BOLLNÄS</t>
        </is>
      </c>
      <c r="G2745" t="n">
        <v>2.5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19480-2026</t>
        </is>
      </c>
      <c r="B2746" s="1" t="n">
        <v>46133</v>
      </c>
      <c r="C2746" s="1" t="n">
        <v>46180</v>
      </c>
      <c r="D2746" t="inlineStr">
        <is>
          <t>GÄVLEBORGS LÄN</t>
        </is>
      </c>
      <c r="E2746" t="inlineStr">
        <is>
          <t>BOLLNÄS</t>
        </is>
      </c>
      <c r="F2746" t="inlineStr">
        <is>
          <t>Bergvik skog väst AB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20726-2026</t>
        </is>
      </c>
      <c r="B2747" s="1" t="n">
        <v>46141.55061342593</v>
      </c>
      <c r="C2747" s="1" t="n">
        <v>46180</v>
      </c>
      <c r="D2747" t="inlineStr">
        <is>
          <t>GÄVLEBORGS LÄN</t>
        </is>
      </c>
      <c r="E2747" t="inlineStr">
        <is>
          <t>BOLLNÄS</t>
        </is>
      </c>
      <c r="F2747" t="inlineStr">
        <is>
          <t>Kyrkan</t>
        </is>
      </c>
      <c r="G2747" t="n">
        <v>0.4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19539-2026</t>
        </is>
      </c>
      <c r="B2748" s="1" t="n">
        <v>46134.3789699074</v>
      </c>
      <c r="C2748" s="1" t="n">
        <v>46180</v>
      </c>
      <c r="D2748" t="inlineStr">
        <is>
          <t>GÄVLEBORGS LÄN</t>
        </is>
      </c>
      <c r="E2748" t="inlineStr">
        <is>
          <t>BOLLNÄS</t>
        </is>
      </c>
      <c r="G2748" t="n">
        <v>10.4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21696-2026</t>
        </is>
      </c>
      <c r="B2749" s="1" t="n">
        <v>46149.53628472222</v>
      </c>
      <c r="C2749" s="1" t="n">
        <v>46180</v>
      </c>
      <c r="D2749" t="inlineStr">
        <is>
          <t>GÄVLEBORGS LÄN</t>
        </is>
      </c>
      <c r="E2749" t="inlineStr">
        <is>
          <t>BOLLNÄS</t>
        </is>
      </c>
      <c r="G2749" t="n">
        <v>6.9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19654-2026</t>
        </is>
      </c>
      <c r="B2750" s="1" t="n">
        <v>46134.60085648148</v>
      </c>
      <c r="C2750" s="1" t="n">
        <v>46180</v>
      </c>
      <c r="D2750" t="inlineStr">
        <is>
          <t>GÄVLEBORGS LÄN</t>
        </is>
      </c>
      <c r="E2750" t="inlineStr">
        <is>
          <t>BOLLNÄS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25269-2026</t>
        </is>
      </c>
      <c r="B2751" s="1" t="n">
        <v>46176.30805555556</v>
      </c>
      <c r="C2751" s="1" t="n">
        <v>46180</v>
      </c>
      <c r="D2751" t="inlineStr">
        <is>
          <t>GÄVLEBORGS LÄN</t>
        </is>
      </c>
      <c r="E2751" t="inlineStr">
        <is>
          <t>BOLLNÄS</t>
        </is>
      </c>
      <c r="F2751" t="inlineStr">
        <is>
          <t>Bergvik skog väst AB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19276-2026</t>
        </is>
      </c>
      <c r="B2752" s="1" t="n">
        <v>46133.28324074074</v>
      </c>
      <c r="C2752" s="1" t="n">
        <v>46180</v>
      </c>
      <c r="D2752" t="inlineStr">
        <is>
          <t>GÄVLEBORGS LÄN</t>
        </is>
      </c>
      <c r="E2752" t="inlineStr">
        <is>
          <t>BOLLNÄS</t>
        </is>
      </c>
      <c r="G2752" t="n">
        <v>1.9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19269-2026</t>
        </is>
      </c>
      <c r="B2753" s="1" t="n">
        <v>46133.26616898148</v>
      </c>
      <c r="C2753" s="1" t="n">
        <v>46180</v>
      </c>
      <c r="D2753" t="inlineStr">
        <is>
          <t>GÄVLEBORGS LÄN</t>
        </is>
      </c>
      <c r="E2753" t="inlineStr">
        <is>
          <t>BOLLNÄS</t>
        </is>
      </c>
      <c r="G2753" t="n">
        <v>5.3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19340-2026</t>
        </is>
      </c>
      <c r="B2754" s="1" t="n">
        <v>46133</v>
      </c>
      <c r="C2754" s="1" t="n">
        <v>46180</v>
      </c>
      <c r="D2754" t="inlineStr">
        <is>
          <t>GÄVLEBORGS LÄN</t>
        </is>
      </c>
      <c r="E2754" t="inlineStr">
        <is>
          <t>BOLLNÄS</t>
        </is>
      </c>
      <c r="F2754" t="inlineStr">
        <is>
          <t>Bergvik skog väst AB</t>
        </is>
      </c>
      <c r="G2754" t="n">
        <v>6.8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19413-2026</t>
        </is>
      </c>
      <c r="B2755" s="1" t="n">
        <v>46133</v>
      </c>
      <c r="C2755" s="1" t="n">
        <v>46180</v>
      </c>
      <c r="D2755" t="inlineStr">
        <is>
          <t>GÄVLEBORGS LÄN</t>
        </is>
      </c>
      <c r="E2755" t="inlineStr">
        <is>
          <t>BOLLNÄS</t>
        </is>
      </c>
      <c r="G2755" t="n">
        <v>2.5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19418-2026</t>
        </is>
      </c>
      <c r="B2756" s="1" t="n">
        <v>46133</v>
      </c>
      <c r="C2756" s="1" t="n">
        <v>46180</v>
      </c>
      <c r="D2756" t="inlineStr">
        <is>
          <t>GÄVLEBORGS LÄN</t>
        </is>
      </c>
      <c r="E2756" t="inlineStr">
        <is>
          <t>BOLLNÄS</t>
        </is>
      </c>
      <c r="G2756" t="n">
        <v>2.5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19412-2026</t>
        </is>
      </c>
      <c r="B2757" s="1" t="n">
        <v>46133</v>
      </c>
      <c r="C2757" s="1" t="n">
        <v>46180</v>
      </c>
      <c r="D2757" t="inlineStr">
        <is>
          <t>GÄVLEBORGS LÄN</t>
        </is>
      </c>
      <c r="E2757" t="inlineStr">
        <is>
          <t>BOLLNÄS</t>
        </is>
      </c>
      <c r="G2757" t="n">
        <v>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19416-2026</t>
        </is>
      </c>
      <c r="B2758" s="1" t="n">
        <v>46133</v>
      </c>
      <c r="C2758" s="1" t="n">
        <v>46180</v>
      </c>
      <c r="D2758" t="inlineStr">
        <is>
          <t>GÄVLEBORGS LÄN</t>
        </is>
      </c>
      <c r="E2758" t="inlineStr">
        <is>
          <t>BOLLNÄS</t>
        </is>
      </c>
      <c r="G2758" t="n">
        <v>5.4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11006-2025</t>
        </is>
      </c>
      <c r="B2759" s="1" t="n">
        <v>45723.44689814815</v>
      </c>
      <c r="C2759" s="1" t="n">
        <v>46180</v>
      </c>
      <c r="D2759" t="inlineStr">
        <is>
          <t>GÄVLEBORGS LÄN</t>
        </is>
      </c>
      <c r="E2759" t="inlineStr">
        <is>
          <t>BOLLNÄS</t>
        </is>
      </c>
      <c r="F2759" t="inlineStr">
        <is>
          <t>Kyrkan</t>
        </is>
      </c>
      <c r="G2759" t="n">
        <v>2.6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19399-2026</t>
        </is>
      </c>
      <c r="B2760" s="1" t="n">
        <v>46133</v>
      </c>
      <c r="C2760" s="1" t="n">
        <v>46180</v>
      </c>
      <c r="D2760" t="inlineStr">
        <is>
          <t>GÄVLEBORGS LÄN</t>
        </is>
      </c>
      <c r="E2760" t="inlineStr">
        <is>
          <t>BOLLNÄS</t>
        </is>
      </c>
      <c r="G2760" t="n">
        <v>2.9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19402-2026</t>
        </is>
      </c>
      <c r="B2761" s="1" t="n">
        <v>46133</v>
      </c>
      <c r="C2761" s="1" t="n">
        <v>46180</v>
      </c>
      <c r="D2761" t="inlineStr">
        <is>
          <t>GÄVLEBORGS LÄN</t>
        </is>
      </c>
      <c r="E2761" t="inlineStr">
        <is>
          <t>BOLLNÄS</t>
        </is>
      </c>
      <c r="F2761" t="inlineStr">
        <is>
          <t>Bergvik skog väst AB</t>
        </is>
      </c>
      <c r="G2761" t="n">
        <v>1.9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19408-2026</t>
        </is>
      </c>
      <c r="B2762" s="1" t="n">
        <v>46133</v>
      </c>
      <c r="C2762" s="1" t="n">
        <v>46180</v>
      </c>
      <c r="D2762" t="inlineStr">
        <is>
          <t>GÄVLEBORGS LÄN</t>
        </is>
      </c>
      <c r="E2762" t="inlineStr">
        <is>
          <t>BOLLNÄS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19409-2026</t>
        </is>
      </c>
      <c r="B2763" s="1" t="n">
        <v>46133</v>
      </c>
      <c r="C2763" s="1" t="n">
        <v>46180</v>
      </c>
      <c r="D2763" t="inlineStr">
        <is>
          <t>GÄVLEBORGS LÄN</t>
        </is>
      </c>
      <c r="E2763" t="inlineStr">
        <is>
          <t>BOLLNÄS</t>
        </is>
      </c>
      <c r="G2763" t="n">
        <v>0.2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19614-2026</t>
        </is>
      </c>
      <c r="B2764" s="1" t="n">
        <v>46134.50553240741</v>
      </c>
      <c r="C2764" s="1" t="n">
        <v>46180</v>
      </c>
      <c r="D2764" t="inlineStr">
        <is>
          <t>GÄVLEBORGS LÄN</t>
        </is>
      </c>
      <c r="E2764" t="inlineStr">
        <is>
          <t>BOLLNÄS</t>
        </is>
      </c>
      <c r="G2764" t="n">
        <v>2.7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51156-2023</t>
        </is>
      </c>
      <c r="B2765" s="1" t="n">
        <v>45212</v>
      </c>
      <c r="C2765" s="1" t="n">
        <v>46180</v>
      </c>
      <c r="D2765" t="inlineStr">
        <is>
          <t>GÄVLEBORGS LÄN</t>
        </is>
      </c>
      <c r="E2765" t="inlineStr">
        <is>
          <t>BOLLNÄS</t>
        </is>
      </c>
      <c r="G2765" t="n">
        <v>2.2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19623-2026</t>
        </is>
      </c>
      <c r="B2766" s="1" t="n">
        <v>46134</v>
      </c>
      <c r="C2766" s="1" t="n">
        <v>46180</v>
      </c>
      <c r="D2766" t="inlineStr">
        <is>
          <t>GÄVLEBORGS LÄN</t>
        </is>
      </c>
      <c r="E2766" t="inlineStr">
        <is>
          <t>BOLLNÄS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19700-2026</t>
        </is>
      </c>
      <c r="B2767" s="1" t="n">
        <v>46134.69077546296</v>
      </c>
      <c r="C2767" s="1" t="n">
        <v>46180</v>
      </c>
      <c r="D2767" t="inlineStr">
        <is>
          <t>GÄVLEBORGS LÄN</t>
        </is>
      </c>
      <c r="E2767" t="inlineStr">
        <is>
          <t>BOLLNÄS</t>
        </is>
      </c>
      <c r="G2767" t="n">
        <v>2.6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10486-2024</t>
        </is>
      </c>
      <c r="B2768" s="1" t="n">
        <v>45366</v>
      </c>
      <c r="C2768" s="1" t="n">
        <v>46180</v>
      </c>
      <c r="D2768" t="inlineStr">
        <is>
          <t>GÄVLEBORGS LÄN</t>
        </is>
      </c>
      <c r="E2768" t="inlineStr">
        <is>
          <t>BOLLNÄS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19543-2026</t>
        </is>
      </c>
      <c r="B2769" s="1" t="n">
        <v>46134.38184027778</v>
      </c>
      <c r="C2769" s="1" t="n">
        <v>46180</v>
      </c>
      <c r="D2769" t="inlineStr">
        <is>
          <t>GÄVLEBORGS LÄN</t>
        </is>
      </c>
      <c r="E2769" t="inlineStr">
        <is>
          <t>BOLLNÄS</t>
        </is>
      </c>
      <c r="G2769" t="n">
        <v>2.5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22605-2026</t>
        </is>
      </c>
      <c r="B2770" s="1" t="n">
        <v>46155</v>
      </c>
      <c r="C2770" s="1" t="n">
        <v>46180</v>
      </c>
      <c r="D2770" t="inlineStr">
        <is>
          <t>GÄVLEBORGS LÄN</t>
        </is>
      </c>
      <c r="E2770" t="inlineStr">
        <is>
          <t>BOLLNÄS</t>
        </is>
      </c>
      <c r="G2770" t="n">
        <v>0.4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23118-2024</t>
        </is>
      </c>
      <c r="B2771" s="1" t="n">
        <v>45450</v>
      </c>
      <c r="C2771" s="1" t="n">
        <v>46180</v>
      </c>
      <c r="D2771" t="inlineStr">
        <is>
          <t>GÄVLEBORGS LÄN</t>
        </is>
      </c>
      <c r="E2771" t="inlineStr">
        <is>
          <t>BOLLNÄS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19284-2026</t>
        </is>
      </c>
      <c r="B2772" s="1" t="n">
        <v>46133.30619212963</v>
      </c>
      <c r="C2772" s="1" t="n">
        <v>46180</v>
      </c>
      <c r="D2772" t="inlineStr">
        <is>
          <t>GÄVLEBORGS LÄN</t>
        </is>
      </c>
      <c r="E2772" t="inlineStr">
        <is>
          <t>BOLLNÄS</t>
        </is>
      </c>
      <c r="G2772" t="n">
        <v>3.2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19323-2026</t>
        </is>
      </c>
      <c r="B2773" s="1" t="n">
        <v>46133.40130787037</v>
      </c>
      <c r="C2773" s="1" t="n">
        <v>46180</v>
      </c>
      <c r="D2773" t="inlineStr">
        <is>
          <t>GÄVLEBORGS LÄN</t>
        </is>
      </c>
      <c r="E2773" t="inlineStr">
        <is>
          <t>BOLLNÄS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22554-2026</t>
        </is>
      </c>
      <c r="B2774" s="1" t="n">
        <v>46155</v>
      </c>
      <c r="C2774" s="1" t="n">
        <v>46180</v>
      </c>
      <c r="D2774" t="inlineStr">
        <is>
          <t>GÄVLEBORGS LÄN</t>
        </is>
      </c>
      <c r="E2774" t="inlineStr">
        <is>
          <t>BOLLNÄS</t>
        </is>
      </c>
      <c r="G2774" t="n">
        <v>29.4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22606-2026</t>
        </is>
      </c>
      <c r="B2775" s="1" t="n">
        <v>46155</v>
      </c>
      <c r="C2775" s="1" t="n">
        <v>46180</v>
      </c>
      <c r="D2775" t="inlineStr">
        <is>
          <t>GÄVLEBORGS LÄN</t>
        </is>
      </c>
      <c r="E2775" t="inlineStr">
        <is>
          <t>BOLLNÄS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19391-2026</t>
        </is>
      </c>
      <c r="B2776" s="1" t="n">
        <v>46133</v>
      </c>
      <c r="C2776" s="1" t="n">
        <v>46180</v>
      </c>
      <c r="D2776" t="inlineStr">
        <is>
          <t>GÄVLEBORGS LÄN</t>
        </is>
      </c>
      <c r="E2776" t="inlineStr">
        <is>
          <t>BOLLNÄS</t>
        </is>
      </c>
      <c r="G2776" t="n">
        <v>3.1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19403-2026</t>
        </is>
      </c>
      <c r="B2777" s="1" t="n">
        <v>46133</v>
      </c>
      <c r="C2777" s="1" t="n">
        <v>46180</v>
      </c>
      <c r="D2777" t="inlineStr">
        <is>
          <t>GÄVLEBORGS LÄN</t>
        </is>
      </c>
      <c r="E2777" t="inlineStr">
        <is>
          <t>BOLLNÄS</t>
        </is>
      </c>
      <c r="G2777" t="n">
        <v>2.7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19404-2026</t>
        </is>
      </c>
      <c r="B2778" s="1" t="n">
        <v>46133</v>
      </c>
      <c r="C2778" s="1" t="n">
        <v>46180</v>
      </c>
      <c r="D2778" t="inlineStr">
        <is>
          <t>GÄVLEBORGS LÄN</t>
        </is>
      </c>
      <c r="E2778" t="inlineStr">
        <is>
          <t>BOLLNÄS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19395-2026</t>
        </is>
      </c>
      <c r="B2779" s="1" t="n">
        <v>46133</v>
      </c>
      <c r="C2779" s="1" t="n">
        <v>46180</v>
      </c>
      <c r="D2779" t="inlineStr">
        <is>
          <t>GÄVLEBORGS LÄN</t>
        </is>
      </c>
      <c r="E2779" t="inlineStr">
        <is>
          <t>BOLLNÄS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19303-2026</t>
        </is>
      </c>
      <c r="B2780" s="1" t="n">
        <v>46133</v>
      </c>
      <c r="C2780" s="1" t="n">
        <v>46180</v>
      </c>
      <c r="D2780" t="inlineStr">
        <is>
          <t>GÄVLEBORGS LÄN</t>
        </is>
      </c>
      <c r="E2780" t="inlineStr">
        <is>
          <t>BOLLNÄS</t>
        </is>
      </c>
      <c r="F2780" t="inlineStr">
        <is>
          <t>Bergvik skog väst AB</t>
        </is>
      </c>
      <c r="G2780" t="n">
        <v>3.9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19304-2026</t>
        </is>
      </c>
      <c r="B2781" s="1" t="n">
        <v>46133.35445601852</v>
      </c>
      <c r="C2781" s="1" t="n">
        <v>46180</v>
      </c>
      <c r="D2781" t="inlineStr">
        <is>
          <t>GÄVLEBORGS LÄN</t>
        </is>
      </c>
      <c r="E2781" t="inlineStr">
        <is>
          <t>BOLLNÄS</t>
        </is>
      </c>
      <c r="G2781" t="n">
        <v>1.8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19306-2026</t>
        </is>
      </c>
      <c r="B2782" s="1" t="n">
        <v>46133</v>
      </c>
      <c r="C2782" s="1" t="n">
        <v>46180</v>
      </c>
      <c r="D2782" t="inlineStr">
        <is>
          <t>GÄVLEBORGS LÄN</t>
        </is>
      </c>
      <c r="E2782" t="inlineStr">
        <is>
          <t>BOLLNÄS</t>
        </is>
      </c>
      <c r="F2782" t="inlineStr">
        <is>
          <t>Kyrkan</t>
        </is>
      </c>
      <c r="G2782" t="n">
        <v>3.2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25204-2026</t>
        </is>
      </c>
      <c r="B2783" s="1" t="n">
        <v>46175.59976851852</v>
      </c>
      <c r="C2783" s="1" t="n">
        <v>46180</v>
      </c>
      <c r="D2783" t="inlineStr">
        <is>
          <t>GÄVLEBORGS LÄN</t>
        </is>
      </c>
      <c r="E2783" t="inlineStr">
        <is>
          <t>BOLLNÄS</t>
        </is>
      </c>
      <c r="G2783" t="n">
        <v>10.1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19324-2026</t>
        </is>
      </c>
      <c r="B2784" s="1" t="n">
        <v>46133</v>
      </c>
      <c r="C2784" s="1" t="n">
        <v>46180</v>
      </c>
      <c r="D2784" t="inlineStr">
        <is>
          <t>GÄVLEBORGS LÄN</t>
        </is>
      </c>
      <c r="E2784" t="inlineStr">
        <is>
          <t>BOLLNÄS</t>
        </is>
      </c>
      <c r="F2784" t="inlineStr">
        <is>
          <t>Bergvik skog väst AB</t>
        </is>
      </c>
      <c r="G2784" t="n">
        <v>8.1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14691-2026</t>
        </is>
      </c>
      <c r="B2785" s="1" t="n">
        <v>46101</v>
      </c>
      <c r="C2785" s="1" t="n">
        <v>46180</v>
      </c>
      <c r="D2785" t="inlineStr">
        <is>
          <t>GÄVLEBORGS LÄN</t>
        </is>
      </c>
      <c r="E2785" t="inlineStr">
        <is>
          <t>BOLLNÄS</t>
        </is>
      </c>
      <c r="G2785" t="n">
        <v>5.6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19919-2026</t>
        </is>
      </c>
      <c r="B2786" s="1" t="n">
        <v>46136.3561574074</v>
      </c>
      <c r="C2786" s="1" t="n">
        <v>46180</v>
      </c>
      <c r="D2786" t="inlineStr">
        <is>
          <t>GÄVLEBORGS LÄN</t>
        </is>
      </c>
      <c r="E2786" t="inlineStr">
        <is>
          <t>BOLLNÄS</t>
        </is>
      </c>
      <c r="F2786" t="inlineStr">
        <is>
          <t>Bergvik skog öst AB</t>
        </is>
      </c>
      <c r="G2786" t="n">
        <v>1.5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510-2026</t>
        </is>
      </c>
      <c r="B2787" s="1" t="n">
        <v>46029</v>
      </c>
      <c r="C2787" s="1" t="n">
        <v>46180</v>
      </c>
      <c r="D2787" t="inlineStr">
        <is>
          <t>GÄVLEBORGS LÄN</t>
        </is>
      </c>
      <c r="E2787" t="inlineStr">
        <is>
          <t>BOLLNÄS</t>
        </is>
      </c>
      <c r="G2787" t="n">
        <v>2.1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13944-2026</t>
        </is>
      </c>
      <c r="B2788" s="1" t="n">
        <v>46098</v>
      </c>
      <c r="C2788" s="1" t="n">
        <v>46180</v>
      </c>
      <c r="D2788" t="inlineStr">
        <is>
          <t>GÄVLEBORGS LÄN</t>
        </is>
      </c>
      <c r="E2788" t="inlineStr">
        <is>
          <t>BOLLNÄS</t>
        </is>
      </c>
      <c r="G2788" t="n">
        <v>2.4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9528-2026</t>
        </is>
      </c>
      <c r="B2789" s="1" t="n">
        <v>46071.60604166667</v>
      </c>
      <c r="C2789" s="1" t="n">
        <v>46180</v>
      </c>
      <c r="D2789" t="inlineStr">
        <is>
          <t>GÄVLEBORGS LÄN</t>
        </is>
      </c>
      <c r="E2789" t="inlineStr">
        <is>
          <t>BOLLNÄS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11857-2026</t>
        </is>
      </c>
      <c r="B2790" s="1" t="n">
        <v>46085</v>
      </c>
      <c r="C2790" s="1" t="n">
        <v>46180</v>
      </c>
      <c r="D2790" t="inlineStr">
        <is>
          <t>GÄVLEBORGS LÄN</t>
        </is>
      </c>
      <c r="E2790" t="inlineStr">
        <is>
          <t>BOLLNÄS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12607-2026</t>
        </is>
      </c>
      <c r="B2791" s="1" t="n">
        <v>46091</v>
      </c>
      <c r="C2791" s="1" t="n">
        <v>46180</v>
      </c>
      <c r="D2791" t="inlineStr">
        <is>
          <t>GÄVLEBORGS LÄN</t>
        </is>
      </c>
      <c r="E2791" t="inlineStr">
        <is>
          <t>BOLLNÄS</t>
        </is>
      </c>
      <c r="G2791" t="n">
        <v>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14153-2026</t>
        </is>
      </c>
      <c r="B2792" s="1" t="n">
        <v>46099</v>
      </c>
      <c r="C2792" s="1" t="n">
        <v>46180</v>
      </c>
      <c r="D2792" t="inlineStr">
        <is>
          <t>GÄVLEBORGS LÄN</t>
        </is>
      </c>
      <c r="E2792" t="inlineStr">
        <is>
          <t>BOLLNÄS</t>
        </is>
      </c>
      <c r="G2792" t="n">
        <v>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3505-2026</t>
        </is>
      </c>
      <c r="B2793" s="1" t="n">
        <v>46042</v>
      </c>
      <c r="C2793" s="1" t="n">
        <v>46180</v>
      </c>
      <c r="D2793" t="inlineStr">
        <is>
          <t>GÄVLEBORGS LÄN</t>
        </is>
      </c>
      <c r="E2793" t="inlineStr">
        <is>
          <t>BOLLNÄS</t>
        </is>
      </c>
      <c r="F2793" t="inlineStr">
        <is>
          <t>Bergvik skog väst AB</t>
        </is>
      </c>
      <c r="G2793" t="n">
        <v>7.9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6024-2026</t>
        </is>
      </c>
      <c r="B2794" s="1" t="n">
        <v>46052</v>
      </c>
      <c r="C2794" s="1" t="n">
        <v>46180</v>
      </c>
      <c r="D2794" t="inlineStr">
        <is>
          <t>GÄVLEBORGS LÄN</t>
        </is>
      </c>
      <c r="E2794" t="inlineStr">
        <is>
          <t>BOLLNÄS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6025-2026</t>
        </is>
      </c>
      <c r="B2795" s="1" t="n">
        <v>46052.60608796297</v>
      </c>
      <c r="C2795" s="1" t="n">
        <v>46180</v>
      </c>
      <c r="D2795" t="inlineStr">
        <is>
          <t>GÄVLEBORGS LÄN</t>
        </is>
      </c>
      <c r="E2795" t="inlineStr">
        <is>
          <t>BOLLNÄS</t>
        </is>
      </c>
      <c r="G2795" t="n">
        <v>34.4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6089-2026</t>
        </is>
      </c>
      <c r="B2796" s="1" t="n">
        <v>46052</v>
      </c>
      <c r="C2796" s="1" t="n">
        <v>46180</v>
      </c>
      <c r="D2796" t="inlineStr">
        <is>
          <t>GÄVLEBORGS LÄN</t>
        </is>
      </c>
      <c r="E2796" t="inlineStr">
        <is>
          <t>BOLLNÄS</t>
        </is>
      </c>
      <c r="G2796" t="n">
        <v>8.4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25497-2026</t>
        </is>
      </c>
      <c r="B2797" s="1" t="n">
        <v>46177</v>
      </c>
      <c r="C2797" s="1" t="n">
        <v>46180</v>
      </c>
      <c r="D2797" t="inlineStr">
        <is>
          <t>GÄVLEBORGS LÄN</t>
        </is>
      </c>
      <c r="E2797" t="inlineStr">
        <is>
          <t>BOLLNÄS</t>
        </is>
      </c>
      <c r="G2797" t="n">
        <v>6.5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13554-2026</t>
        </is>
      </c>
      <c r="B2798" s="1" t="n">
        <v>46094</v>
      </c>
      <c r="C2798" s="1" t="n">
        <v>46180</v>
      </c>
      <c r="D2798" t="inlineStr">
        <is>
          <t>GÄVLEBORGS LÄN</t>
        </is>
      </c>
      <c r="E2798" t="inlineStr">
        <is>
          <t>BOLLNÄS</t>
        </is>
      </c>
      <c r="G2798" t="n">
        <v>6.5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5572-2026</t>
        </is>
      </c>
      <c r="B2799" s="1" t="n">
        <v>46050</v>
      </c>
      <c r="C2799" s="1" t="n">
        <v>46180</v>
      </c>
      <c r="D2799" t="inlineStr">
        <is>
          <t>GÄVLEBORGS LÄN</t>
        </is>
      </c>
      <c r="E2799" t="inlineStr">
        <is>
          <t>BOLLNÄS</t>
        </is>
      </c>
      <c r="G2799" t="n">
        <v>3.8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57260-2023</t>
        </is>
      </c>
      <c r="B2800" s="1" t="n">
        <v>45239</v>
      </c>
      <c r="C2800" s="1" t="n">
        <v>46180</v>
      </c>
      <c r="D2800" t="inlineStr">
        <is>
          <t>GÄVLEBORGS LÄN</t>
        </is>
      </c>
      <c r="E2800" t="inlineStr">
        <is>
          <t>BOLLNÄS</t>
        </is>
      </c>
      <c r="F2800" t="inlineStr">
        <is>
          <t>Kommuner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21691-2026</t>
        </is>
      </c>
      <c r="B2801" s="1" t="n">
        <v>46149.53103009259</v>
      </c>
      <c r="C2801" s="1" t="n">
        <v>46180</v>
      </c>
      <c r="D2801" t="inlineStr">
        <is>
          <t>GÄVLEBORGS LÄN</t>
        </is>
      </c>
      <c r="E2801" t="inlineStr">
        <is>
          <t>BOLLNÄS</t>
        </is>
      </c>
      <c r="G2801" t="n">
        <v>10.2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22599-2026</t>
        </is>
      </c>
      <c r="B2802" s="1" t="n">
        <v>46155</v>
      </c>
      <c r="C2802" s="1" t="n">
        <v>46180</v>
      </c>
      <c r="D2802" t="inlineStr">
        <is>
          <t>GÄVLEBORGS LÄN</t>
        </is>
      </c>
      <c r="E2802" t="inlineStr">
        <is>
          <t>BOLLNÄS</t>
        </is>
      </c>
      <c r="G2802" t="n">
        <v>0.3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24034-2026</t>
        </is>
      </c>
      <c r="B2803" s="1" t="n">
        <v>46167</v>
      </c>
      <c r="C2803" s="1" t="n">
        <v>46180</v>
      </c>
      <c r="D2803" t="inlineStr">
        <is>
          <t>GÄVLEBORGS LÄN</t>
        </is>
      </c>
      <c r="E2803" t="inlineStr">
        <is>
          <t>BOLLNÄS</t>
        </is>
      </c>
      <c r="F2803" t="inlineStr">
        <is>
          <t>Bergvik skog väst AB</t>
        </is>
      </c>
      <c r="G2803" t="n">
        <v>2.1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20042-2026</t>
        </is>
      </c>
      <c r="B2804" s="1" t="n">
        <v>46136</v>
      </c>
      <c r="C2804" s="1" t="n">
        <v>46180</v>
      </c>
      <c r="D2804" t="inlineStr">
        <is>
          <t>GÄVLEBORGS LÄN</t>
        </is>
      </c>
      <c r="E2804" t="inlineStr">
        <is>
          <t>BOLLNÄS</t>
        </is>
      </c>
      <c r="F2804" t="inlineStr">
        <is>
          <t>Bergvik skog väst AB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10469-2026</t>
        </is>
      </c>
      <c r="B2805" s="1" t="n">
        <v>46077</v>
      </c>
      <c r="C2805" s="1" t="n">
        <v>46180</v>
      </c>
      <c r="D2805" t="inlineStr">
        <is>
          <t>GÄVLEBORGS LÄN</t>
        </is>
      </c>
      <c r="E2805" t="inlineStr">
        <is>
          <t>BOLLNÄS</t>
        </is>
      </c>
      <c r="G2805" t="n">
        <v>1.7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11222-2026</t>
        </is>
      </c>
      <c r="B2806" s="1" t="n">
        <v>46080</v>
      </c>
      <c r="C2806" s="1" t="n">
        <v>46180</v>
      </c>
      <c r="D2806" t="inlineStr">
        <is>
          <t>GÄVLEBORGS LÄN</t>
        </is>
      </c>
      <c r="E2806" t="inlineStr">
        <is>
          <t>BOLLNÄS</t>
        </is>
      </c>
      <c r="F2806" t="inlineStr">
        <is>
          <t>Bergvik skog väst AB</t>
        </is>
      </c>
      <c r="G2806" t="n">
        <v>14.5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16628-2026</t>
        </is>
      </c>
      <c r="B2807" s="1" t="n">
        <v>46112</v>
      </c>
      <c r="C2807" s="1" t="n">
        <v>46180</v>
      </c>
      <c r="D2807" t="inlineStr">
        <is>
          <t>GÄVLEBORGS LÄN</t>
        </is>
      </c>
      <c r="E2807" t="inlineStr">
        <is>
          <t>BOLLNÄS</t>
        </is>
      </c>
      <c r="F2807" t="inlineStr">
        <is>
          <t>Bergvik skog väst AB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25538-2026</t>
        </is>
      </c>
      <c r="B2808" s="1" t="n">
        <v>46177.54739583333</v>
      </c>
      <c r="C2808" s="1" t="n">
        <v>46180</v>
      </c>
      <c r="D2808" t="inlineStr">
        <is>
          <t>GÄVLEBORGS LÄN</t>
        </is>
      </c>
      <c r="E2808" t="inlineStr">
        <is>
          <t>BOLLNÄS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57387-2024</t>
        </is>
      </c>
      <c r="B2809" s="1" t="n">
        <v>45629.68421296297</v>
      </c>
      <c r="C2809" s="1" t="n">
        <v>46180</v>
      </c>
      <c r="D2809" t="inlineStr">
        <is>
          <t>GÄVLEBORGS LÄN</t>
        </is>
      </c>
      <c r="E2809" t="inlineStr">
        <is>
          <t>BOLLNÄS</t>
        </is>
      </c>
      <c r="G2809" t="n">
        <v>0.4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45823-2025</t>
        </is>
      </c>
      <c r="B2810" s="1" t="n">
        <v>45923</v>
      </c>
      <c r="C2810" s="1" t="n">
        <v>46180</v>
      </c>
      <c r="D2810" t="inlineStr">
        <is>
          <t>GÄVLEBORGS LÄN</t>
        </is>
      </c>
      <c r="E2810" t="inlineStr">
        <is>
          <t>BOLLNÄS</t>
        </is>
      </c>
      <c r="G2810" t="n">
        <v>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20957-2026</t>
        </is>
      </c>
      <c r="B2811" s="1" t="n">
        <v>46142</v>
      </c>
      <c r="C2811" s="1" t="n">
        <v>46180</v>
      </c>
      <c r="D2811" t="inlineStr">
        <is>
          <t>GÄVLEBORGS LÄN</t>
        </is>
      </c>
      <c r="E2811" t="inlineStr">
        <is>
          <t>BOLLNÄS</t>
        </is>
      </c>
      <c r="F2811" t="inlineStr">
        <is>
          <t>Bergvik skog väst AB</t>
        </is>
      </c>
      <c r="G2811" t="n">
        <v>1.8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53815-2022</t>
        </is>
      </c>
      <c r="B2812" s="1" t="n">
        <v>44880</v>
      </c>
      <c r="C2812" s="1" t="n">
        <v>46180</v>
      </c>
      <c r="D2812" t="inlineStr">
        <is>
          <t>GÄVLEBORGS LÄN</t>
        </is>
      </c>
      <c r="E2812" t="inlineStr">
        <is>
          <t>BOLLNÄS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40481-2024</t>
        </is>
      </c>
      <c r="B2813" s="1" t="n">
        <v>45555.55221064815</v>
      </c>
      <c r="C2813" s="1" t="n">
        <v>46180</v>
      </c>
      <c r="D2813" t="inlineStr">
        <is>
          <t>GÄVLEBORGS LÄN</t>
        </is>
      </c>
      <c r="E2813" t="inlineStr">
        <is>
          <t>BOLLNÄS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16564-2026</t>
        </is>
      </c>
      <c r="B2814" s="1" t="n">
        <v>46112</v>
      </c>
      <c r="C2814" s="1" t="n">
        <v>46180</v>
      </c>
      <c r="D2814" t="inlineStr">
        <is>
          <t>GÄVLEBORGS LÄN</t>
        </is>
      </c>
      <c r="E2814" t="inlineStr">
        <is>
          <t>BOLLNÄS</t>
        </is>
      </c>
      <c r="G2814" t="n">
        <v>3.7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22877-2024</t>
        </is>
      </c>
      <c r="B2815" s="1" t="n">
        <v>45448.65388888889</v>
      </c>
      <c r="C2815" s="1" t="n">
        <v>46180</v>
      </c>
      <c r="D2815" t="inlineStr">
        <is>
          <t>GÄVLEBORGS LÄN</t>
        </is>
      </c>
      <c r="E2815" t="inlineStr">
        <is>
          <t>BOLLNÄS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9697-2025</t>
        </is>
      </c>
      <c r="B2816" s="1" t="n">
        <v>45716.37329861111</v>
      </c>
      <c r="C2816" s="1" t="n">
        <v>46180</v>
      </c>
      <c r="D2816" t="inlineStr">
        <is>
          <t>GÄVLEBORGS LÄN</t>
        </is>
      </c>
      <c r="E2816" t="inlineStr">
        <is>
          <t>BOLLNÄS</t>
        </is>
      </c>
      <c r="G2816" t="n">
        <v>1.1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12166-2024</t>
        </is>
      </c>
      <c r="B2817" s="1" t="n">
        <v>45377.8671412037</v>
      </c>
      <c r="C2817" s="1" t="n">
        <v>46180</v>
      </c>
      <c r="D2817" t="inlineStr">
        <is>
          <t>GÄVLEBORGS LÄN</t>
        </is>
      </c>
      <c r="E2817" t="inlineStr">
        <is>
          <t>BOLLNÄS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21695-2026</t>
        </is>
      </c>
      <c r="B2818" s="1" t="n">
        <v>46149.53383101852</v>
      </c>
      <c r="C2818" s="1" t="n">
        <v>46180</v>
      </c>
      <c r="D2818" t="inlineStr">
        <is>
          <t>GÄVLEBORGS LÄN</t>
        </is>
      </c>
      <c r="E2818" t="inlineStr">
        <is>
          <t>BOLLNÄS</t>
        </is>
      </c>
      <c r="G2818" t="n">
        <v>1.9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28793-2024</t>
        </is>
      </c>
      <c r="B2819" s="1" t="n">
        <v>45478.61469907407</v>
      </c>
      <c r="C2819" s="1" t="n">
        <v>46180</v>
      </c>
      <c r="D2819" t="inlineStr">
        <is>
          <t>GÄVLEBORGS LÄN</t>
        </is>
      </c>
      <c r="E2819" t="inlineStr">
        <is>
          <t>BOLLNÄS</t>
        </is>
      </c>
      <c r="F2819" t="inlineStr">
        <is>
          <t>Bergvik skog väst AB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26126-2023</t>
        </is>
      </c>
      <c r="B2820" s="1" t="n">
        <v>45091</v>
      </c>
      <c r="C2820" s="1" t="n">
        <v>46180</v>
      </c>
      <c r="D2820" t="inlineStr">
        <is>
          <t>GÄVLEBORGS LÄN</t>
        </is>
      </c>
      <c r="E2820" t="inlineStr">
        <is>
          <t>BOLLNÄS</t>
        </is>
      </c>
      <c r="G2820" t="n">
        <v>1.7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60743-2024</t>
        </is>
      </c>
      <c r="B2821" s="1" t="n">
        <v>45644.55494212963</v>
      </c>
      <c r="C2821" s="1" t="n">
        <v>46180</v>
      </c>
      <c r="D2821" t="inlineStr">
        <is>
          <t>GÄVLEBORGS LÄN</t>
        </is>
      </c>
      <c r="E2821" t="inlineStr">
        <is>
          <t>BOLLNÄS</t>
        </is>
      </c>
      <c r="G2821" t="n">
        <v>1.6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45629-2023</t>
        </is>
      </c>
      <c r="B2822" s="1" t="n">
        <v>45194</v>
      </c>
      <c r="C2822" s="1" t="n">
        <v>46180</v>
      </c>
      <c r="D2822" t="inlineStr">
        <is>
          <t>GÄVLEBORGS LÄN</t>
        </is>
      </c>
      <c r="E2822" t="inlineStr">
        <is>
          <t>BOLLNÄS</t>
        </is>
      </c>
      <c r="G2822" t="n">
        <v>11.5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12853-2025</t>
        </is>
      </c>
      <c r="B2823" s="1" t="n">
        <v>45733.65908564815</v>
      </c>
      <c r="C2823" s="1" t="n">
        <v>46180</v>
      </c>
      <c r="D2823" t="inlineStr">
        <is>
          <t>GÄVLEBORGS LÄN</t>
        </is>
      </c>
      <c r="E2823" t="inlineStr">
        <is>
          <t>BOLLNÄS</t>
        </is>
      </c>
      <c r="G2823" t="n">
        <v>1.9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59636-2024</t>
        </is>
      </c>
      <c r="B2824" s="1" t="n">
        <v>45639.25746527778</v>
      </c>
      <c r="C2824" s="1" t="n">
        <v>46180</v>
      </c>
      <c r="D2824" t="inlineStr">
        <is>
          <t>GÄVLEBORGS LÄN</t>
        </is>
      </c>
      <c r="E2824" t="inlineStr">
        <is>
          <t>BOLLNÄS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52613-2024</t>
        </is>
      </c>
      <c r="B2825" s="1" t="n">
        <v>45609.84217592593</v>
      </c>
      <c r="C2825" s="1" t="n">
        <v>46180</v>
      </c>
      <c r="D2825" t="inlineStr">
        <is>
          <t>GÄVLEBORGS LÄN</t>
        </is>
      </c>
      <c r="E2825" t="inlineStr">
        <is>
          <t>BOLLNÄS</t>
        </is>
      </c>
      <c r="G2825" t="n">
        <v>3.6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57378-2024</t>
        </is>
      </c>
      <c r="B2826" s="1" t="n">
        <v>45629.67824074074</v>
      </c>
      <c r="C2826" s="1" t="n">
        <v>46180</v>
      </c>
      <c r="D2826" t="inlineStr">
        <is>
          <t>GÄVLEBORGS LÄN</t>
        </is>
      </c>
      <c r="E2826" t="inlineStr">
        <is>
          <t>BOLLNÄS</t>
        </is>
      </c>
      <c r="G2826" t="n">
        <v>0.4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60491-2023</t>
        </is>
      </c>
      <c r="B2827" s="1" t="n">
        <v>45258</v>
      </c>
      <c r="C2827" s="1" t="n">
        <v>46180</v>
      </c>
      <c r="D2827" t="inlineStr">
        <is>
          <t>GÄVLEBORGS LÄN</t>
        </is>
      </c>
      <c r="E2827" t="inlineStr">
        <is>
          <t>BOLLNÄS</t>
        </is>
      </c>
      <c r="G2827" t="n">
        <v>3.5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2885-2023</t>
        </is>
      </c>
      <c r="B2828" s="1" t="n">
        <v>44945</v>
      </c>
      <c r="C2828" s="1" t="n">
        <v>46180</v>
      </c>
      <c r="D2828" t="inlineStr">
        <is>
          <t>GÄVLEBORGS LÄN</t>
        </is>
      </c>
      <c r="E2828" t="inlineStr">
        <is>
          <t>BOLLNÄS</t>
        </is>
      </c>
      <c r="G2828" t="n">
        <v>2.7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24953-2026</t>
        </is>
      </c>
      <c r="B2829" s="1" t="n">
        <v>46174.5675462963</v>
      </c>
      <c r="C2829" s="1" t="n">
        <v>46180</v>
      </c>
      <c r="D2829" t="inlineStr">
        <is>
          <t>GÄVLEBORGS LÄN</t>
        </is>
      </c>
      <c r="E2829" t="inlineStr">
        <is>
          <t>BOLLNÄS</t>
        </is>
      </c>
      <c r="F2829" t="inlineStr">
        <is>
          <t>Kommuner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59360-2024</t>
        </is>
      </c>
      <c r="B2830" s="1" t="n">
        <v>45638.32483796297</v>
      </c>
      <c r="C2830" s="1" t="n">
        <v>46180</v>
      </c>
      <c r="D2830" t="inlineStr">
        <is>
          <t>GÄVLEBORGS LÄN</t>
        </is>
      </c>
      <c r="E2830" t="inlineStr">
        <is>
          <t>BOLLNÄS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12454-2023</t>
        </is>
      </c>
      <c r="B2831" s="1" t="n">
        <v>44999.58185185185</v>
      </c>
      <c r="C2831" s="1" t="n">
        <v>46180</v>
      </c>
      <c r="D2831" t="inlineStr">
        <is>
          <t>GÄVLEBORGS LÄN</t>
        </is>
      </c>
      <c r="E2831" t="inlineStr">
        <is>
          <t>BOLLNÄS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30067-2023</t>
        </is>
      </c>
      <c r="B2832" s="1" t="n">
        <v>45110.42435185185</v>
      </c>
      <c r="C2832" s="1" t="n">
        <v>46180</v>
      </c>
      <c r="D2832" t="inlineStr">
        <is>
          <t>GÄVLEBORGS LÄN</t>
        </is>
      </c>
      <c r="E2832" t="inlineStr">
        <is>
          <t>BOLLNÄS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20710-2025</t>
        </is>
      </c>
      <c r="B2833" s="1" t="n">
        <v>45776.48524305555</v>
      </c>
      <c r="C2833" s="1" t="n">
        <v>46180</v>
      </c>
      <c r="D2833" t="inlineStr">
        <is>
          <t>GÄVLEBORGS LÄN</t>
        </is>
      </c>
      <c r="E2833" t="inlineStr">
        <is>
          <t>BOLLNÄS</t>
        </is>
      </c>
      <c r="G2833" t="n">
        <v>0.4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20705-2025</t>
        </is>
      </c>
      <c r="B2834" s="1" t="n">
        <v>45776.48304398148</v>
      </c>
      <c r="C2834" s="1" t="n">
        <v>46180</v>
      </c>
      <c r="D2834" t="inlineStr">
        <is>
          <t>GÄVLEBORGS LÄN</t>
        </is>
      </c>
      <c r="E2834" t="inlineStr">
        <is>
          <t>BOLLNÄS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21562-2025</t>
        </is>
      </c>
      <c r="B2835" s="1" t="n">
        <v>45782.69534722222</v>
      </c>
      <c r="C2835" s="1" t="n">
        <v>46180</v>
      </c>
      <c r="D2835" t="inlineStr">
        <is>
          <t>GÄVLEBORGS LÄN</t>
        </is>
      </c>
      <c r="E2835" t="inlineStr">
        <is>
          <t>BOLLNÄS</t>
        </is>
      </c>
      <c r="F2835" t="inlineStr">
        <is>
          <t>Sveaskog</t>
        </is>
      </c>
      <c r="G2835" t="n">
        <v>0.4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21393-2025</t>
        </is>
      </c>
      <c r="B2836" s="1" t="n">
        <v>45782.48126157407</v>
      </c>
      <c r="C2836" s="1" t="n">
        <v>46180</v>
      </c>
      <c r="D2836" t="inlineStr">
        <is>
          <t>GÄVLEBORGS LÄN</t>
        </is>
      </c>
      <c r="E2836" t="inlineStr">
        <is>
          <t>BOLLNÄS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21352-2025</t>
        </is>
      </c>
      <c r="B2837" s="1" t="n">
        <v>45782.41087962963</v>
      </c>
      <c r="C2837" s="1" t="n">
        <v>46180</v>
      </c>
      <c r="D2837" t="inlineStr">
        <is>
          <t>GÄVLEBORGS LÄN</t>
        </is>
      </c>
      <c r="E2837" t="inlineStr">
        <is>
          <t>BOLLNÄS</t>
        </is>
      </c>
      <c r="G2837" t="n">
        <v>2.4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19135-2024</t>
        </is>
      </c>
      <c r="B2838" s="1" t="n">
        <v>45428</v>
      </c>
      <c r="C2838" s="1" t="n">
        <v>46180</v>
      </c>
      <c r="D2838" t="inlineStr">
        <is>
          <t>GÄVLEBORGS LÄN</t>
        </is>
      </c>
      <c r="E2838" t="inlineStr">
        <is>
          <t>BOLLNÄS</t>
        </is>
      </c>
      <c r="G2838" t="n">
        <v>4.7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20224-2024</t>
        </is>
      </c>
      <c r="B2839" s="1" t="n">
        <v>45434.70263888889</v>
      </c>
      <c r="C2839" s="1" t="n">
        <v>46180</v>
      </c>
      <c r="D2839" t="inlineStr">
        <is>
          <t>GÄVLEBORGS LÄN</t>
        </is>
      </c>
      <c r="E2839" t="inlineStr">
        <is>
          <t>BOLLNÄS</t>
        </is>
      </c>
      <c r="G2839" t="n">
        <v>4.8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46800-2024</t>
        </is>
      </c>
      <c r="B2840" s="1" t="n">
        <v>45583.54946759259</v>
      </c>
      <c r="C2840" s="1" t="n">
        <v>46180</v>
      </c>
      <c r="D2840" t="inlineStr">
        <is>
          <t>GÄVLEBORGS LÄN</t>
        </is>
      </c>
      <c r="E2840" t="inlineStr">
        <is>
          <t>BOLLNÄS</t>
        </is>
      </c>
      <c r="G2840" t="n">
        <v>2.2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42579-2024</t>
        </is>
      </c>
      <c r="B2841" s="1" t="n">
        <v>45565.65407407407</v>
      </c>
      <c r="C2841" s="1" t="n">
        <v>46180</v>
      </c>
      <c r="D2841" t="inlineStr">
        <is>
          <t>GÄVLEBORGS LÄN</t>
        </is>
      </c>
      <c r="E2841" t="inlineStr">
        <is>
          <t>BOLLNÄS</t>
        </is>
      </c>
      <c r="G2841" t="n">
        <v>7.9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42580-2024</t>
        </is>
      </c>
      <c r="B2842" s="1" t="n">
        <v>45565.65543981481</v>
      </c>
      <c r="C2842" s="1" t="n">
        <v>46180</v>
      </c>
      <c r="D2842" t="inlineStr">
        <is>
          <t>GÄVLEBORGS LÄN</t>
        </is>
      </c>
      <c r="E2842" t="inlineStr">
        <is>
          <t>BOLLNÄS</t>
        </is>
      </c>
      <c r="G2842" t="n">
        <v>7.9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40520-2024</t>
        </is>
      </c>
      <c r="B2843" s="1" t="n">
        <v>45555.5937962963</v>
      </c>
      <c r="C2843" s="1" t="n">
        <v>46180</v>
      </c>
      <c r="D2843" t="inlineStr">
        <is>
          <t>GÄVLEBORGS LÄN</t>
        </is>
      </c>
      <c r="E2843" t="inlineStr">
        <is>
          <t>BOLLNÄS</t>
        </is>
      </c>
      <c r="G2843" t="n">
        <v>3.4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21873-2025</t>
        </is>
      </c>
      <c r="B2844" s="1" t="n">
        <v>45784.38891203704</v>
      </c>
      <c r="C2844" s="1" t="n">
        <v>46180</v>
      </c>
      <c r="D2844" t="inlineStr">
        <is>
          <t>GÄVLEBORGS LÄN</t>
        </is>
      </c>
      <c r="E2844" t="inlineStr">
        <is>
          <t>BOLLNÄS</t>
        </is>
      </c>
      <c r="G2844" t="n">
        <v>2.8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46799-2024</t>
        </is>
      </c>
      <c r="B2845" s="1" t="n">
        <v>45583.54844907407</v>
      </c>
      <c r="C2845" s="1" t="n">
        <v>46180</v>
      </c>
      <c r="D2845" t="inlineStr">
        <is>
          <t>GÄVLEBORGS LÄN</t>
        </is>
      </c>
      <c r="E2845" t="inlineStr">
        <is>
          <t>BOLLNÄS</t>
        </is>
      </c>
      <c r="G2845" t="n">
        <v>2.2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23335-2024</t>
        </is>
      </c>
      <c r="B2846" s="1" t="n">
        <v>45453</v>
      </c>
      <c r="C2846" s="1" t="n">
        <v>46180</v>
      </c>
      <c r="D2846" t="inlineStr">
        <is>
          <t>GÄVLEBORGS LÄN</t>
        </is>
      </c>
      <c r="E2846" t="inlineStr">
        <is>
          <t>BOLLNÄS</t>
        </is>
      </c>
      <c r="G2846" t="n">
        <v>2.7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45782-2024</t>
        </is>
      </c>
      <c r="B2847" s="1" t="n">
        <v>45579.66521990741</v>
      </c>
      <c r="C2847" s="1" t="n">
        <v>46180</v>
      </c>
      <c r="D2847" t="inlineStr">
        <is>
          <t>GÄVLEBORGS LÄN</t>
        </is>
      </c>
      <c r="E2847" t="inlineStr">
        <is>
          <t>BOLLNÄS</t>
        </is>
      </c>
      <c r="G2847" t="n">
        <v>9.199999999999999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48270-2024</t>
        </is>
      </c>
      <c r="B2848" s="1" t="n">
        <v>45590.4315162037</v>
      </c>
      <c r="C2848" s="1" t="n">
        <v>46180</v>
      </c>
      <c r="D2848" t="inlineStr">
        <is>
          <t>GÄVLEBORGS LÄN</t>
        </is>
      </c>
      <c r="E2848" t="inlineStr">
        <is>
          <t>BOLLNÄS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28083-2024</t>
        </is>
      </c>
      <c r="B2849" s="1" t="n">
        <v>45476.59189814814</v>
      </c>
      <c r="C2849" s="1" t="n">
        <v>46180</v>
      </c>
      <c r="D2849" t="inlineStr">
        <is>
          <t>GÄVLEBORGS LÄN</t>
        </is>
      </c>
      <c r="E2849" t="inlineStr">
        <is>
          <t>BOLLNÄS</t>
        </is>
      </c>
      <c r="G2849" t="n">
        <v>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43750-2023</t>
        </is>
      </c>
      <c r="B2850" s="1" t="n">
        <v>45187</v>
      </c>
      <c r="C2850" s="1" t="n">
        <v>46180</v>
      </c>
      <c r="D2850" t="inlineStr">
        <is>
          <t>GÄVLEBORGS LÄN</t>
        </is>
      </c>
      <c r="E2850" t="inlineStr">
        <is>
          <t>BOLLNÄS</t>
        </is>
      </c>
      <c r="G2850" t="n">
        <v>2.8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41670-2024</t>
        </is>
      </c>
      <c r="B2851" s="1" t="n">
        <v>45560.65509259259</v>
      </c>
      <c r="C2851" s="1" t="n">
        <v>46180</v>
      </c>
      <c r="D2851" t="inlineStr">
        <is>
          <t>GÄVLEBORGS LÄN</t>
        </is>
      </c>
      <c r="E2851" t="inlineStr">
        <is>
          <t>BOLLNÄS</t>
        </is>
      </c>
      <c r="G2851" t="n">
        <v>11.5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56229-2024</t>
        </is>
      </c>
      <c r="B2852" s="1" t="n">
        <v>45624.61965277778</v>
      </c>
      <c r="C2852" s="1" t="n">
        <v>46180</v>
      </c>
      <c r="D2852" t="inlineStr">
        <is>
          <t>GÄVLEBORGS LÄN</t>
        </is>
      </c>
      <c r="E2852" t="inlineStr">
        <is>
          <t>BOLLNÄS</t>
        </is>
      </c>
      <c r="G2852" t="n">
        <v>2.3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52748-2024</t>
        </is>
      </c>
      <c r="B2853" s="1" t="n">
        <v>45610.48736111111</v>
      </c>
      <c r="C2853" s="1" t="n">
        <v>46180</v>
      </c>
      <c r="D2853" t="inlineStr">
        <is>
          <t>GÄVLEBORGS LÄN</t>
        </is>
      </c>
      <c r="E2853" t="inlineStr">
        <is>
          <t>BOLLNÄS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19144-2024</t>
        </is>
      </c>
      <c r="B2854" s="1" t="n">
        <v>45428</v>
      </c>
      <c r="C2854" s="1" t="n">
        <v>46180</v>
      </c>
      <c r="D2854" t="inlineStr">
        <is>
          <t>GÄVLEBORGS LÄN</t>
        </is>
      </c>
      <c r="E2854" t="inlineStr">
        <is>
          <t>BOLLNÄS</t>
        </is>
      </c>
      <c r="G2854" t="n">
        <v>3.2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44344-2024</t>
        </is>
      </c>
      <c r="B2855" s="1" t="n">
        <v>45573.62100694444</v>
      </c>
      <c r="C2855" s="1" t="n">
        <v>46180</v>
      </c>
      <c r="D2855" t="inlineStr">
        <is>
          <t>GÄVLEBORGS LÄN</t>
        </is>
      </c>
      <c r="E2855" t="inlineStr">
        <is>
          <t>BOLLNÄS</t>
        </is>
      </c>
      <c r="G2855" t="n">
        <v>3.1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22134-2025</t>
        </is>
      </c>
      <c r="B2856" s="1" t="n">
        <v>45785.54400462963</v>
      </c>
      <c r="C2856" s="1" t="n">
        <v>46180</v>
      </c>
      <c r="D2856" t="inlineStr">
        <is>
          <t>GÄVLEBORGS LÄN</t>
        </is>
      </c>
      <c r="E2856" t="inlineStr">
        <is>
          <t>BOLLNÄS</t>
        </is>
      </c>
      <c r="G2856" t="n">
        <v>3.3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31649-2024</t>
        </is>
      </c>
      <c r="B2857" s="1" t="n">
        <v>45506.62546296296</v>
      </c>
      <c r="C2857" s="1" t="n">
        <v>46180</v>
      </c>
      <c r="D2857" t="inlineStr">
        <is>
          <t>GÄVLEBORGS LÄN</t>
        </is>
      </c>
      <c r="E2857" t="inlineStr">
        <is>
          <t>BOLLNÄS</t>
        </is>
      </c>
      <c r="G2857" t="n">
        <v>2.3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13630-2024</t>
        </is>
      </c>
      <c r="B2858" s="1" t="n">
        <v>45390.40768518519</v>
      </c>
      <c r="C2858" s="1" t="n">
        <v>46180</v>
      </c>
      <c r="D2858" t="inlineStr">
        <is>
          <t>GÄVLEBORGS LÄN</t>
        </is>
      </c>
      <c r="E2858" t="inlineStr">
        <is>
          <t>BOLLNÄS</t>
        </is>
      </c>
      <c r="F2858" t="inlineStr">
        <is>
          <t>Holmen skog AB</t>
        </is>
      </c>
      <c r="G2858" t="n">
        <v>6.4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42541-2024</t>
        </is>
      </c>
      <c r="B2859" s="1" t="n">
        <v>45565.58790509259</v>
      </c>
      <c r="C2859" s="1" t="n">
        <v>46180</v>
      </c>
      <c r="D2859" t="inlineStr">
        <is>
          <t>GÄVLEBORGS LÄN</t>
        </is>
      </c>
      <c r="E2859" t="inlineStr">
        <is>
          <t>BOLLNÄS</t>
        </is>
      </c>
      <c r="G2859" t="n">
        <v>3.3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44120-2022</t>
        </is>
      </c>
      <c r="B2860" s="1" t="n">
        <v>44839.39199074074</v>
      </c>
      <c r="C2860" s="1" t="n">
        <v>46180</v>
      </c>
      <c r="D2860" t="inlineStr">
        <is>
          <t>GÄVLEBORGS LÄN</t>
        </is>
      </c>
      <c r="E2860" t="inlineStr">
        <is>
          <t>BOLLNÄS</t>
        </is>
      </c>
      <c r="G2860" t="n">
        <v>10.3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36256-2024</t>
        </is>
      </c>
      <c r="B2861" s="1" t="n">
        <v>45534</v>
      </c>
      <c r="C2861" s="1" t="n">
        <v>46180</v>
      </c>
      <c r="D2861" t="inlineStr">
        <is>
          <t>GÄVLEBORGS LÄN</t>
        </is>
      </c>
      <c r="E2861" t="inlineStr">
        <is>
          <t>BOLLNÄS</t>
        </is>
      </c>
      <c r="G2861" t="n">
        <v>3.1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23930-2025</t>
        </is>
      </c>
      <c r="B2862" s="1" t="n">
        <v>45795.6452662037</v>
      </c>
      <c r="C2862" s="1" t="n">
        <v>46180</v>
      </c>
      <c r="D2862" t="inlineStr">
        <is>
          <t>GÄVLEBORGS LÄN</t>
        </is>
      </c>
      <c r="E2862" t="inlineStr">
        <is>
          <t>BOLLNÄS</t>
        </is>
      </c>
      <c r="G2862" t="n">
        <v>7.9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38146-2023</t>
        </is>
      </c>
      <c r="B2863" s="1" t="n">
        <v>45161</v>
      </c>
      <c r="C2863" s="1" t="n">
        <v>46180</v>
      </c>
      <c r="D2863" t="inlineStr">
        <is>
          <t>GÄVLEBORGS LÄN</t>
        </is>
      </c>
      <c r="E2863" t="inlineStr">
        <is>
          <t>BOLLNÄS</t>
        </is>
      </c>
      <c r="F2863" t="inlineStr">
        <is>
          <t>Bergvik skog väst AB</t>
        </is>
      </c>
      <c r="G2863" t="n">
        <v>2.6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22927-2025</t>
        </is>
      </c>
      <c r="B2864" s="1" t="n">
        <v>45790.4482175926</v>
      </c>
      <c r="C2864" s="1" t="n">
        <v>46180</v>
      </c>
      <c r="D2864" t="inlineStr">
        <is>
          <t>GÄVLEBORGS LÄN</t>
        </is>
      </c>
      <c r="E2864" t="inlineStr">
        <is>
          <t>BOLLNÄS</t>
        </is>
      </c>
      <c r="F2864" t="inlineStr">
        <is>
          <t>Bergvik skog väst AB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22622-2025</t>
        </is>
      </c>
      <c r="B2865" s="1" t="n">
        <v>45789.43271990741</v>
      </c>
      <c r="C2865" s="1" t="n">
        <v>46180</v>
      </c>
      <c r="D2865" t="inlineStr">
        <is>
          <t>GÄVLEBORGS LÄN</t>
        </is>
      </c>
      <c r="E2865" t="inlineStr">
        <is>
          <t>BOLLNÄS</t>
        </is>
      </c>
      <c r="G2865" t="n">
        <v>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10485-2024</t>
        </is>
      </c>
      <c r="B2866" s="1" t="n">
        <v>45366</v>
      </c>
      <c r="C2866" s="1" t="n">
        <v>46180</v>
      </c>
      <c r="D2866" t="inlineStr">
        <is>
          <t>GÄVLEBORGS LÄN</t>
        </is>
      </c>
      <c r="E2866" t="inlineStr">
        <is>
          <t>BOLLNÄS</t>
        </is>
      </c>
      <c r="G2866" t="n">
        <v>1.8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22305-2026</t>
        </is>
      </c>
      <c r="B2867" s="1" t="n">
        <v>46154</v>
      </c>
      <c r="C2867" s="1" t="n">
        <v>46180</v>
      </c>
      <c r="D2867" t="inlineStr">
        <is>
          <t>GÄVLEBORGS LÄN</t>
        </is>
      </c>
      <c r="E2867" t="inlineStr">
        <is>
          <t>BOLLNÄS</t>
        </is>
      </c>
      <c r="G2867" t="n">
        <v>1.1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22310-2026</t>
        </is>
      </c>
      <c r="B2868" s="1" t="n">
        <v>46154</v>
      </c>
      <c r="C2868" s="1" t="n">
        <v>46180</v>
      </c>
      <c r="D2868" t="inlineStr">
        <is>
          <t>GÄVLEBORGS LÄN</t>
        </is>
      </c>
      <c r="E2868" t="inlineStr">
        <is>
          <t>BOLLNÄS</t>
        </is>
      </c>
      <c r="G2868" t="n">
        <v>1.7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48666-2022</t>
        </is>
      </c>
      <c r="B2869" s="1" t="n">
        <v>44859.44630787037</v>
      </c>
      <c r="C2869" s="1" t="n">
        <v>46180</v>
      </c>
      <c r="D2869" t="inlineStr">
        <is>
          <t>GÄVLEBORGS LÄN</t>
        </is>
      </c>
      <c r="E2869" t="inlineStr">
        <is>
          <t>BOLLNÄS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13405-2022</t>
        </is>
      </c>
      <c r="B2870" s="1" t="n">
        <v>44645.53158564815</v>
      </c>
      <c r="C2870" s="1" t="n">
        <v>46180</v>
      </c>
      <c r="D2870" t="inlineStr">
        <is>
          <t>GÄVLEBORGS LÄN</t>
        </is>
      </c>
      <c r="E2870" t="inlineStr">
        <is>
          <t>BOLLNÄS</t>
        </is>
      </c>
      <c r="G2870" t="n">
        <v>3.5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49883-2023</t>
        </is>
      </c>
      <c r="B2871" s="1" t="n">
        <v>45213.37230324074</v>
      </c>
      <c r="C2871" s="1" t="n">
        <v>46180</v>
      </c>
      <c r="D2871" t="inlineStr">
        <is>
          <t>GÄVLEBORGS LÄN</t>
        </is>
      </c>
      <c r="E2871" t="inlineStr">
        <is>
          <t>BOLLNÄS</t>
        </is>
      </c>
      <c r="G2871" t="n">
        <v>1.8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24035-2026</t>
        </is>
      </c>
      <c r="B2872" s="1" t="n">
        <v>46167</v>
      </c>
      <c r="C2872" s="1" t="n">
        <v>46180</v>
      </c>
      <c r="D2872" t="inlineStr">
        <is>
          <t>GÄVLEBORGS LÄN</t>
        </is>
      </c>
      <c r="E2872" t="inlineStr">
        <is>
          <t>BOLLNÄS</t>
        </is>
      </c>
      <c r="F2872" t="inlineStr">
        <is>
          <t>Bergvik skog väst AB</t>
        </is>
      </c>
      <c r="G2872" t="n">
        <v>14.6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24039-2026</t>
        </is>
      </c>
      <c r="B2873" s="1" t="n">
        <v>46167</v>
      </c>
      <c r="C2873" s="1" t="n">
        <v>46180</v>
      </c>
      <c r="D2873" t="inlineStr">
        <is>
          <t>GÄVLEBORGS LÄN</t>
        </is>
      </c>
      <c r="E2873" t="inlineStr">
        <is>
          <t>BOLLNÄS</t>
        </is>
      </c>
      <c r="F2873" t="inlineStr">
        <is>
          <t>Bergvik skog väst AB</t>
        </is>
      </c>
      <c r="G2873" t="n">
        <v>27.5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23095-2026</t>
        </is>
      </c>
      <c r="B2874" s="1" t="n">
        <v>46161.5581712963</v>
      </c>
      <c r="C2874" s="1" t="n">
        <v>46180</v>
      </c>
      <c r="D2874" t="inlineStr">
        <is>
          <t>GÄVLEBORGS LÄN</t>
        </is>
      </c>
      <c r="E2874" t="inlineStr">
        <is>
          <t>BOLLNÄS</t>
        </is>
      </c>
      <c r="G2874" t="n">
        <v>3.3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8519-2025</t>
        </is>
      </c>
      <c r="B2875" s="1" t="n">
        <v>45709.55436342592</v>
      </c>
      <c r="C2875" s="1" t="n">
        <v>46180</v>
      </c>
      <c r="D2875" t="inlineStr">
        <is>
          <t>GÄVLEBORGS LÄN</t>
        </is>
      </c>
      <c r="E2875" t="inlineStr">
        <is>
          <t>BOLLNÄS</t>
        </is>
      </c>
      <c r="G2875" t="n">
        <v>1.7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55941-2024</t>
        </is>
      </c>
      <c r="B2876" s="1" t="n">
        <v>45623.61159722223</v>
      </c>
      <c r="C2876" s="1" t="n">
        <v>46180</v>
      </c>
      <c r="D2876" t="inlineStr">
        <is>
          <t>GÄVLEBORGS LÄN</t>
        </is>
      </c>
      <c r="E2876" t="inlineStr">
        <is>
          <t>BOLLNÄS</t>
        </is>
      </c>
      <c r="G2876" t="n">
        <v>2.2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36710-2023</t>
        </is>
      </c>
      <c r="B2877" s="1" t="n">
        <v>45153.65484953704</v>
      </c>
      <c r="C2877" s="1" t="n">
        <v>46180</v>
      </c>
      <c r="D2877" t="inlineStr">
        <is>
          <t>GÄVLEBORGS LÄN</t>
        </is>
      </c>
      <c r="E2877" t="inlineStr">
        <is>
          <t>BOLLNÄS</t>
        </is>
      </c>
      <c r="G2877" t="n">
        <v>3.2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23419-2025</t>
        </is>
      </c>
      <c r="B2878" s="1" t="n">
        <v>45792.35172453704</v>
      </c>
      <c r="C2878" s="1" t="n">
        <v>46180</v>
      </c>
      <c r="D2878" t="inlineStr">
        <is>
          <t>GÄVLEBORGS LÄN</t>
        </is>
      </c>
      <c r="E2878" t="inlineStr">
        <is>
          <t>BOLLNÄS</t>
        </is>
      </c>
      <c r="G2878" t="n">
        <v>2.4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46795-2024</t>
        </is>
      </c>
      <c r="B2879" s="1" t="n">
        <v>45583.54359953704</v>
      </c>
      <c r="C2879" s="1" t="n">
        <v>46180</v>
      </c>
      <c r="D2879" t="inlineStr">
        <is>
          <t>GÄVLEBORGS LÄN</t>
        </is>
      </c>
      <c r="E2879" t="inlineStr">
        <is>
          <t>BOLLNÄS</t>
        </is>
      </c>
      <c r="G2879" t="n">
        <v>1.7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19970-2024</t>
        </is>
      </c>
      <c r="B2880" s="1" t="n">
        <v>45433.75060185185</v>
      </c>
      <c r="C2880" s="1" t="n">
        <v>46180</v>
      </c>
      <c r="D2880" t="inlineStr">
        <is>
          <t>GÄVLEBORGS LÄN</t>
        </is>
      </c>
      <c r="E2880" t="inlineStr">
        <is>
          <t>BOLLNÄS</t>
        </is>
      </c>
      <c r="G2880" t="n">
        <v>3.4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17376-2024</t>
        </is>
      </c>
      <c r="B2881" s="1" t="n">
        <v>45414.639375</v>
      </c>
      <c r="C2881" s="1" t="n">
        <v>46180</v>
      </c>
      <c r="D2881" t="inlineStr">
        <is>
          <t>GÄVLEBORGS LÄN</t>
        </is>
      </c>
      <c r="E2881" t="inlineStr">
        <is>
          <t>BOLLNÄS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23846-2025</t>
        </is>
      </c>
      <c r="B2882" s="1" t="n">
        <v>45793</v>
      </c>
      <c r="C2882" s="1" t="n">
        <v>46180</v>
      </c>
      <c r="D2882" t="inlineStr">
        <is>
          <t>GÄVLEBORGS LÄN</t>
        </is>
      </c>
      <c r="E2882" t="inlineStr">
        <is>
          <t>BOLLNÄS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23882-2025</t>
        </is>
      </c>
      <c r="B2883" s="1" t="n">
        <v>45793.71438657407</v>
      </c>
      <c r="C2883" s="1" t="n">
        <v>46180</v>
      </c>
      <c r="D2883" t="inlineStr">
        <is>
          <t>GÄVLEBORGS LÄN</t>
        </is>
      </c>
      <c r="E2883" t="inlineStr">
        <is>
          <t>BOLLNÄS</t>
        </is>
      </c>
      <c r="G2883" t="n">
        <v>3.7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23883-2025</t>
        </is>
      </c>
      <c r="B2884" s="1" t="n">
        <v>45793.72311342593</v>
      </c>
      <c r="C2884" s="1" t="n">
        <v>46180</v>
      </c>
      <c r="D2884" t="inlineStr">
        <is>
          <t>GÄVLEBORGS LÄN</t>
        </is>
      </c>
      <c r="E2884" t="inlineStr">
        <is>
          <t>BOLLNÄS</t>
        </is>
      </c>
      <c r="G2884" t="n">
        <v>1.7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38594-2024</t>
        </is>
      </c>
      <c r="B2885" s="1" t="n">
        <v>45546.65759259259</v>
      </c>
      <c r="C2885" s="1" t="n">
        <v>46180</v>
      </c>
      <c r="D2885" t="inlineStr">
        <is>
          <t>GÄVLEBORGS LÄN</t>
        </is>
      </c>
      <c r="E2885" t="inlineStr">
        <is>
          <t>BOLLNÄS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20060-2026</t>
        </is>
      </c>
      <c r="B2886" s="1" t="n">
        <v>46136</v>
      </c>
      <c r="C2886" s="1" t="n">
        <v>46180</v>
      </c>
      <c r="D2886" t="inlineStr">
        <is>
          <t>GÄVLEBORGS LÄN</t>
        </is>
      </c>
      <c r="E2886" t="inlineStr">
        <is>
          <t>BOLLNÄS</t>
        </is>
      </c>
      <c r="G2886" t="n">
        <v>0.4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15737-2023</t>
        </is>
      </c>
      <c r="B2887" s="1" t="n">
        <v>45021.59313657408</v>
      </c>
      <c r="C2887" s="1" t="n">
        <v>46180</v>
      </c>
      <c r="D2887" t="inlineStr">
        <is>
          <t>GÄVLEBORGS LÄN</t>
        </is>
      </c>
      <c r="E2887" t="inlineStr">
        <is>
          <t>BOLLNÄS</t>
        </is>
      </c>
      <c r="G2887" t="n">
        <v>6.6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23880-2025</t>
        </is>
      </c>
      <c r="B2888" s="1" t="n">
        <v>45793.69190972222</v>
      </c>
      <c r="C2888" s="1" t="n">
        <v>46180</v>
      </c>
      <c r="D2888" t="inlineStr">
        <is>
          <t>GÄVLEBORGS LÄN</t>
        </is>
      </c>
      <c r="E2888" t="inlineStr">
        <is>
          <t>BOLLNÄS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19921-2026</t>
        </is>
      </c>
      <c r="B2889" s="1" t="n">
        <v>46136.36048611111</v>
      </c>
      <c r="C2889" s="1" t="n">
        <v>46180</v>
      </c>
      <c r="D2889" t="inlineStr">
        <is>
          <t>GÄVLEBORGS LÄN</t>
        </is>
      </c>
      <c r="E2889" t="inlineStr">
        <is>
          <t>BOLLNÄS</t>
        </is>
      </c>
      <c r="F2889" t="inlineStr">
        <is>
          <t>Bergvik skog öst AB</t>
        </is>
      </c>
      <c r="G2889" t="n">
        <v>7.4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11173-2026</t>
        </is>
      </c>
      <c r="B2890" s="1" t="n">
        <v>46080.38243055555</v>
      </c>
      <c r="C2890" s="1" t="n">
        <v>46180</v>
      </c>
      <c r="D2890" t="inlineStr">
        <is>
          <t>GÄVLEBORGS LÄN</t>
        </is>
      </c>
      <c r="E2890" t="inlineStr">
        <is>
          <t>BOLLNÄS</t>
        </is>
      </c>
      <c r="G2890" t="n">
        <v>6.6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11959-2026</t>
        </is>
      </c>
      <c r="B2891" s="1" t="n">
        <v>46085</v>
      </c>
      <c r="C2891" s="1" t="n">
        <v>46180</v>
      </c>
      <c r="D2891" t="inlineStr">
        <is>
          <t>GÄVLEBORGS LÄN</t>
        </is>
      </c>
      <c r="E2891" t="inlineStr">
        <is>
          <t>BOLLNÄS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41591-2024</t>
        </is>
      </c>
      <c r="B2892" s="1" t="n">
        <v>45560.57263888889</v>
      </c>
      <c r="C2892" s="1" t="n">
        <v>46180</v>
      </c>
      <c r="D2892" t="inlineStr">
        <is>
          <t>GÄVLEBORGS LÄN</t>
        </is>
      </c>
      <c r="E2892" t="inlineStr">
        <is>
          <t>BOLLNÄS</t>
        </is>
      </c>
      <c r="G2892" t="n">
        <v>21.8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23420-2025</t>
        </is>
      </c>
      <c r="B2893" s="1" t="n">
        <v>45792.35361111111</v>
      </c>
      <c r="C2893" s="1" t="n">
        <v>46180</v>
      </c>
      <c r="D2893" t="inlineStr">
        <is>
          <t>GÄVLEBORGS LÄN</t>
        </is>
      </c>
      <c r="E2893" t="inlineStr">
        <is>
          <t>BOLLNÄS</t>
        </is>
      </c>
      <c r="G2893" t="n">
        <v>1.8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10912-2026</t>
        </is>
      </c>
      <c r="B2894" s="1" t="n">
        <v>46079</v>
      </c>
      <c r="C2894" s="1" t="n">
        <v>46180</v>
      </c>
      <c r="D2894" t="inlineStr">
        <is>
          <t>GÄVLEBORGS LÄN</t>
        </is>
      </c>
      <c r="E2894" t="inlineStr">
        <is>
          <t>BOLLNÄS</t>
        </is>
      </c>
      <c r="F2894" t="inlineStr">
        <is>
          <t>Bergvik skog väst AB</t>
        </is>
      </c>
      <c r="G2894" t="n">
        <v>16.8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29766-2025</t>
        </is>
      </c>
      <c r="B2895" s="1" t="n">
        <v>45825.61914351852</v>
      </c>
      <c r="C2895" s="1" t="n">
        <v>46180</v>
      </c>
      <c r="D2895" t="inlineStr">
        <is>
          <t>GÄVLEBORGS LÄN</t>
        </is>
      </c>
      <c r="E2895" t="inlineStr">
        <is>
          <t>BOLLNÄS</t>
        </is>
      </c>
      <c r="F2895" t="inlineStr">
        <is>
          <t>Sveaskog</t>
        </is>
      </c>
      <c r="G2895" t="n">
        <v>4.3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19392-2026</t>
        </is>
      </c>
      <c r="B2896" s="1" t="n">
        <v>46133</v>
      </c>
      <c r="C2896" s="1" t="n">
        <v>46180</v>
      </c>
      <c r="D2896" t="inlineStr">
        <is>
          <t>GÄVLEBORGS LÄN</t>
        </is>
      </c>
      <c r="E2896" t="inlineStr">
        <is>
          <t>BOLLNÄS</t>
        </is>
      </c>
      <c r="G2896" t="n">
        <v>3.3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3609-2026</t>
        </is>
      </c>
      <c r="B2897" s="1" t="n">
        <v>46042</v>
      </c>
      <c r="C2897" s="1" t="n">
        <v>46180</v>
      </c>
      <c r="D2897" t="inlineStr">
        <is>
          <t>GÄVLEBORGS LÄN</t>
        </is>
      </c>
      <c r="E2897" t="inlineStr">
        <is>
          <t>BOLLNÄS</t>
        </is>
      </c>
      <c r="G2897" t="n">
        <v>4.3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16935-2026</t>
        </is>
      </c>
      <c r="B2898" s="1" t="n">
        <v>46113</v>
      </c>
      <c r="C2898" s="1" t="n">
        <v>46180</v>
      </c>
      <c r="D2898" t="inlineStr">
        <is>
          <t>GÄVLEBORGS LÄN</t>
        </is>
      </c>
      <c r="E2898" t="inlineStr">
        <is>
          <t>BOLLNÄS</t>
        </is>
      </c>
      <c r="G2898" t="n">
        <v>10.1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11123-2026</t>
        </is>
      </c>
      <c r="B2899" s="1" t="n">
        <v>46079.68883101852</v>
      </c>
      <c r="C2899" s="1" t="n">
        <v>46180</v>
      </c>
      <c r="D2899" t="inlineStr">
        <is>
          <t>GÄVLEBORGS LÄN</t>
        </is>
      </c>
      <c r="E2899" t="inlineStr">
        <is>
          <t>BOLLNÄS</t>
        </is>
      </c>
      <c r="G2899" t="n">
        <v>5.4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20026-2026</t>
        </is>
      </c>
      <c r="B2900" s="1" t="n">
        <v>46136.54824074074</v>
      </c>
      <c r="C2900" s="1" t="n">
        <v>46180</v>
      </c>
      <c r="D2900" t="inlineStr">
        <is>
          <t>GÄVLEBORGS LÄN</t>
        </is>
      </c>
      <c r="E2900" t="inlineStr">
        <is>
          <t>BOLLNÄS</t>
        </is>
      </c>
      <c r="G2900" t="n">
        <v>1.7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20030-2026</t>
        </is>
      </c>
      <c r="B2901" s="1" t="n">
        <v>46136.5504050926</v>
      </c>
      <c r="C2901" s="1" t="n">
        <v>46180</v>
      </c>
      <c r="D2901" t="inlineStr">
        <is>
          <t>GÄVLEBORGS LÄN</t>
        </is>
      </c>
      <c r="E2901" t="inlineStr">
        <is>
          <t>BOLLNÄS</t>
        </is>
      </c>
      <c r="G2901" t="n">
        <v>0.5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19949-2026</t>
        </is>
      </c>
      <c r="B2902" s="1" t="n">
        <v>46136</v>
      </c>
      <c r="C2902" s="1" t="n">
        <v>46180</v>
      </c>
      <c r="D2902" t="inlineStr">
        <is>
          <t>GÄVLEBORGS LÄN</t>
        </is>
      </c>
      <c r="E2902" t="inlineStr">
        <is>
          <t>BOLLNÄS</t>
        </is>
      </c>
      <c r="G2902" t="n">
        <v>5.3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19959-2026</t>
        </is>
      </c>
      <c r="B2903" s="1" t="n">
        <v>46136</v>
      </c>
      <c r="C2903" s="1" t="n">
        <v>46180</v>
      </c>
      <c r="D2903" t="inlineStr">
        <is>
          <t>GÄVLEBORGS LÄN</t>
        </is>
      </c>
      <c r="E2903" t="inlineStr">
        <is>
          <t>BOLLNÄS</t>
        </is>
      </c>
      <c r="F2903" t="inlineStr">
        <is>
          <t>Bergvik skog väst AB</t>
        </is>
      </c>
      <c r="G2903" t="n">
        <v>1.2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20024-2026</t>
        </is>
      </c>
      <c r="B2904" s="1" t="n">
        <v>46136.54539351852</v>
      </c>
      <c r="C2904" s="1" t="n">
        <v>46180</v>
      </c>
      <c r="D2904" t="inlineStr">
        <is>
          <t>GÄVLEBORGS LÄN</t>
        </is>
      </c>
      <c r="E2904" t="inlineStr">
        <is>
          <t>BOLLNÄS</t>
        </is>
      </c>
      <c r="G2904" t="n">
        <v>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16122-2026</t>
        </is>
      </c>
      <c r="B2905" s="1" t="n">
        <v>46108</v>
      </c>
      <c r="C2905" s="1" t="n">
        <v>46180</v>
      </c>
      <c r="D2905" t="inlineStr">
        <is>
          <t>GÄVLEBORGS LÄN</t>
        </is>
      </c>
      <c r="E2905" t="inlineStr">
        <is>
          <t>BOLLNÄS</t>
        </is>
      </c>
      <c r="G2905" t="n">
        <v>6.3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16936-2026</t>
        </is>
      </c>
      <c r="B2906" s="1" t="n">
        <v>46113</v>
      </c>
      <c r="C2906" s="1" t="n">
        <v>46180</v>
      </c>
      <c r="D2906" t="inlineStr">
        <is>
          <t>GÄVLEBORGS LÄN</t>
        </is>
      </c>
      <c r="E2906" t="inlineStr">
        <is>
          <t>BOLLNÄS</t>
        </is>
      </c>
      <c r="G2906" t="n">
        <v>2.6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16937-2026</t>
        </is>
      </c>
      <c r="B2907" s="1" t="n">
        <v>46113</v>
      </c>
      <c r="C2907" s="1" t="n">
        <v>46180</v>
      </c>
      <c r="D2907" t="inlineStr">
        <is>
          <t>GÄVLEBORGS LÄN</t>
        </is>
      </c>
      <c r="E2907" t="inlineStr">
        <is>
          <t>BOLLNÄS</t>
        </is>
      </c>
      <c r="G2907" t="n">
        <v>14.2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19745-2026</t>
        </is>
      </c>
      <c r="B2908" s="1" t="n">
        <v>46135.35901620371</v>
      </c>
      <c r="C2908" s="1" t="n">
        <v>46180</v>
      </c>
      <c r="D2908" t="inlineStr">
        <is>
          <t>GÄVLEBORGS LÄN</t>
        </is>
      </c>
      <c r="E2908" t="inlineStr">
        <is>
          <t>BOLLNÄS</t>
        </is>
      </c>
      <c r="G2908" t="n">
        <v>1.8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19750-2026</t>
        </is>
      </c>
      <c r="B2909" s="1" t="n">
        <v>46135.36983796296</v>
      </c>
      <c r="C2909" s="1" t="n">
        <v>46180</v>
      </c>
      <c r="D2909" t="inlineStr">
        <is>
          <t>GÄVLEBORGS LÄN</t>
        </is>
      </c>
      <c r="E2909" t="inlineStr">
        <is>
          <t>BOLLNÄS</t>
        </is>
      </c>
      <c r="G2909" t="n">
        <v>4.9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19838-2026</t>
        </is>
      </c>
      <c r="B2910" s="1" t="n">
        <v>46135</v>
      </c>
      <c r="C2910" s="1" t="n">
        <v>46180</v>
      </c>
      <c r="D2910" t="inlineStr">
        <is>
          <t>GÄVLEBORGS LÄN</t>
        </is>
      </c>
      <c r="E2910" t="inlineStr">
        <is>
          <t>BOLLNÄS</t>
        </is>
      </c>
      <c r="G2910" t="n">
        <v>1.9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29777-2025</t>
        </is>
      </c>
      <c r="B2911" s="1" t="n">
        <v>45825.64113425926</v>
      </c>
      <c r="C2911" s="1" t="n">
        <v>46180</v>
      </c>
      <c r="D2911" t="inlineStr">
        <is>
          <t>GÄVLEBORGS LÄN</t>
        </is>
      </c>
      <c r="E2911" t="inlineStr">
        <is>
          <t>BOLLNÄS</t>
        </is>
      </c>
      <c r="G2911" t="n">
        <v>2.7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10772-2026</t>
        </is>
      </c>
      <c r="B2912" s="1" t="n">
        <v>46078</v>
      </c>
      <c r="C2912" s="1" t="n">
        <v>46180</v>
      </c>
      <c r="D2912" t="inlineStr">
        <is>
          <t>GÄVLEBORGS LÄN</t>
        </is>
      </c>
      <c r="E2912" t="inlineStr">
        <is>
          <t>BOLLNÄS</t>
        </is>
      </c>
      <c r="F2912" t="inlineStr">
        <is>
          <t>Bergvik skog väst AB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24889-2026</t>
        </is>
      </c>
      <c r="B2913" s="1" t="n">
        <v>46174.4568287037</v>
      </c>
      <c r="C2913" s="1" t="n">
        <v>46180</v>
      </c>
      <c r="D2913" t="inlineStr">
        <is>
          <t>GÄVLEBORGS LÄN</t>
        </is>
      </c>
      <c r="E2913" t="inlineStr">
        <is>
          <t>BOLLNÄS</t>
        </is>
      </c>
      <c r="G2913" t="n">
        <v>3.4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255-2026</t>
        </is>
      </c>
      <c r="B2914" s="1" t="n">
        <v>46027</v>
      </c>
      <c r="C2914" s="1" t="n">
        <v>46180</v>
      </c>
      <c r="D2914" t="inlineStr">
        <is>
          <t>GÄVLEBORGS LÄN</t>
        </is>
      </c>
      <c r="E2914" t="inlineStr">
        <is>
          <t>BOLLNÄS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19839-2026</t>
        </is>
      </c>
      <c r="B2915" s="1" t="n">
        <v>46135.61072916666</v>
      </c>
      <c r="C2915" s="1" t="n">
        <v>46180</v>
      </c>
      <c r="D2915" t="inlineStr">
        <is>
          <t>GÄVLEBORGS LÄN</t>
        </is>
      </c>
      <c r="E2915" t="inlineStr">
        <is>
          <t>BOLLNÄS</t>
        </is>
      </c>
      <c r="G2915" t="n">
        <v>2.7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5573-2026</t>
        </is>
      </c>
      <c r="B2916" s="1" t="n">
        <v>46051.26194444444</v>
      </c>
      <c r="C2916" s="1" t="n">
        <v>46180</v>
      </c>
      <c r="D2916" t="inlineStr">
        <is>
          <t>GÄVLEBORGS LÄN</t>
        </is>
      </c>
      <c r="E2916" t="inlineStr">
        <is>
          <t>BOLLNÄS</t>
        </is>
      </c>
      <c r="G2916" t="n">
        <v>7.6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9555-2026</t>
        </is>
      </c>
      <c r="B2917" s="1" t="n">
        <v>46071</v>
      </c>
      <c r="C2917" s="1" t="n">
        <v>46180</v>
      </c>
      <c r="D2917" t="inlineStr">
        <is>
          <t>GÄVLEBORGS LÄN</t>
        </is>
      </c>
      <c r="E2917" t="inlineStr">
        <is>
          <t>BOLLNÄS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16660-2026</t>
        </is>
      </c>
      <c r="B2918" s="1" t="n">
        <v>46112</v>
      </c>
      <c r="C2918" s="1" t="n">
        <v>46180</v>
      </c>
      <c r="D2918" t="inlineStr">
        <is>
          <t>GÄVLEBORGS LÄN</t>
        </is>
      </c>
      <c r="E2918" t="inlineStr">
        <is>
          <t>BOLLNÄS</t>
        </is>
      </c>
      <c r="G2918" t="n">
        <v>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25474-2026</t>
        </is>
      </c>
      <c r="B2919" s="1" t="n">
        <v>46177.40648148148</v>
      </c>
      <c r="C2919" s="1" t="n">
        <v>46180</v>
      </c>
      <c r="D2919" t="inlineStr">
        <is>
          <t>GÄVLEBORGS LÄN</t>
        </is>
      </c>
      <c r="E2919" t="inlineStr">
        <is>
          <t>BOLLNÄS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16944-2026</t>
        </is>
      </c>
      <c r="B2920" s="1" t="n">
        <v>46113.77391203704</v>
      </c>
      <c r="C2920" s="1" t="n">
        <v>46180</v>
      </c>
      <c r="D2920" t="inlineStr">
        <is>
          <t>GÄVLEBORGS LÄN</t>
        </is>
      </c>
      <c r="E2920" t="inlineStr">
        <is>
          <t>BOLLNÄS</t>
        </is>
      </c>
      <c r="G2920" t="n">
        <v>5.3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17648-2026</t>
        </is>
      </c>
      <c r="B2921" s="1" t="n">
        <v>46121</v>
      </c>
      <c r="C2921" s="1" t="n">
        <v>46180</v>
      </c>
      <c r="D2921" t="inlineStr">
        <is>
          <t>GÄVLEBORGS LÄN</t>
        </is>
      </c>
      <c r="E2921" t="inlineStr">
        <is>
          <t>BOLLNÄS</t>
        </is>
      </c>
      <c r="G2921" t="n">
        <v>5.6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19861-2026</t>
        </is>
      </c>
      <c r="B2922" s="1" t="n">
        <v>46135</v>
      </c>
      <c r="C2922" s="1" t="n">
        <v>46180</v>
      </c>
      <c r="D2922" t="inlineStr">
        <is>
          <t>GÄVLEBORGS LÄN</t>
        </is>
      </c>
      <c r="E2922" t="inlineStr">
        <is>
          <t>BOLLNÄS</t>
        </is>
      </c>
      <c r="G2922" t="n">
        <v>2.5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17380-2025</t>
        </is>
      </c>
      <c r="B2923" s="1" t="n">
        <v>45757.29439814815</v>
      </c>
      <c r="C2923" s="1" t="n">
        <v>46180</v>
      </c>
      <c r="D2923" t="inlineStr">
        <is>
          <t>GÄVLEBORGS LÄN</t>
        </is>
      </c>
      <c r="E2923" t="inlineStr">
        <is>
          <t>BOLLNÄS</t>
        </is>
      </c>
      <c r="F2923" t="inlineStr">
        <is>
          <t>Bergvik skog väst AB</t>
        </is>
      </c>
      <c r="G2923" t="n">
        <v>2.9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25632-2022</t>
        </is>
      </c>
      <c r="B2924" s="1" t="n">
        <v>44732.92746527777</v>
      </c>
      <c r="C2924" s="1" t="n">
        <v>46180</v>
      </c>
      <c r="D2924" t="inlineStr">
        <is>
          <t>GÄVLEBORGS LÄN</t>
        </is>
      </c>
      <c r="E2924" t="inlineStr">
        <is>
          <t>BOLLNÄS</t>
        </is>
      </c>
      <c r="G2924" t="n">
        <v>2.5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10911-2026</t>
        </is>
      </c>
      <c r="B2925" s="1" t="n">
        <v>46079</v>
      </c>
      <c r="C2925" s="1" t="n">
        <v>46180</v>
      </c>
      <c r="D2925" t="inlineStr">
        <is>
          <t>GÄVLEBORGS LÄN</t>
        </is>
      </c>
      <c r="E2925" t="inlineStr">
        <is>
          <t>BOLLNÄS</t>
        </is>
      </c>
      <c r="F2925" t="inlineStr">
        <is>
          <t>Bergvik skog väst AB</t>
        </is>
      </c>
      <c r="G2925" t="n">
        <v>18.2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16966-2026</t>
        </is>
      </c>
      <c r="B2926" s="1" t="n">
        <v>46114</v>
      </c>
      <c r="C2926" s="1" t="n">
        <v>46180</v>
      </c>
      <c r="D2926" t="inlineStr">
        <is>
          <t>GÄVLEBORGS LÄN</t>
        </is>
      </c>
      <c r="E2926" t="inlineStr">
        <is>
          <t>BOLLNÄS</t>
        </is>
      </c>
      <c r="G2926" t="n">
        <v>0.4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16462-2026</t>
        </is>
      </c>
      <c r="B2927" s="1" t="n">
        <v>46112.36025462963</v>
      </c>
      <c r="C2927" s="1" t="n">
        <v>46180</v>
      </c>
      <c r="D2927" t="inlineStr">
        <is>
          <t>GÄVLEBORGS LÄN</t>
        </is>
      </c>
      <c r="E2927" t="inlineStr">
        <is>
          <t>BOLLNÄS</t>
        </is>
      </c>
      <c r="G2927" t="n">
        <v>11.8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52271-2022</t>
        </is>
      </c>
      <c r="B2928" s="1" t="n">
        <v>44873</v>
      </c>
      <c r="C2928" s="1" t="n">
        <v>46180</v>
      </c>
      <c r="D2928" t="inlineStr">
        <is>
          <t>GÄVLEBORGS LÄN</t>
        </is>
      </c>
      <c r="E2928" t="inlineStr">
        <is>
          <t>BOLLNÄS</t>
        </is>
      </c>
      <c r="G2928" t="n">
        <v>14.7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41597-2024</t>
        </is>
      </c>
      <c r="B2929" s="1" t="n">
        <v>45560.57574074074</v>
      </c>
      <c r="C2929" s="1" t="n">
        <v>46180</v>
      </c>
      <c r="D2929" t="inlineStr">
        <is>
          <t>GÄVLEBORGS LÄN</t>
        </is>
      </c>
      <c r="E2929" t="inlineStr">
        <is>
          <t>BOLLNÄS</t>
        </is>
      </c>
      <c r="G2929" t="n">
        <v>21.8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24037-2026</t>
        </is>
      </c>
      <c r="B2930" s="1" t="n">
        <v>46167</v>
      </c>
      <c r="C2930" s="1" t="n">
        <v>46180</v>
      </c>
      <c r="D2930" t="inlineStr">
        <is>
          <t>GÄVLEBORGS LÄN</t>
        </is>
      </c>
      <c r="E2930" t="inlineStr">
        <is>
          <t>BOLLNÄS</t>
        </is>
      </c>
      <c r="F2930" t="inlineStr">
        <is>
          <t>Bergvik skog väst AB</t>
        </is>
      </c>
      <c r="G2930" t="n">
        <v>3.7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25332-2026</t>
        </is>
      </c>
      <c r="B2931" s="1" t="n">
        <v>46176</v>
      </c>
      <c r="C2931" s="1" t="n">
        <v>46180</v>
      </c>
      <c r="D2931" t="inlineStr">
        <is>
          <t>GÄVLEBORGS LÄN</t>
        </is>
      </c>
      <c r="E2931" t="inlineStr">
        <is>
          <t>BOLLNÄS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19767-2026</t>
        </is>
      </c>
      <c r="B2932" s="1" t="n">
        <v>46135</v>
      </c>
      <c r="C2932" s="1" t="n">
        <v>46180</v>
      </c>
      <c r="D2932" t="inlineStr">
        <is>
          <t>GÄVLEBORGS LÄN</t>
        </is>
      </c>
      <c r="E2932" t="inlineStr">
        <is>
          <t>BOLLNÄS</t>
        </is>
      </c>
      <c r="F2932" t="inlineStr">
        <is>
          <t>Bergvik skog väst AB</t>
        </is>
      </c>
      <c r="G2932" t="n">
        <v>4.4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897-2026</t>
        </is>
      </c>
      <c r="B2933" s="1" t="n">
        <v>46030</v>
      </c>
      <c r="C2933" s="1" t="n">
        <v>46180</v>
      </c>
      <c r="D2933" t="inlineStr">
        <is>
          <t>GÄVLEBORGS LÄN</t>
        </is>
      </c>
      <c r="E2933" t="inlineStr">
        <is>
          <t>BOLLNÄS</t>
        </is>
      </c>
      <c r="G2933" t="n">
        <v>50.4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19770-2026</t>
        </is>
      </c>
      <c r="B2934" s="1" t="n">
        <v>46135</v>
      </c>
      <c r="C2934" s="1" t="n">
        <v>46180</v>
      </c>
      <c r="D2934" t="inlineStr">
        <is>
          <t>GÄVLEBORGS LÄN</t>
        </is>
      </c>
      <c r="E2934" t="inlineStr">
        <is>
          <t>BOLLNÄS</t>
        </is>
      </c>
      <c r="F2934" t="inlineStr">
        <is>
          <t>Bergvik skog väst AB</t>
        </is>
      </c>
      <c r="G2934" t="n">
        <v>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25209-2026</t>
        </is>
      </c>
      <c r="B2935" s="1" t="n">
        <v>46175.60886574074</v>
      </c>
      <c r="C2935" s="1" t="n">
        <v>46180</v>
      </c>
      <c r="D2935" t="inlineStr">
        <is>
          <t>GÄVLEBORGS LÄN</t>
        </is>
      </c>
      <c r="E2935" t="inlineStr">
        <is>
          <t>BOLLNÄS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5072-2026</t>
        </is>
      </c>
      <c r="B2936" s="1" t="n">
        <v>46049.50644675926</v>
      </c>
      <c r="C2936" s="1" t="n">
        <v>46180</v>
      </c>
      <c r="D2936" t="inlineStr">
        <is>
          <t>GÄVLEBORGS LÄN</t>
        </is>
      </c>
      <c r="E2936" t="inlineStr">
        <is>
          <t>BOLLNÄS</t>
        </is>
      </c>
      <c r="G2936" t="n">
        <v>1.9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5999-2026</t>
        </is>
      </c>
      <c r="B2937" s="1" t="n">
        <v>46052</v>
      </c>
      <c r="C2937" s="1" t="n">
        <v>46180</v>
      </c>
      <c r="D2937" t="inlineStr">
        <is>
          <t>GÄVLEBORGS LÄN</t>
        </is>
      </c>
      <c r="E2937" t="inlineStr">
        <is>
          <t>BOLLNÄS</t>
        </is>
      </c>
      <c r="G2937" t="n">
        <v>2.6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4291-2026</t>
        </is>
      </c>
      <c r="B2938" s="1" t="n">
        <v>46045</v>
      </c>
      <c r="C2938" s="1" t="n">
        <v>46180</v>
      </c>
      <c r="D2938" t="inlineStr">
        <is>
          <t>GÄVLEBORGS LÄN</t>
        </is>
      </c>
      <c r="E2938" t="inlineStr">
        <is>
          <t>BOLLNÄS</t>
        </is>
      </c>
      <c r="G2938" t="n">
        <v>14.4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20086-2026</t>
        </is>
      </c>
      <c r="B2939" s="1" t="n">
        <v>46136</v>
      </c>
      <c r="C2939" s="1" t="n">
        <v>46180</v>
      </c>
      <c r="D2939" t="inlineStr">
        <is>
          <t>GÄVLEBORGS LÄN</t>
        </is>
      </c>
      <c r="E2939" t="inlineStr">
        <is>
          <t>BOLLNÄS</t>
        </is>
      </c>
      <c r="G2939" t="n">
        <v>1.8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4951-2026</t>
        </is>
      </c>
      <c r="B2940" s="1" t="n">
        <v>46049</v>
      </c>
      <c r="C2940" s="1" t="n">
        <v>46180</v>
      </c>
      <c r="D2940" t="inlineStr">
        <is>
          <t>GÄVLEBORGS LÄN</t>
        </is>
      </c>
      <c r="E2940" t="inlineStr">
        <is>
          <t>BOLLNÄS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4727-2026</t>
        </is>
      </c>
      <c r="B2941" s="1" t="n">
        <v>46048</v>
      </c>
      <c r="C2941" s="1" t="n">
        <v>46180</v>
      </c>
      <c r="D2941" t="inlineStr">
        <is>
          <t>GÄVLEBORGS LÄN</t>
        </is>
      </c>
      <c r="E2941" t="inlineStr">
        <is>
          <t>BOLLNÄS</t>
        </is>
      </c>
      <c r="F2941" t="inlineStr">
        <is>
          <t>Bergvik skog väst AB</t>
        </is>
      </c>
      <c r="G2941" t="n">
        <v>15.6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15447-2026</t>
        </is>
      </c>
      <c r="B2942" s="1" t="n">
        <v>46106</v>
      </c>
      <c r="C2942" s="1" t="n">
        <v>46180</v>
      </c>
      <c r="D2942" t="inlineStr">
        <is>
          <t>GÄVLEBORGS LÄN</t>
        </is>
      </c>
      <c r="E2942" t="inlineStr">
        <is>
          <t>BOLLNÄS</t>
        </is>
      </c>
      <c r="G2942" t="n">
        <v>2.6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41471-2021</t>
        </is>
      </c>
      <c r="B2943" s="1" t="n">
        <v>44424</v>
      </c>
      <c r="C2943" s="1" t="n">
        <v>46180</v>
      </c>
      <c r="D2943" t="inlineStr">
        <is>
          <t>GÄVLEBORGS LÄN</t>
        </is>
      </c>
      <c r="E2943" t="inlineStr">
        <is>
          <t>BOLLNÄS</t>
        </is>
      </c>
      <c r="G2943" t="n">
        <v>3.9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1262-2026</t>
        </is>
      </c>
      <c r="B2944" s="1" t="n">
        <v>46031</v>
      </c>
      <c r="C2944" s="1" t="n">
        <v>46180</v>
      </c>
      <c r="D2944" t="inlineStr">
        <is>
          <t>GÄVLEBORGS LÄN</t>
        </is>
      </c>
      <c r="E2944" t="inlineStr">
        <is>
          <t>BOLLNÄS</t>
        </is>
      </c>
      <c r="G2944" t="n">
        <v>14.6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18438-2024</t>
        </is>
      </c>
      <c r="B2945" s="1" t="n">
        <v>45425.44804398148</v>
      </c>
      <c r="C2945" s="1" t="n">
        <v>46180</v>
      </c>
      <c r="D2945" t="inlineStr">
        <is>
          <t>GÄVLEBORGS LÄN</t>
        </is>
      </c>
      <c r="E2945" t="inlineStr">
        <is>
          <t>BOLLNÄS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26531-2023</t>
        </is>
      </c>
      <c r="B2946" s="1" t="n">
        <v>45092.57606481481</v>
      </c>
      <c r="C2946" s="1" t="n">
        <v>46180</v>
      </c>
      <c r="D2946" t="inlineStr">
        <is>
          <t>GÄVLEBORGS LÄN</t>
        </is>
      </c>
      <c r="E2946" t="inlineStr">
        <is>
          <t>BOLLNÄS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22494-2026</t>
        </is>
      </c>
      <c r="B2947" s="1" t="n">
        <v>46155</v>
      </c>
      <c r="C2947" s="1" t="n">
        <v>46180</v>
      </c>
      <c r="D2947" t="inlineStr">
        <is>
          <t>GÄVLEBORGS LÄN</t>
        </is>
      </c>
      <c r="E2947" t="inlineStr">
        <is>
          <t>BOLLNÄS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16965-2026</t>
        </is>
      </c>
      <c r="B2948" s="1" t="n">
        <v>46114</v>
      </c>
      <c r="C2948" s="1" t="n">
        <v>46180</v>
      </c>
      <c r="D2948" t="inlineStr">
        <is>
          <t>GÄVLEBORGS LÄN</t>
        </is>
      </c>
      <c r="E2948" t="inlineStr">
        <is>
          <t>BOLLNÄS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9236-2026</t>
        </is>
      </c>
      <c r="B2949" s="1" t="n">
        <v>46070.47366898148</v>
      </c>
      <c r="C2949" s="1" t="n">
        <v>46180</v>
      </c>
      <c r="D2949" t="inlineStr">
        <is>
          <t>GÄVLEBORGS LÄN</t>
        </is>
      </c>
      <c r="E2949" t="inlineStr">
        <is>
          <t>BOLLNÄS</t>
        </is>
      </c>
      <c r="G2949" t="n">
        <v>13.6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10018-2026</t>
        </is>
      </c>
      <c r="B2950" s="1" t="n">
        <v>46073</v>
      </c>
      <c r="C2950" s="1" t="n">
        <v>46180</v>
      </c>
      <c r="D2950" t="inlineStr">
        <is>
          <t>GÄVLEBORGS LÄN</t>
        </is>
      </c>
      <c r="E2950" t="inlineStr">
        <is>
          <t>BOLLNÄS</t>
        </is>
      </c>
      <c r="F2950" t="inlineStr">
        <is>
          <t>Bergvik skog väst AB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19737-2026</t>
        </is>
      </c>
      <c r="B2951" s="1" t="n">
        <v>46135</v>
      </c>
      <c r="C2951" s="1" t="n">
        <v>46180</v>
      </c>
      <c r="D2951" t="inlineStr">
        <is>
          <t>GÄVLEBORGS LÄN</t>
        </is>
      </c>
      <c r="E2951" t="inlineStr">
        <is>
          <t>BOLLNÄS</t>
        </is>
      </c>
      <c r="F2951" t="inlineStr">
        <is>
          <t>Bergvik skog väst AB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19746-2026</t>
        </is>
      </c>
      <c r="B2952" s="1" t="n">
        <v>46135.36126157407</v>
      </c>
      <c r="C2952" s="1" t="n">
        <v>46180</v>
      </c>
      <c r="D2952" t="inlineStr">
        <is>
          <t>GÄVLEBORGS LÄN</t>
        </is>
      </c>
      <c r="E2952" t="inlineStr">
        <is>
          <t>BOLLNÄS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19748-2026</t>
        </is>
      </c>
      <c r="B2953" s="1" t="n">
        <v>46135.36277777778</v>
      </c>
      <c r="C2953" s="1" t="n">
        <v>46180</v>
      </c>
      <c r="D2953" t="inlineStr">
        <is>
          <t>GÄVLEBORGS LÄN</t>
        </is>
      </c>
      <c r="E2953" t="inlineStr">
        <is>
          <t>BOLLNÄS</t>
        </is>
      </c>
      <c r="G2953" t="n">
        <v>2.5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11172-2026</t>
        </is>
      </c>
      <c r="B2954" s="1" t="n">
        <v>46080.37464120371</v>
      </c>
      <c r="C2954" s="1" t="n">
        <v>46180</v>
      </c>
      <c r="D2954" t="inlineStr">
        <is>
          <t>GÄVLEBORGS LÄN</t>
        </is>
      </c>
      <c r="E2954" t="inlineStr">
        <is>
          <t>BOLLNÄS</t>
        </is>
      </c>
      <c r="G2954" t="n">
        <v>3.7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13319-2026</t>
        </is>
      </c>
      <c r="B2955" s="1" t="n">
        <v>46094.35038194444</v>
      </c>
      <c r="C2955" s="1" t="n">
        <v>46180</v>
      </c>
      <c r="D2955" t="inlineStr">
        <is>
          <t>GÄVLEBORGS LÄN</t>
        </is>
      </c>
      <c r="E2955" t="inlineStr">
        <is>
          <t>BOLLNÄS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20028-2026</t>
        </is>
      </c>
      <c r="B2956" s="1" t="n">
        <v>46136.54943287037</v>
      </c>
      <c r="C2956" s="1" t="n">
        <v>46180</v>
      </c>
      <c r="D2956" t="inlineStr">
        <is>
          <t>GÄVLEBORGS LÄN</t>
        </is>
      </c>
      <c r="E2956" t="inlineStr">
        <is>
          <t>BOLLNÄS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20037-2026</t>
        </is>
      </c>
      <c r="B2957" s="1" t="n">
        <v>46136</v>
      </c>
      <c r="C2957" s="1" t="n">
        <v>46180</v>
      </c>
      <c r="D2957" t="inlineStr">
        <is>
          <t>GÄVLEBORGS LÄN</t>
        </is>
      </c>
      <c r="E2957" t="inlineStr">
        <is>
          <t>BOLLNÄS</t>
        </is>
      </c>
      <c r="F2957" t="inlineStr">
        <is>
          <t>Bergvik skog väst AB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8800-2026</t>
        </is>
      </c>
      <c r="B2958" s="1" t="n">
        <v>46066.59800925926</v>
      </c>
      <c r="C2958" s="1" t="n">
        <v>46180</v>
      </c>
      <c r="D2958" t="inlineStr">
        <is>
          <t>GÄVLEBORGS LÄN</t>
        </is>
      </c>
      <c r="E2958" t="inlineStr">
        <is>
          <t>BOLLNÄS</t>
        </is>
      </c>
      <c r="G2958" t="n">
        <v>0.4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19926-2026</t>
        </is>
      </c>
      <c r="B2959" s="1" t="n">
        <v>46136</v>
      </c>
      <c r="C2959" s="1" t="n">
        <v>46180</v>
      </c>
      <c r="D2959" t="inlineStr">
        <is>
          <t>GÄVLEBORGS LÄN</t>
        </is>
      </c>
      <c r="E2959" t="inlineStr">
        <is>
          <t>BOLLNÄS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19837-2026</t>
        </is>
      </c>
      <c r="B2960" s="1" t="n">
        <v>46135</v>
      </c>
      <c r="C2960" s="1" t="n">
        <v>46180</v>
      </c>
      <c r="D2960" t="inlineStr">
        <is>
          <t>GÄVLEBORGS LÄN</t>
        </is>
      </c>
      <c r="E2960" t="inlineStr">
        <is>
          <t>BOLLNÄS</t>
        </is>
      </c>
      <c r="G2960" t="n">
        <v>0.4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19841-2026</t>
        </is>
      </c>
      <c r="B2961" s="1" t="n">
        <v>46135.61243055556</v>
      </c>
      <c r="C2961" s="1" t="n">
        <v>46180</v>
      </c>
      <c r="D2961" t="inlineStr">
        <is>
          <t>GÄVLEBORGS LÄN</t>
        </is>
      </c>
      <c r="E2961" t="inlineStr">
        <is>
          <t>BOLLNÄS</t>
        </is>
      </c>
      <c r="G2961" t="n">
        <v>5.5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21671-2026</t>
        </is>
      </c>
      <c r="B2962" s="1" t="n">
        <v>46149.48462962963</v>
      </c>
      <c r="C2962" s="1" t="n">
        <v>46180</v>
      </c>
      <c r="D2962" t="inlineStr">
        <is>
          <t>GÄVLEBORGS LÄN</t>
        </is>
      </c>
      <c r="E2962" t="inlineStr">
        <is>
          <t>BOLLNÄS</t>
        </is>
      </c>
      <c r="G2962" t="n">
        <v>8.300000000000001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21693-2026</t>
        </is>
      </c>
      <c r="B2963" s="1" t="n">
        <v>46149.53273148148</v>
      </c>
      <c r="C2963" s="1" t="n">
        <v>46180</v>
      </c>
      <c r="D2963" t="inlineStr">
        <is>
          <t>GÄVLEBORGS LÄN</t>
        </is>
      </c>
      <c r="E2963" t="inlineStr">
        <is>
          <t>BOLLNÄS</t>
        </is>
      </c>
      <c r="G2963" t="n">
        <v>1.6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19908-2026</t>
        </is>
      </c>
      <c r="B2964" s="1" t="n">
        <v>46136</v>
      </c>
      <c r="C2964" s="1" t="n">
        <v>46180</v>
      </c>
      <c r="D2964" t="inlineStr">
        <is>
          <t>GÄVLEBORGS LÄN</t>
        </is>
      </c>
      <c r="E2964" t="inlineStr">
        <is>
          <t>BOLLNÄS</t>
        </is>
      </c>
      <c r="F2964" t="inlineStr">
        <is>
          <t>Bergvik skog väst AB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25449-2026</t>
        </is>
      </c>
      <c r="B2965" s="1" t="n">
        <v>46177.3608912037</v>
      </c>
      <c r="C2965" s="1" t="n">
        <v>46180</v>
      </c>
      <c r="D2965" t="inlineStr">
        <is>
          <t>GÄVLEBORGS LÄN</t>
        </is>
      </c>
      <c r="E2965" t="inlineStr">
        <is>
          <t>BOLLNÄS</t>
        </is>
      </c>
      <c r="G2965" t="n">
        <v>7.5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25455-2026</t>
        </is>
      </c>
      <c r="B2966" s="1" t="n">
        <v>46177.36836805556</v>
      </c>
      <c r="C2966" s="1" t="n">
        <v>46180</v>
      </c>
      <c r="D2966" t="inlineStr">
        <is>
          <t>GÄVLEBORGS LÄN</t>
        </is>
      </c>
      <c r="E2966" t="inlineStr">
        <is>
          <t>BOLLNÄS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19486-2026</t>
        </is>
      </c>
      <c r="B2967" s="1" t="n">
        <v>46134</v>
      </c>
      <c r="C2967" s="1" t="n">
        <v>46180</v>
      </c>
      <c r="D2967" t="inlineStr">
        <is>
          <t>GÄVLEBORGS LÄN</t>
        </is>
      </c>
      <c r="E2967" t="inlineStr">
        <is>
          <t>BOLLNÄS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20087-2026</t>
        </is>
      </c>
      <c r="B2968" s="1" t="n">
        <v>46136</v>
      </c>
      <c r="C2968" s="1" t="n">
        <v>46180</v>
      </c>
      <c r="D2968" t="inlineStr">
        <is>
          <t>GÄVLEBORGS LÄN</t>
        </is>
      </c>
      <c r="E2968" t="inlineStr">
        <is>
          <t>BOLLNÄS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323-2026</t>
        </is>
      </c>
      <c r="B2969" s="1" t="n">
        <v>46027</v>
      </c>
      <c r="C2969" s="1" t="n">
        <v>46180</v>
      </c>
      <c r="D2969" t="inlineStr">
        <is>
          <t>GÄVLEBORGS LÄN</t>
        </is>
      </c>
      <c r="E2969" t="inlineStr">
        <is>
          <t>BOLLNÄS</t>
        </is>
      </c>
      <c r="G2969" t="n">
        <v>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16628-2025</t>
        </is>
      </c>
      <c r="B2970" s="1" t="n">
        <v>45754.35976851852</v>
      </c>
      <c r="C2970" s="1" t="n">
        <v>46180</v>
      </c>
      <c r="D2970" t="inlineStr">
        <is>
          <t>GÄVLEBORGS LÄN</t>
        </is>
      </c>
      <c r="E2970" t="inlineStr">
        <is>
          <t>BOLLNÄS</t>
        </is>
      </c>
      <c r="G2970" t="n">
        <v>2.6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63877-2025</t>
        </is>
      </c>
      <c r="B2971" s="1" t="n">
        <v>46020</v>
      </c>
      <c r="C2971" s="1" t="n">
        <v>46180</v>
      </c>
      <c r="D2971" t="inlineStr">
        <is>
          <t>GÄVLEBORGS LÄN</t>
        </is>
      </c>
      <c r="E2971" t="inlineStr">
        <is>
          <t>BOLLNÄS</t>
        </is>
      </c>
      <c r="G2971" t="n">
        <v>8.800000000000001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3322-2026</t>
        </is>
      </c>
      <c r="B2972" s="1" t="n">
        <v>46041</v>
      </c>
      <c r="C2972" s="1" t="n">
        <v>46180</v>
      </c>
      <c r="D2972" t="inlineStr">
        <is>
          <t>GÄVLEBORGS LÄN</t>
        </is>
      </c>
      <c r="E2972" t="inlineStr">
        <is>
          <t>BOLLNÄS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3323-2026</t>
        </is>
      </c>
      <c r="B2973" s="1" t="n">
        <v>46041</v>
      </c>
      <c r="C2973" s="1" t="n">
        <v>46180</v>
      </c>
      <c r="D2973" t="inlineStr">
        <is>
          <t>GÄVLEBORGS LÄN</t>
        </is>
      </c>
      <c r="E2973" t="inlineStr">
        <is>
          <t>BOLLNÄS</t>
        </is>
      </c>
      <c r="G2973" t="n">
        <v>3.1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19739-2026</t>
        </is>
      </c>
      <c r="B2974" s="1" t="n">
        <v>46135</v>
      </c>
      <c r="C2974" s="1" t="n">
        <v>46180</v>
      </c>
      <c r="D2974" t="inlineStr">
        <is>
          <t>GÄVLEBORGS LÄN</t>
        </is>
      </c>
      <c r="E2974" t="inlineStr">
        <is>
          <t>BOLLNÄS</t>
        </is>
      </c>
      <c r="F2974" t="inlineStr">
        <is>
          <t>Bergvik skog väst AB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19862-2026</t>
        </is>
      </c>
      <c r="B2975" s="1" t="n">
        <v>46135</v>
      </c>
      <c r="C2975" s="1" t="n">
        <v>46180</v>
      </c>
      <c r="D2975" t="inlineStr">
        <is>
          <t>GÄVLEBORGS LÄN</t>
        </is>
      </c>
      <c r="E2975" t="inlineStr">
        <is>
          <t>BOLLNÄS</t>
        </is>
      </c>
      <c r="G2975" t="n">
        <v>1.7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6782-2026</t>
        </is>
      </c>
      <c r="B2976" s="1" t="n">
        <v>46057.3058912037</v>
      </c>
      <c r="C2976" s="1" t="n">
        <v>46180</v>
      </c>
      <c r="D2976" t="inlineStr">
        <is>
          <t>GÄVLEBORGS LÄN</t>
        </is>
      </c>
      <c r="E2976" t="inlineStr">
        <is>
          <t>BOLLNÄS</t>
        </is>
      </c>
      <c r="G2976" t="n">
        <v>4.1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25561-2026</t>
        </is>
      </c>
      <c r="B2977" s="1" t="n">
        <v>46177.59174768518</v>
      </c>
      <c r="C2977" s="1" t="n">
        <v>46180</v>
      </c>
      <c r="D2977" t="inlineStr">
        <is>
          <t>GÄVLEBORGS LÄN</t>
        </is>
      </c>
      <c r="E2977" t="inlineStr">
        <is>
          <t>BOLLNÄS</t>
        </is>
      </c>
      <c r="G2977" t="n">
        <v>21.8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20731-2026</t>
        </is>
      </c>
      <c r="B2978" s="1" t="n">
        <v>46141</v>
      </c>
      <c r="C2978" s="1" t="n">
        <v>46180</v>
      </c>
      <c r="D2978" t="inlineStr">
        <is>
          <t>GÄVLEBORGS LÄN</t>
        </is>
      </c>
      <c r="E2978" t="inlineStr">
        <is>
          <t>BOLLNÄS</t>
        </is>
      </c>
      <c r="F2978" t="inlineStr">
        <is>
          <t>Kyrkan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9287-2026</t>
        </is>
      </c>
      <c r="B2979" s="1" t="n">
        <v>46070.58484953704</v>
      </c>
      <c r="C2979" s="1" t="n">
        <v>46180</v>
      </c>
      <c r="D2979" t="inlineStr">
        <is>
          <t>GÄVLEBORGS LÄN</t>
        </is>
      </c>
      <c r="E2979" t="inlineStr">
        <is>
          <t>BOLLNÄS</t>
        </is>
      </c>
      <c r="G2979" t="n">
        <v>4.2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7095-2022</t>
        </is>
      </c>
      <c r="B2980" s="1" t="n">
        <v>44603.60409722223</v>
      </c>
      <c r="C2980" s="1" t="n">
        <v>46180</v>
      </c>
      <c r="D2980" t="inlineStr">
        <is>
          <t>GÄVLEBORGS LÄN</t>
        </is>
      </c>
      <c r="E2980" t="inlineStr">
        <is>
          <t>BOLLNÄS</t>
        </is>
      </c>
      <c r="G2980" t="n">
        <v>4.1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11989-2026</t>
        </is>
      </c>
      <c r="B2981" s="1" t="n">
        <v>46085</v>
      </c>
      <c r="C2981" s="1" t="n">
        <v>46180</v>
      </c>
      <c r="D2981" t="inlineStr">
        <is>
          <t>GÄVLEBORGS LÄN</t>
        </is>
      </c>
      <c r="E2981" t="inlineStr">
        <is>
          <t>BOLLNÄS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51038-2022</t>
        </is>
      </c>
      <c r="B2982" s="1" t="n">
        <v>44868.31685185185</v>
      </c>
      <c r="C2982" s="1" t="n">
        <v>46180</v>
      </c>
      <c r="D2982" t="inlineStr">
        <is>
          <t>GÄVLEBORGS LÄN</t>
        </is>
      </c>
      <c r="E2982" t="inlineStr">
        <is>
          <t>BOLLNÄS</t>
        </is>
      </c>
      <c r="G2982" t="n">
        <v>3.8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4379-2026</t>
        </is>
      </c>
      <c r="B2983" s="1" t="n">
        <v>46045.55734953703</v>
      </c>
      <c r="C2983" s="1" t="n">
        <v>46180</v>
      </c>
      <c r="D2983" t="inlineStr">
        <is>
          <t>GÄVLEBORGS LÄN</t>
        </is>
      </c>
      <c r="E2983" t="inlineStr">
        <is>
          <t>BOLLNÄS</t>
        </is>
      </c>
      <c r="G2983" t="n">
        <v>7.9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17076-2026</t>
        </is>
      </c>
      <c r="B2984" s="1" t="n">
        <v>46114.55353009259</v>
      </c>
      <c r="C2984" s="1" t="n">
        <v>46180</v>
      </c>
      <c r="D2984" t="inlineStr">
        <is>
          <t>GÄVLEBORGS LÄN</t>
        </is>
      </c>
      <c r="E2984" t="inlineStr">
        <is>
          <t>BOLLNÄS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4617-2026</t>
        </is>
      </c>
      <c r="B2985" s="1" t="n">
        <v>46048.37231481481</v>
      </c>
      <c r="C2985" s="1" t="n">
        <v>46180</v>
      </c>
      <c r="D2985" t="inlineStr">
        <is>
          <t>GÄVLEBORGS LÄN</t>
        </is>
      </c>
      <c r="E2985" t="inlineStr">
        <is>
          <t>BOLLNÄS</t>
        </is>
      </c>
      <c r="G2985" t="n">
        <v>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28455-2025</t>
        </is>
      </c>
      <c r="B2986" s="1" t="n">
        <v>45819.4068287037</v>
      </c>
      <c r="C2986" s="1" t="n">
        <v>46180</v>
      </c>
      <c r="D2986" t="inlineStr">
        <is>
          <t>GÄVLEBORGS LÄN</t>
        </is>
      </c>
      <c r="E2986" t="inlineStr">
        <is>
          <t>BOLLNÄS</t>
        </is>
      </c>
      <c r="G2986" t="n">
        <v>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19747-2026</t>
        </is>
      </c>
      <c r="B2987" s="1" t="n">
        <v>46135.36207175926</v>
      </c>
      <c r="C2987" s="1" t="n">
        <v>46180</v>
      </c>
      <c r="D2987" t="inlineStr">
        <is>
          <t>GÄVLEBORGS LÄN</t>
        </is>
      </c>
      <c r="E2987" t="inlineStr">
        <is>
          <t>BOLLNÄS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19753-2026</t>
        </is>
      </c>
      <c r="B2988" s="1" t="n">
        <v>46135</v>
      </c>
      <c r="C2988" s="1" t="n">
        <v>46180</v>
      </c>
      <c r="D2988" t="inlineStr">
        <is>
          <t>GÄVLEBORGS LÄN</t>
        </is>
      </c>
      <c r="E2988" t="inlineStr">
        <is>
          <t>BOLLNÄS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7878-2026</t>
        </is>
      </c>
      <c r="B2989" s="1" t="n">
        <v>46063.26592592592</v>
      </c>
      <c r="C2989" s="1" t="n">
        <v>46180</v>
      </c>
      <c r="D2989" t="inlineStr">
        <is>
          <t>GÄVLEBORGS LÄN</t>
        </is>
      </c>
      <c r="E2989" t="inlineStr">
        <is>
          <t>BOLLNÄS</t>
        </is>
      </c>
      <c r="G2989" t="n">
        <v>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>
      <c r="A2990" t="inlineStr">
        <is>
          <t>A 19969-2026</t>
        </is>
      </c>
      <c r="B2990" s="1" t="n">
        <v>46136</v>
      </c>
      <c r="C2990" s="1" t="n">
        <v>46180</v>
      </c>
      <c r="D2990" t="inlineStr">
        <is>
          <t>GÄVLEBORGS LÄN</t>
        </is>
      </c>
      <c r="E2990" t="inlineStr">
        <is>
          <t>BOLLNÄS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2026-06-07T10:32:55Z</dcterms:created>
  <dcterms:modified xmlns:dcterms="http://purl.org/dc/terms/" xmlns:xsi="http://www.w3.org/2001/XMLSchema-instance" xsi:type="dcterms:W3CDTF">2026-06-07T10:32:58Z</dcterms:modified>
</cp:coreProperties>
</file>