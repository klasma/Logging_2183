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45294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45294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45294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45294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45294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45294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45294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45294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45294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45294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45294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</row>
    <row r="13" ht="15" customHeight="1">
      <c r="A13" t="inlineStr">
        <is>
          <t>A 26522-2023</t>
        </is>
      </c>
      <c r="B13" s="1" t="n">
        <v>45092</v>
      </c>
      <c r="C13" s="1" t="n">
        <v>45294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8.6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Smålom
Huggorm</t>
        </is>
      </c>
      <c r="S13">
        <f>HYPERLINK("https://klasma.github.io/Logging_2183/artfynd/A 26522-2023 artfynd.xlsx", "A 26522-2023")</f>
        <v/>
      </c>
      <c r="T13">
        <f>HYPERLINK("https://klasma.github.io/Logging_2183/kartor/A 26522-2023 karta.png", "A 26522-2023")</f>
        <v/>
      </c>
      <c r="V13">
        <f>HYPERLINK("https://klasma.github.io/Logging_2183/klagomål/A 26522-2023 FSC-klagomål.docx", "A 26522-2023")</f>
        <v/>
      </c>
      <c r="W13">
        <f>HYPERLINK("https://klasma.github.io/Logging_2183/klagomålsmail/A 26522-2023 FSC-klagomål mail.docx", "A 26522-2023")</f>
        <v/>
      </c>
      <c r="X13">
        <f>HYPERLINK("https://klasma.github.io/Logging_2183/tillsyn/A 26522-2023 tillsynsbegäran.docx", "A 26522-2023")</f>
        <v/>
      </c>
      <c r="Y13">
        <f>HYPERLINK("https://klasma.github.io/Logging_2183/tillsynsmail/A 26522-2023 tillsynsbegäran mail.docx", "A 26522-2023")</f>
        <v/>
      </c>
    </row>
    <row r="14" ht="15" customHeight="1">
      <c r="A14" t="inlineStr">
        <is>
          <t>A 24535-2019</t>
        </is>
      </c>
      <c r="B14" s="1" t="n">
        <v>43600</v>
      </c>
      <c r="C14" s="1" t="n">
        <v>45294</v>
      </c>
      <c r="D14" t="inlineStr">
        <is>
          <t>GÄVLEBORGS LÄN</t>
        </is>
      </c>
      <c r="E14" t="inlineStr">
        <is>
          <t>BOLLNÄS</t>
        </is>
      </c>
      <c r="G14" t="n">
        <v>6.3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HYPERLINK("https://klasma.github.io/Logging_2183/artfynd/A 24535-2019 artfynd.xlsx", "A 24535-2019")</f>
        <v/>
      </c>
      <c r="T14">
        <f>HYPERLINK("https://klasma.github.io/Logging_2183/kartor/A 24535-2019 karta.png", "A 24535-2019")</f>
        <v/>
      </c>
      <c r="V14">
        <f>HYPERLINK("https://klasma.github.io/Logging_2183/klagomål/A 24535-2019 FSC-klagomål.docx", "A 24535-2019")</f>
        <v/>
      </c>
      <c r="W14">
        <f>HYPERLINK("https://klasma.github.io/Logging_2183/klagomålsmail/A 24535-2019 FSC-klagomål mail.docx", "A 24535-2019")</f>
        <v/>
      </c>
      <c r="X14">
        <f>HYPERLINK("https://klasma.github.io/Logging_2183/tillsyn/A 24535-2019 tillsynsbegäran.docx", "A 24535-2019")</f>
        <v/>
      </c>
      <c r="Y14">
        <f>HYPERLINK("https://klasma.github.io/Logging_2183/tillsynsmail/A 24535-2019 tillsynsbegäran mail.docx", "A 24535-2019")</f>
        <v/>
      </c>
    </row>
    <row r="15" ht="15" customHeight="1">
      <c r="A15" t="inlineStr">
        <is>
          <t>A 27515-2019</t>
        </is>
      </c>
      <c r="B15" s="1" t="n">
        <v>43619</v>
      </c>
      <c r="C15" s="1" t="n">
        <v>45294</v>
      </c>
      <c r="D15" t="inlineStr">
        <is>
          <t>GÄVLEBORGS LÄN</t>
        </is>
      </c>
      <c r="E15" t="inlineStr">
        <is>
          <t>BOLLNÄS</t>
        </is>
      </c>
      <c r="G15" t="n">
        <v>10.8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HYPERLINK("https://klasma.github.io/Logging_2183/artfynd/A 27515-2019 artfynd.xlsx", "A 27515-2019")</f>
        <v/>
      </c>
      <c r="T15">
        <f>HYPERLINK("https://klasma.github.io/Logging_2183/kartor/A 27515-2019 karta.png", "A 27515-2019")</f>
        <v/>
      </c>
      <c r="U15">
        <f>HYPERLINK("https://klasma.github.io/Logging_2183/knärot/A 27515-2019 karta knärot.png", "A 27515-2019")</f>
        <v/>
      </c>
      <c r="V15">
        <f>HYPERLINK("https://klasma.github.io/Logging_2183/klagomål/A 27515-2019 FSC-klagomål.docx", "A 27515-2019")</f>
        <v/>
      </c>
      <c r="W15">
        <f>HYPERLINK("https://klasma.github.io/Logging_2183/klagomålsmail/A 27515-2019 FSC-klagomål mail.docx", "A 27515-2019")</f>
        <v/>
      </c>
      <c r="X15">
        <f>HYPERLINK("https://klasma.github.io/Logging_2183/tillsyn/A 27515-2019 tillsynsbegäran.docx", "A 27515-2019")</f>
        <v/>
      </c>
      <c r="Y15">
        <f>HYPERLINK("https://klasma.github.io/Logging_2183/tillsynsmail/A 27515-2019 tillsynsbegäran mail.docx", "A 27515-2019")</f>
        <v/>
      </c>
    </row>
    <row r="16" ht="15" customHeight="1">
      <c r="A16" t="inlineStr">
        <is>
          <t>A 63545-2019</t>
        </is>
      </c>
      <c r="B16" s="1" t="n">
        <v>43794</v>
      </c>
      <c r="C16" s="1" t="n">
        <v>45294</v>
      </c>
      <c r="D16" t="inlineStr">
        <is>
          <t>GÄVLEBORGS LÄN</t>
        </is>
      </c>
      <c r="E16" t="inlineStr">
        <is>
          <t>BOLLNÄS</t>
        </is>
      </c>
      <c r="G16" t="n">
        <v>9.300000000000001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HYPERLINK("https://klasma.github.io/Logging_2183/artfynd/A 63545-2019 artfynd.xlsx", "A 63545-2019")</f>
        <v/>
      </c>
      <c r="T16">
        <f>HYPERLINK("https://klasma.github.io/Logging_2183/kartor/A 63545-2019 karta.png", "A 63545-2019")</f>
        <v/>
      </c>
      <c r="V16">
        <f>HYPERLINK("https://klasma.github.io/Logging_2183/klagomål/A 63545-2019 FSC-klagomål.docx", "A 63545-2019")</f>
        <v/>
      </c>
      <c r="W16">
        <f>HYPERLINK("https://klasma.github.io/Logging_2183/klagomålsmail/A 63545-2019 FSC-klagomål mail.docx", "A 63545-2019")</f>
        <v/>
      </c>
      <c r="X16">
        <f>HYPERLINK("https://klasma.github.io/Logging_2183/tillsyn/A 63545-2019 tillsynsbegäran.docx", "A 63545-2019")</f>
        <v/>
      </c>
      <c r="Y16">
        <f>HYPERLINK("https://klasma.github.io/Logging_2183/tillsynsmail/A 63545-2019 tillsynsbegäran mail.docx", "A 63545-2019")</f>
        <v/>
      </c>
    </row>
    <row r="17" ht="15" customHeight="1">
      <c r="A17" t="inlineStr">
        <is>
          <t>A 5923-2020</t>
        </is>
      </c>
      <c r="B17" s="1" t="n">
        <v>43864</v>
      </c>
      <c r="C17" s="1" t="n">
        <v>45294</v>
      </c>
      <c r="D17" t="inlineStr">
        <is>
          <t>GÄVLEBORGS LÄN</t>
        </is>
      </c>
      <c r="E17" t="inlineStr">
        <is>
          <t>BOLLNÄS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HYPERLINK("https://klasma.github.io/Logging_2183/artfynd/A 5923-2020 artfynd.xlsx", "A 5923-2020")</f>
        <v/>
      </c>
      <c r="T17">
        <f>HYPERLINK("https://klasma.github.io/Logging_2183/kartor/A 5923-2020 karta.png", "A 5923-2020")</f>
        <v/>
      </c>
      <c r="V17">
        <f>HYPERLINK("https://klasma.github.io/Logging_2183/klagomål/A 5923-2020 FSC-klagomål.docx", "A 5923-2020")</f>
        <v/>
      </c>
      <c r="W17">
        <f>HYPERLINK("https://klasma.github.io/Logging_2183/klagomålsmail/A 5923-2020 FSC-klagomål mail.docx", "A 5923-2020")</f>
        <v/>
      </c>
      <c r="X17">
        <f>HYPERLINK("https://klasma.github.io/Logging_2183/tillsyn/A 5923-2020 tillsynsbegäran.docx", "A 5923-2020")</f>
        <v/>
      </c>
      <c r="Y17">
        <f>HYPERLINK("https://klasma.github.io/Logging_2183/tillsynsmail/A 5923-2020 tillsynsbegäran mail.docx", "A 5923-2020")</f>
        <v/>
      </c>
    </row>
    <row r="18" ht="15" customHeight="1">
      <c r="A18" t="inlineStr">
        <is>
          <t>A 43381-2020</t>
        </is>
      </c>
      <c r="B18" s="1" t="n">
        <v>44081</v>
      </c>
      <c r="C18" s="1" t="n">
        <v>45294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HYPERLINK("https://klasma.github.io/Logging_2183/artfynd/A 43381-2020 artfynd.xlsx", "A 43381-2020")</f>
        <v/>
      </c>
      <c r="T18">
        <f>HYPERLINK("https://klasma.github.io/Logging_2183/kartor/A 43381-2020 karta.png", "A 43381-2020")</f>
        <v/>
      </c>
      <c r="V18">
        <f>HYPERLINK("https://klasma.github.io/Logging_2183/klagomål/A 43381-2020 FSC-klagomål.docx", "A 43381-2020")</f>
        <v/>
      </c>
      <c r="W18">
        <f>HYPERLINK("https://klasma.github.io/Logging_2183/klagomålsmail/A 43381-2020 FSC-klagomål mail.docx", "A 43381-2020")</f>
        <v/>
      </c>
      <c r="X18">
        <f>HYPERLINK("https://klasma.github.io/Logging_2183/tillsyn/A 43381-2020 tillsynsbegäran.docx", "A 43381-2020")</f>
        <v/>
      </c>
      <c r="Y18">
        <f>HYPERLINK("https://klasma.github.io/Logging_2183/tillsynsmail/A 43381-2020 tillsynsbegäran mail.docx", "A 43381-2020")</f>
        <v/>
      </c>
    </row>
    <row r="19" ht="15" customHeight="1">
      <c r="A19" t="inlineStr">
        <is>
          <t>A 65446-2021</t>
        </is>
      </c>
      <c r="B19" s="1" t="n">
        <v>44515</v>
      </c>
      <c r="C19" s="1" t="n">
        <v>45294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14.4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HYPERLINK("https://klasma.github.io/Logging_2183/artfynd/A 65446-2021 artfynd.xlsx", "A 65446-2021")</f>
        <v/>
      </c>
      <c r="T19">
        <f>HYPERLINK("https://klasma.github.io/Logging_2183/kartor/A 65446-2021 karta.png", "A 65446-2021")</f>
        <v/>
      </c>
      <c r="V19">
        <f>HYPERLINK("https://klasma.github.io/Logging_2183/klagomål/A 65446-2021 FSC-klagomål.docx", "A 65446-2021")</f>
        <v/>
      </c>
      <c r="W19">
        <f>HYPERLINK("https://klasma.github.io/Logging_2183/klagomålsmail/A 65446-2021 FSC-klagomål mail.docx", "A 65446-2021")</f>
        <v/>
      </c>
      <c r="X19">
        <f>HYPERLINK("https://klasma.github.io/Logging_2183/tillsyn/A 65446-2021 tillsynsbegäran.docx", "A 65446-2021")</f>
        <v/>
      </c>
      <c r="Y19">
        <f>HYPERLINK("https://klasma.github.io/Logging_2183/tillsynsmail/A 65446-2021 tillsynsbegäran mail.docx", "A 65446-2021")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45294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45294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23504-2023</t>
        </is>
      </c>
      <c r="B22" s="1" t="n">
        <v>45076</v>
      </c>
      <c r="C22" s="1" t="n">
        <v>45294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23504-2023 artfynd.xlsx", "A 23504-2023")</f>
        <v/>
      </c>
      <c r="T22">
        <f>HYPERLINK("https://klasma.github.io/Logging_2183/kartor/A 23504-2023 karta.png", "A 23504-2023")</f>
        <v/>
      </c>
      <c r="V22">
        <f>HYPERLINK("https://klasma.github.io/Logging_2183/klagomål/A 23504-2023 FSC-klagomål.docx", "A 23504-2023")</f>
        <v/>
      </c>
      <c r="W22">
        <f>HYPERLINK("https://klasma.github.io/Logging_2183/klagomålsmail/A 23504-2023 FSC-klagomål mail.docx", "A 23504-2023")</f>
        <v/>
      </c>
      <c r="X22">
        <f>HYPERLINK("https://klasma.github.io/Logging_2183/tillsyn/A 23504-2023 tillsynsbegäran.docx", "A 23504-2023")</f>
        <v/>
      </c>
      <c r="Y22">
        <f>HYPERLINK("https://klasma.github.io/Logging_2183/tillsynsmail/A 23504-2023 tillsynsbegäran mail.docx", "A 23504-2023")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45294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45294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45294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45294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45294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45294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45294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45294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45294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45294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45294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45294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45294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45294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45294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45294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45294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45294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45294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45294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45294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45294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45294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45294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45294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45294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45294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45294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45294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45294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45294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45294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45294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45294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45294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45294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45294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45294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45294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45294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45294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45294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45294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45294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45294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45294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45294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45294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45294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45294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45294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45294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45294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45294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45294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45294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45294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45294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45294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45294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45294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45294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45294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45294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45294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45294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45294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45294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45294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45294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45294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45294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45294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45294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45294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45294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45294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45294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45294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45294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45294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45294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45294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45294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45294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45294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45294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45294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45294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45294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45294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45294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45294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45294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45294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45294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45294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45294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45294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45294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45294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45294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45294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45294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45294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45294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45294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45294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45294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45294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45294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45294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45294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45294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45294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45294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45294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45294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45294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45294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45294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45294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45294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45294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45294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45294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45294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45294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45294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45294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45294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45294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45294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45294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45294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45294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45294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45294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45294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45294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45294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45294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45294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45294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45294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45294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45294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45294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45294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45294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45294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45294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45294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45294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45294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45294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45294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45294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45294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45294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45294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45294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45294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45294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45294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45294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45294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45294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45294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45294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45294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45294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45294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45294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45294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45294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45294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45294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45294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45294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45294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45294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45294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45294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45294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45294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45294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45294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45294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45294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45294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45294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45294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45294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45294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45294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45294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45294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45294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45294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45294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45294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45294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45294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45294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45294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45294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45294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45294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45294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45294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45294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45294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45294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45294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45294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45294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45294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45294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45294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45294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45294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45294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45294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45294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45294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45294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45294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45294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45294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45294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45294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45294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45294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45294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45294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45294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45294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45294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45294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45294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45294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45294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45294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45294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45294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45294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45294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45294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45294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45294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45294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45294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45294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45294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45294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45294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45294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45294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45294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45294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45294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45294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45294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45294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45294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45294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45294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45294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45294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45294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45294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45294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45294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45294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45294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45294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45294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45294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45294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45294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45294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45294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45294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45294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45294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45294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45294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45294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45294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45294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45294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45294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45294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45294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45294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45294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45294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45294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45294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45294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45294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45294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45294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45294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45294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45294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45294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45294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45294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45294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45294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45294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45294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45294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45294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45294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45294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45294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45294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45294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45294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45294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45294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45294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45294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45294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45294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45294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45294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45294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45294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45294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45294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45294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45294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45294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45294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45294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45294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45294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45294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45294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45294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45294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45294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45294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45294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45294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45294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45294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45294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45294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45294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45294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45294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45294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45294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45294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45294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45294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45294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45294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45294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45294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45294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45294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45294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45294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45294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45294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45294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45294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45294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45294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45294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45294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45294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45294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45294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45294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45294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45294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45294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45294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45294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45294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45294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45294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45294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45294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45294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45294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45294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45294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45294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45294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45294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45294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45294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45294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45294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45294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45294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45294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45294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45294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45294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45294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45294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45294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45294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45294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45294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45294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45294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45294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45294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45294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45294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45294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45294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45294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45294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45294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45294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45294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45294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45294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45294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45294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45294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45294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45294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45294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45294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45294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45294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45294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45294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45294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45294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45294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45294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45294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45294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45294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45294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45294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45294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45294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45294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45294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45294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45294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45294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45294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45294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45294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45294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45294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45294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45294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45294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45294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45294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45294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45294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45294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45294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45294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45294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45294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45294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45294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45294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45294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45294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45294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45294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45294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45294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45294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45294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45294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45294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45294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45294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45294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45294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45294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45294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45294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45294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45294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45294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45294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45294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45294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45294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45294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45294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45294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45294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45294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45294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45294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45294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45294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45294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45294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45294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45294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45294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45294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45294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45294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45294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45294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45294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45294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45294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45294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45294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45294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45294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45294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45294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45294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45294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45294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45294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45294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45294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45294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45294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45294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45294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45294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45294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45294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45294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45294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45294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45294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45294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45294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45294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45294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45294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45294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45294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45294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45294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45294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45294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45294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45294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45294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45294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45294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45294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45294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45294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45294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45294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45294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45294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45294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45294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45294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45294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45294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45294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45294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45294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45294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45294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45294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45294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45294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45294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45294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45294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45294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45294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45294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45294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45294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45294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45294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45294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45294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45294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45294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45294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45294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45294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45294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45294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45294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45294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45294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45294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45294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45294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45294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45294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45294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45294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45294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45294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45294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45294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45294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45294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45294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45294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45294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45294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45294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45294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45294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45294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45294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45294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45294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45294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45294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45294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45294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45294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45294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45294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45294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45294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45294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45294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45294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45294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45294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45294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45294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45294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45294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45294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45294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45294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45294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45294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45294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45294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45294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45294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45294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45294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45294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45294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45294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45294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45294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45294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45294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45294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45294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45294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45294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45294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45294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45294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45294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45294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45294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45294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45294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45294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45294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45294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45294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45294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45294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45294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45294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45294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45294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45294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45294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45294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45294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45294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45294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45294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45294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45294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45294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45294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45294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45294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45294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45294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45294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45294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45294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45294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45294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45294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45294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45294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45294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45294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45294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45294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45294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45294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45294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45294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45294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45294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45294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45294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45294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45294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45294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45294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45294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45294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45294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45294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45294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45294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45294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45294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45294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45294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45294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45294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45294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45294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45294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45294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45294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45294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45294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45294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45294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45294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45294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45294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45294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45294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45294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45294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45294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45294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45294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45294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45294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45294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45294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45294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45294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45294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45294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45294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45294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45294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45294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45294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45294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45294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45294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45294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45294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45294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45294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45294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45294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45294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45294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45294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45294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45294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45294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45294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45294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45294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45294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45294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45294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45294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45294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45294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45294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45294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45294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45294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45294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45294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45294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45294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45294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45294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45294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45294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45294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45294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45294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45294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45294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45294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45294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45294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45294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45294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45294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45294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45294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45294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45294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45294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45294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45294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45294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45294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45294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45294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45294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45294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45294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45294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45294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45294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45294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45294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45294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45294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45294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45294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45294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45294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45294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45294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45294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45294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45294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45294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45294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45294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45294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45294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45294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45294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45294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45294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45294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45294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45294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45294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45294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45294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45294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45294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45294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45294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45294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45294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45294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45294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45294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45294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45294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45294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45294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45294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45294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45294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45294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45294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45294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45294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45294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45294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45294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45294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45294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45294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45294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45294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45294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45294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45294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45294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45294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45294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45294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45294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45294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45294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45294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45294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45294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45294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45294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45294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45294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45294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45294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45294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45294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45294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45294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45294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45294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45294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45294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45294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45294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45294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45294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45294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45294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45294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45294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45294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45294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45294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45294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45294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45294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45294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45294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45294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45294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45294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45294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45294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45294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45294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45294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45294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45294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45294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45294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45294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45294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45294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45294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45294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45294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45294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45294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45294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45294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45294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45294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45294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45294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45294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45294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45294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45294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45294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45294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45294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45294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45294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45294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45294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45294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45294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45294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45294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45294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45294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45294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45294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45294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45294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45294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45294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45294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45294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45294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45294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45294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45294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45294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45294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45294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45294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45294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45294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45294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45294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45294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45294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45294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45294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45294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45294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45294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45294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45294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45294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45294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45294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45294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45294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45294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45294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45294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45294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45294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45294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45294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45294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45294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45294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45294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45294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45294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45294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45294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45294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45294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45294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45294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45294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45294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45294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45294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45294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45294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45294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45294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45294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45294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45294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45294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45294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45294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45294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45294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45294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45294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45294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45294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45294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45294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45294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45294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45294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45294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45294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45294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45294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45294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45294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45294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45294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45294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45294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45294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45294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45294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45294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45294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45294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45294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45294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45294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45294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45294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45294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45294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45294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45294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45294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45294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45294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45294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45294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45294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45294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45294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45294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45294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45294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45294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45294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45294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45294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45294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45294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45294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45294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45294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45294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45294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45294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45294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45294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45294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45294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45294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45294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45294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45294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45294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45294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45294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45294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45294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45294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45294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45294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45294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45294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45294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45294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45294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45294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45294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45294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45294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45294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45294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45294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45294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45294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45294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45294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45294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45294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45294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45294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45294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45294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45294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45294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45294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45294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45294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45294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45294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45294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45294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45294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45294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45294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45294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45294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45294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45294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45294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45294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45294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45294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45294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45294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45294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45294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45294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45294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45294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45294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45294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45294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45294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45294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45294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45294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45294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45294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45294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45294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45294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45294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45294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45294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45294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45294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45294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45294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45294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45294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45294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45294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45294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45294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61979-2023</t>
        </is>
      </c>
      <c r="B1213" s="1" t="n">
        <v>45266</v>
      </c>
      <c r="C1213" s="1" t="n">
        <v>45294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61968-2023</t>
        </is>
      </c>
      <c r="B1214" s="1" t="n">
        <v>45266</v>
      </c>
      <c r="C1214" s="1" t="n">
        <v>45294</v>
      </c>
      <c r="D1214" t="inlineStr">
        <is>
          <t>GÄVLEBORGS LÄN</t>
        </is>
      </c>
      <c r="E1214" t="inlineStr">
        <is>
          <t>BOLLNÄS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62433-2023</t>
        </is>
      </c>
      <c r="B1215" s="1" t="n">
        <v>45268</v>
      </c>
      <c r="C1215" s="1" t="n">
        <v>45294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45294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62438-2023</t>
        </is>
      </c>
      <c r="B1217" s="1" t="n">
        <v>45268</v>
      </c>
      <c r="C1217" s="1" t="n">
        <v>45294</v>
      </c>
      <c r="D1217" t="inlineStr">
        <is>
          <t>GÄVLEBORGS LÄN</t>
        </is>
      </c>
      <c r="E1217" t="inlineStr">
        <is>
          <t>BOLLNÄS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45294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62952-2023</t>
        </is>
      </c>
      <c r="B1219" s="1" t="n">
        <v>45272</v>
      </c>
      <c r="C1219" s="1" t="n">
        <v>45294</v>
      </c>
      <c r="D1219" t="inlineStr">
        <is>
          <t>GÄVLEBORGS LÄN</t>
        </is>
      </c>
      <c r="E1219" t="inlineStr">
        <is>
          <t>BOLLNÄS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62946-2023</t>
        </is>
      </c>
      <c r="B1220" s="1" t="n">
        <v>45272</v>
      </c>
      <c r="C1220" s="1" t="n">
        <v>45294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62956-2023</t>
        </is>
      </c>
      <c r="B1221" s="1" t="n">
        <v>45272</v>
      </c>
      <c r="C1221" s="1" t="n">
        <v>45294</v>
      </c>
      <c r="D1221" t="inlineStr">
        <is>
          <t>GÄVLEBORGS LÄN</t>
        </is>
      </c>
      <c r="E1221" t="inlineStr">
        <is>
          <t>BOLLNÄS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45294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45294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63862-2023</t>
        </is>
      </c>
      <c r="B1224" s="1" t="n">
        <v>45278</v>
      </c>
      <c r="C1224" s="1" t="n">
        <v>45294</v>
      </c>
      <c r="D1224" t="inlineStr">
        <is>
          <t>GÄVLEBORGS LÄN</t>
        </is>
      </c>
      <c r="E1224" t="inlineStr">
        <is>
          <t>BOLLNÄS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63853-2023</t>
        </is>
      </c>
      <c r="B1225" s="1" t="n">
        <v>45278</v>
      </c>
      <c r="C1225" s="1" t="n">
        <v>45294</v>
      </c>
      <c r="D1225" t="inlineStr">
        <is>
          <t>GÄVLEBORGS LÄN</t>
        </is>
      </c>
      <c r="E1225" t="inlineStr">
        <is>
          <t>BOLLNÄS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45294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63865-2023</t>
        </is>
      </c>
      <c r="B1227" s="1" t="n">
        <v>45278</v>
      </c>
      <c r="C1227" s="1" t="n">
        <v>45294</v>
      </c>
      <c r="D1227" t="inlineStr">
        <is>
          <t>GÄVLEBORGS LÄN</t>
        </is>
      </c>
      <c r="E1227" t="inlineStr">
        <is>
          <t>BOLLNÄS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45294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45294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65189-2023</t>
        </is>
      </c>
      <c r="B1230" s="1" t="n">
        <v>45289</v>
      </c>
      <c r="C1230" s="1" t="n">
        <v>45294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2024-01-03T10:02:41Z</dcterms:created>
  <dcterms:modified xmlns:dcterms="http://purl.org/dc/terms/" xmlns:xsi="http://www.w3.org/2001/XMLSchema-instance" xsi:type="dcterms:W3CDTF">2024-01-03T10:02:42Z</dcterms:modified>
</cp:coreProperties>
</file>