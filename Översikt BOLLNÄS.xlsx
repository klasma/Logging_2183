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45931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45931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45931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43200-2025</t>
        </is>
      </c>
      <c r="B5" s="1" t="n">
        <v>45910</v>
      </c>
      <c r="C5" s="1" t="n">
        <v>45931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Flikbålmossa
Bågpraktmossa
Mörk husmossa
Stubbspretmossa
Terpentinmossa</t>
        </is>
      </c>
      <c r="S5">
        <f>HYPERLINK("https://klasma.github.io/Logging_2183/artfynd/A 43200-2025 artfynd.xlsx", "A 43200-2025")</f>
        <v/>
      </c>
      <c r="T5">
        <f>HYPERLINK("https://klasma.github.io/Logging_2183/kartor/A 43200-2025 karta.png", "A 43200-2025")</f>
        <v/>
      </c>
      <c r="V5">
        <f>HYPERLINK("https://klasma.github.io/Logging_2183/klagomål/A 43200-2025 FSC-klagomål.docx", "A 43200-2025")</f>
        <v/>
      </c>
      <c r="W5">
        <f>HYPERLINK("https://klasma.github.io/Logging_2183/klagomålsmail/A 43200-2025 FSC-klagomål mail.docx", "A 43200-2025")</f>
        <v/>
      </c>
      <c r="X5">
        <f>HYPERLINK("https://klasma.github.io/Logging_2183/tillsyn/A 43200-2025 tillsynsbegäran.docx", "A 43200-2025")</f>
        <v/>
      </c>
      <c r="Y5">
        <f>HYPERLINK("https://klasma.github.io/Logging_2183/tillsynsmail/A 43200-2025 tillsynsbegäran mail.docx", "A 43200-2025")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45931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45931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45931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45931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45931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45931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34475-2024</t>
        </is>
      </c>
      <c r="B12" s="1" t="n">
        <v>45525.59913194444</v>
      </c>
      <c r="C12" s="1" t="n">
        <v>45931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HYPERLINK("https://klasma.github.io/Logging_2183/artfynd/A 34475-2024 artfynd.xlsx", "A 34475-2024")</f>
        <v/>
      </c>
      <c r="T12">
        <f>HYPERLINK("https://klasma.github.io/Logging_2183/kartor/A 34475-2024 karta.png", "A 34475-2024")</f>
        <v/>
      </c>
      <c r="V12">
        <f>HYPERLINK("https://klasma.github.io/Logging_2183/klagomål/A 34475-2024 FSC-klagomål.docx", "A 34475-2024")</f>
        <v/>
      </c>
      <c r="W12">
        <f>HYPERLINK("https://klasma.github.io/Logging_2183/klagomålsmail/A 34475-2024 FSC-klagomål mail.docx", "A 34475-2024")</f>
        <v/>
      </c>
      <c r="X12">
        <f>HYPERLINK("https://klasma.github.io/Logging_2183/tillsyn/A 34475-2024 tillsynsbegäran.docx", "A 34475-2024")</f>
        <v/>
      </c>
      <c r="Y12">
        <f>HYPERLINK("https://klasma.github.io/Logging_2183/tillsynsmail/A 34475-2024 tillsynsbegäran mail.docx", "A 34475-2024")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45931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45931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45931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45931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46997-2025</t>
        </is>
      </c>
      <c r="B17" s="1" t="n">
        <v>45929.54833333333</v>
      </c>
      <c r="C17" s="1" t="n">
        <v>45931</v>
      </c>
      <c r="D17" t="inlineStr">
        <is>
          <t>GÄVLEBORGS LÄN</t>
        </is>
      </c>
      <c r="E17" t="inlineStr">
        <is>
          <t>BOLLNÄS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HYPERLINK("https://klasma.github.io/Logging_2183/artfynd/A 46997-2025 artfynd.xlsx", "A 46997-2025")</f>
        <v/>
      </c>
      <c r="T17">
        <f>HYPERLINK("https://klasma.github.io/Logging_2183/kartor/A 46997-2025 karta.png", "A 46997-2025")</f>
        <v/>
      </c>
      <c r="V17">
        <f>HYPERLINK("https://klasma.github.io/Logging_2183/klagomål/A 46997-2025 FSC-klagomål.docx", "A 46997-2025")</f>
        <v/>
      </c>
      <c r="W17">
        <f>HYPERLINK("https://klasma.github.io/Logging_2183/klagomålsmail/A 46997-2025 FSC-klagomål mail.docx", "A 46997-2025")</f>
        <v/>
      </c>
      <c r="X17">
        <f>HYPERLINK("https://klasma.github.io/Logging_2183/tillsyn/A 46997-2025 tillsynsbegäran.docx", "A 46997-2025")</f>
        <v/>
      </c>
      <c r="Y17">
        <f>HYPERLINK("https://klasma.github.io/Logging_2183/tillsynsmail/A 46997-2025 tillsynsbegäran mail.docx", "A 46997-2025")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45931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45931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45931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45931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45931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45931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45931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45931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45931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45931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45931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45931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45931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45931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45931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45931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45931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45931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45931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45931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45931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45931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45931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45931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45931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45931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45931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45931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54675-2020</t>
        </is>
      </c>
      <c r="B46" s="1" t="n">
        <v>44127</v>
      </c>
      <c r="C46" s="1" t="n">
        <v>45931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45931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45931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45931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45931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45931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45931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45931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45931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41471-2021</t>
        </is>
      </c>
      <c r="B55" s="1" t="n">
        <v>44424</v>
      </c>
      <c r="C55" s="1" t="n">
        <v>45931</v>
      </c>
      <c r="D55" t="inlineStr">
        <is>
          <t>GÄVLEBORGS LÄN</t>
        </is>
      </c>
      <c r="E55" t="inlineStr">
        <is>
          <t>BOLLNÄS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45931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45931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45931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45931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45931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45931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45931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45931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45931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45931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45931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45931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45931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45931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45931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45931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45931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45931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45931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45931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45931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45931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45931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45931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45931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45931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45931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45931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45931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45931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45931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45931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45931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46961-2022</t>
        </is>
      </c>
      <c r="B89" s="1" t="n">
        <v>44851.94770833333</v>
      </c>
      <c r="C89" s="1" t="n">
        <v>45931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45931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45931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45931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45931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45931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45931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45931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17555-2021</t>
        </is>
      </c>
      <c r="B97" s="1" t="n">
        <v>44299.64576388889</v>
      </c>
      <c r="C97" s="1" t="n">
        <v>45931</v>
      </c>
      <c r="D97" t="inlineStr">
        <is>
          <t>GÄVLEBORGS LÄN</t>
        </is>
      </c>
      <c r="E97" t="inlineStr">
        <is>
          <t>BOLLNÄS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45931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45931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52756-2022</t>
        </is>
      </c>
      <c r="B100" s="1" t="n">
        <v>44875</v>
      </c>
      <c r="C100" s="1" t="n">
        <v>45931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34462-2021</t>
        </is>
      </c>
      <c r="B101" s="1" t="n">
        <v>44381</v>
      </c>
      <c r="C101" s="1" t="n">
        <v>45931</v>
      </c>
      <c r="D101" t="inlineStr">
        <is>
          <t>GÄVLEBORGS LÄN</t>
        </is>
      </c>
      <c r="E101" t="inlineStr">
        <is>
          <t>BOLLNÄS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45931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45931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45931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45931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1520-2021</t>
        </is>
      </c>
      <c r="B106" s="1" t="n">
        <v>44209</v>
      </c>
      <c r="C106" s="1" t="n">
        <v>45931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49653-2020</t>
        </is>
      </c>
      <c r="B107" s="1" t="n">
        <v>44106.46587962963</v>
      </c>
      <c r="C107" s="1" t="n">
        <v>45931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48547-2021</t>
        </is>
      </c>
      <c r="B108" s="1" t="n">
        <v>44452.45461805556</v>
      </c>
      <c r="C108" s="1" t="n">
        <v>45931</v>
      </c>
      <c r="D108" t="inlineStr">
        <is>
          <t>GÄVLEBORGS LÄN</t>
        </is>
      </c>
      <c r="E108" t="inlineStr">
        <is>
          <t>BOLLNÄS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48664-2022</t>
        </is>
      </c>
      <c r="B109" s="1" t="n">
        <v>44859</v>
      </c>
      <c r="C109" s="1" t="n">
        <v>45931</v>
      </c>
      <c r="D109" t="inlineStr">
        <is>
          <t>GÄVLEBORGS LÄN</t>
        </is>
      </c>
      <c r="E109" t="inlineStr">
        <is>
          <t>BOLLNÄS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66120-2021</t>
        </is>
      </c>
      <c r="B110" s="1" t="n">
        <v>44517</v>
      </c>
      <c r="C110" s="1" t="n">
        <v>45931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66128-2021</t>
        </is>
      </c>
      <c r="B111" s="1" t="n">
        <v>44517</v>
      </c>
      <c r="C111" s="1" t="n">
        <v>45931</v>
      </c>
      <c r="D111" t="inlineStr">
        <is>
          <t>GÄVLEBORGS LÄN</t>
        </is>
      </c>
      <c r="E111" t="inlineStr">
        <is>
          <t>BOLLNÄS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66129-2021</t>
        </is>
      </c>
      <c r="B112" s="1" t="n">
        <v>44517</v>
      </c>
      <c r="C112" s="1" t="n">
        <v>45931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59107-2020</t>
        </is>
      </c>
      <c r="B113" s="1" t="n">
        <v>44147</v>
      </c>
      <c r="C113" s="1" t="n">
        <v>45931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60717-2020</t>
        </is>
      </c>
      <c r="B114" s="1" t="n">
        <v>44153</v>
      </c>
      <c r="C114" s="1" t="n">
        <v>45931</v>
      </c>
      <c r="D114" t="inlineStr">
        <is>
          <t>GÄVLEBORGS LÄN</t>
        </is>
      </c>
      <c r="E114" t="inlineStr">
        <is>
          <t>BOLLNÄS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60726-2020</t>
        </is>
      </c>
      <c r="B115" s="1" t="n">
        <v>44153</v>
      </c>
      <c r="C115" s="1" t="n">
        <v>45931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54699-2020</t>
        </is>
      </c>
      <c r="B116" s="1" t="n">
        <v>44127</v>
      </c>
      <c r="C116" s="1" t="n">
        <v>45931</v>
      </c>
      <c r="D116" t="inlineStr">
        <is>
          <t>GÄVLEBORGS LÄN</t>
        </is>
      </c>
      <c r="E116" t="inlineStr">
        <is>
          <t>BOLLNÄS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31691-2021</t>
        </is>
      </c>
      <c r="B117" s="1" t="n">
        <v>44369.69809027778</v>
      </c>
      <c r="C117" s="1" t="n">
        <v>45931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36000-2021</t>
        </is>
      </c>
      <c r="B118" s="1" t="n">
        <v>44389</v>
      </c>
      <c r="C118" s="1" t="n">
        <v>45931</v>
      </c>
      <c r="D118" t="inlineStr">
        <is>
          <t>GÄVLEBORGS LÄN</t>
        </is>
      </c>
      <c r="E118" t="inlineStr">
        <is>
          <t>BOLLNÄS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13406-2022</t>
        </is>
      </c>
      <c r="B119" s="1" t="n">
        <v>44645.53327546296</v>
      </c>
      <c r="C119" s="1" t="n">
        <v>45931</v>
      </c>
      <c r="D119" t="inlineStr">
        <is>
          <t>GÄVLEBORGS LÄN</t>
        </is>
      </c>
      <c r="E119" t="inlineStr">
        <is>
          <t>BOLLNÄS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13407-2022</t>
        </is>
      </c>
      <c r="B120" s="1" t="n">
        <v>44645.53493055556</v>
      </c>
      <c r="C120" s="1" t="n">
        <v>45931</v>
      </c>
      <c r="D120" t="inlineStr">
        <is>
          <t>GÄVLEBORGS LÄN</t>
        </is>
      </c>
      <c r="E120" t="inlineStr">
        <is>
          <t>BOLLNÄS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64633-2021</t>
        </is>
      </c>
      <c r="B121" s="1" t="n">
        <v>44511.92282407408</v>
      </c>
      <c r="C121" s="1" t="n">
        <v>45931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59154-2020</t>
        </is>
      </c>
      <c r="B122" s="1" t="n">
        <v>44147</v>
      </c>
      <c r="C122" s="1" t="n">
        <v>45931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56410-2021</t>
        </is>
      </c>
      <c r="B123" s="1" t="n">
        <v>44480.46203703704</v>
      </c>
      <c r="C123" s="1" t="n">
        <v>45931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53853-2020</t>
        </is>
      </c>
      <c r="B124" s="1" t="n">
        <v>44125</v>
      </c>
      <c r="C124" s="1" t="n">
        <v>45931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22334-2021</t>
        </is>
      </c>
      <c r="B125" s="1" t="n">
        <v>44326</v>
      </c>
      <c r="C125" s="1" t="n">
        <v>45931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23282-2021</t>
        </is>
      </c>
      <c r="B126" s="1" t="n">
        <v>44333.43928240741</v>
      </c>
      <c r="C126" s="1" t="n">
        <v>45931</v>
      </c>
      <c r="D126" t="inlineStr">
        <is>
          <t>GÄVLEBORGS LÄN</t>
        </is>
      </c>
      <c r="E126" t="inlineStr">
        <is>
          <t>BOLLNÄS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7075-2022</t>
        </is>
      </c>
      <c r="B127" s="1" t="n">
        <v>44603</v>
      </c>
      <c r="C127" s="1" t="n">
        <v>45931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7079-2022</t>
        </is>
      </c>
      <c r="B128" s="1" t="n">
        <v>44603.58001157407</v>
      </c>
      <c r="C128" s="1" t="n">
        <v>45931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7092-2022</t>
        </is>
      </c>
      <c r="B129" s="1" t="n">
        <v>44603.59678240741</v>
      </c>
      <c r="C129" s="1" t="n">
        <v>45931</v>
      </c>
      <c r="D129" t="inlineStr">
        <is>
          <t>GÄVLEBORGS LÄN</t>
        </is>
      </c>
      <c r="E129" t="inlineStr">
        <is>
          <t>BOLLNÄS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31237-2022</t>
        </is>
      </c>
      <c r="B130" s="1" t="n">
        <v>44771.48913194444</v>
      </c>
      <c r="C130" s="1" t="n">
        <v>45931</v>
      </c>
      <c r="D130" t="inlineStr">
        <is>
          <t>GÄVLEBORGS LÄN</t>
        </is>
      </c>
      <c r="E130" t="inlineStr">
        <is>
          <t>BOLLNÄS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9888-2022</t>
        </is>
      </c>
      <c r="B131" s="1" t="n">
        <v>44620.60839120371</v>
      </c>
      <c r="C131" s="1" t="n">
        <v>45931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45931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44151-2022</t>
        </is>
      </c>
      <c r="B133" s="1" t="n">
        <v>44839</v>
      </c>
      <c r="C133" s="1" t="n">
        <v>45931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45931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45931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56686-2021</t>
        </is>
      </c>
      <c r="B136" s="1" t="n">
        <v>44481.36178240741</v>
      </c>
      <c r="C136" s="1" t="n">
        <v>45931</v>
      </c>
      <c r="D136" t="inlineStr">
        <is>
          <t>GÄVLEBORGS LÄN</t>
        </is>
      </c>
      <c r="E136" t="inlineStr">
        <is>
          <t>BOLLNÄS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52776-2020</t>
        </is>
      </c>
      <c r="B137" s="1" t="n">
        <v>44119</v>
      </c>
      <c r="C137" s="1" t="n">
        <v>45931</v>
      </c>
      <c r="D137" t="inlineStr">
        <is>
          <t>GÄVLEBORGS LÄN</t>
        </is>
      </c>
      <c r="E137" t="inlineStr">
        <is>
          <t>BOLLNÄS</t>
        </is>
      </c>
      <c r="F137" t="inlineStr">
        <is>
          <t>Holmen skog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59573-2020</t>
        </is>
      </c>
      <c r="B138" s="1" t="n">
        <v>44148</v>
      </c>
      <c r="C138" s="1" t="n">
        <v>45931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45931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49337-2020</t>
        </is>
      </c>
      <c r="B140" s="1" t="n">
        <v>44105</v>
      </c>
      <c r="C140" s="1" t="n">
        <v>45931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45931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30152-2022</t>
        </is>
      </c>
      <c r="B142" s="1" t="n">
        <v>44757.508125</v>
      </c>
      <c r="C142" s="1" t="n">
        <v>45931</v>
      </c>
      <c r="D142" t="inlineStr">
        <is>
          <t>GÄVLEBORGS LÄN</t>
        </is>
      </c>
      <c r="E142" t="inlineStr">
        <is>
          <t>BOLLNÄS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48443-2021</t>
        </is>
      </c>
      <c r="B143" s="1" t="n">
        <v>44452</v>
      </c>
      <c r="C143" s="1" t="n">
        <v>45931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35735-2022</t>
        </is>
      </c>
      <c r="B144" s="1" t="n">
        <v>44799</v>
      </c>
      <c r="C144" s="1" t="n">
        <v>45931</v>
      </c>
      <c r="D144" t="inlineStr">
        <is>
          <t>GÄVLEBORGS LÄN</t>
        </is>
      </c>
      <c r="E144" t="inlineStr">
        <is>
          <t>BOLLNÄS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17557-2021</t>
        </is>
      </c>
      <c r="B145" s="1" t="n">
        <v>44299</v>
      </c>
      <c r="C145" s="1" t="n">
        <v>45931</v>
      </c>
      <c r="D145" t="inlineStr">
        <is>
          <t>GÄVLEBORGS LÄN</t>
        </is>
      </c>
      <c r="E145" t="inlineStr">
        <is>
          <t>BOLLNÄS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45931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45931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45931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30813-2021</t>
        </is>
      </c>
      <c r="B149" s="1" t="n">
        <v>44365</v>
      </c>
      <c r="C149" s="1" t="n">
        <v>45931</v>
      </c>
      <c r="D149" t="inlineStr">
        <is>
          <t>GÄVLEBORGS LÄN</t>
        </is>
      </c>
      <c r="E149" t="inlineStr">
        <is>
          <t>BOLLNÄS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25632-2022</t>
        </is>
      </c>
      <c r="B150" s="1" t="n">
        <v>44732.92746527777</v>
      </c>
      <c r="C150" s="1" t="n">
        <v>45931</v>
      </c>
      <c r="D150" t="inlineStr">
        <is>
          <t>GÄVLEBORGS LÄN</t>
        </is>
      </c>
      <c r="E150" t="inlineStr">
        <is>
          <t>BOLLNÄS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31801-2021</t>
        </is>
      </c>
      <c r="B151" s="1" t="n">
        <v>44370</v>
      </c>
      <c r="C151" s="1" t="n">
        <v>45931</v>
      </c>
      <c r="D151" t="inlineStr">
        <is>
          <t>GÄVLEBORGS LÄN</t>
        </is>
      </c>
      <c r="E151" t="inlineStr">
        <is>
          <t>BOLLNÄS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45931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31694-2021</t>
        </is>
      </c>
      <c r="B153" s="1" t="n">
        <v>44369.70108796296</v>
      </c>
      <c r="C153" s="1" t="n">
        <v>45931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66986-2021</t>
        </is>
      </c>
      <c r="B154" s="1" t="n">
        <v>44522</v>
      </c>
      <c r="C154" s="1" t="n">
        <v>45931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24763-2022</t>
        </is>
      </c>
      <c r="B155" s="1" t="n">
        <v>44728</v>
      </c>
      <c r="C155" s="1" t="n">
        <v>45931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69627-2020</t>
        </is>
      </c>
      <c r="B156" s="1" t="n">
        <v>44195</v>
      </c>
      <c r="C156" s="1" t="n">
        <v>45931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48451-2021</t>
        </is>
      </c>
      <c r="B157" s="1" t="n">
        <v>44452</v>
      </c>
      <c r="C157" s="1" t="n">
        <v>45931</v>
      </c>
      <c r="D157" t="inlineStr">
        <is>
          <t>GÄVLEBORGS LÄN</t>
        </is>
      </c>
      <c r="E157" t="inlineStr">
        <is>
          <t>BOLLNÄS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11393-2021</t>
        </is>
      </c>
      <c r="B158" s="1" t="n">
        <v>44263.6728125</v>
      </c>
      <c r="C158" s="1" t="n">
        <v>45931</v>
      </c>
      <c r="D158" t="inlineStr">
        <is>
          <t>GÄVLEBORGS LÄN</t>
        </is>
      </c>
      <c r="E158" t="inlineStr">
        <is>
          <t>BOLLNÄS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33086-2022</t>
        </is>
      </c>
      <c r="B159" s="1" t="n">
        <v>44785.455</v>
      </c>
      <c r="C159" s="1" t="n">
        <v>45931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65030-2021</t>
        </is>
      </c>
      <c r="B160" s="1" t="n">
        <v>44515.32060185185</v>
      </c>
      <c r="C160" s="1" t="n">
        <v>45931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1408-2021</t>
        </is>
      </c>
      <c r="B161" s="1" t="n">
        <v>44208</v>
      </c>
      <c r="C161" s="1" t="n">
        <v>45931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56416-2021</t>
        </is>
      </c>
      <c r="B162" s="1" t="n">
        <v>44480</v>
      </c>
      <c r="C162" s="1" t="n">
        <v>45931</v>
      </c>
      <c r="D162" t="inlineStr">
        <is>
          <t>GÄVLEBORGS LÄN</t>
        </is>
      </c>
      <c r="E162" t="inlineStr">
        <is>
          <t>BOLLNÄS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70473-2021</t>
        </is>
      </c>
      <c r="B163" s="1" t="n">
        <v>44536</v>
      </c>
      <c r="C163" s="1" t="n">
        <v>45931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63877-2020</t>
        </is>
      </c>
      <c r="B164" s="1" t="n">
        <v>44166</v>
      </c>
      <c r="C164" s="1" t="n">
        <v>45931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45931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63882-2021</t>
        </is>
      </c>
      <c r="B166" s="1" t="n">
        <v>44509</v>
      </c>
      <c r="C166" s="1" t="n">
        <v>45931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21547-2021</t>
        </is>
      </c>
      <c r="B167" s="1" t="n">
        <v>44321.61015046296</v>
      </c>
      <c r="C167" s="1" t="n">
        <v>45931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32837-2021</t>
        </is>
      </c>
      <c r="B168" s="1" t="n">
        <v>44375.6319212963</v>
      </c>
      <c r="C168" s="1" t="n">
        <v>45931</v>
      </c>
      <c r="D168" t="inlineStr">
        <is>
          <t>GÄVLEBORGS LÄN</t>
        </is>
      </c>
      <c r="E168" t="inlineStr">
        <is>
          <t>BOLLNÄS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54704-2020</t>
        </is>
      </c>
      <c r="B169" s="1" t="n">
        <v>44127</v>
      </c>
      <c r="C169" s="1" t="n">
        <v>45931</v>
      </c>
      <c r="D169" t="inlineStr">
        <is>
          <t>GÄVLEBORGS LÄN</t>
        </is>
      </c>
      <c r="E169" t="inlineStr">
        <is>
          <t>BOLLNÄS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63128-2021</t>
        </is>
      </c>
      <c r="B170" s="1" t="n">
        <v>44505.66327546296</v>
      </c>
      <c r="C170" s="1" t="n">
        <v>45931</v>
      </c>
      <c r="D170" t="inlineStr">
        <is>
          <t>GÄVLEBORGS LÄN</t>
        </is>
      </c>
      <c r="E170" t="inlineStr">
        <is>
          <t>BOLLNÄS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56139-2020</t>
        </is>
      </c>
      <c r="B171" s="1" t="n">
        <v>44133</v>
      </c>
      <c r="C171" s="1" t="n">
        <v>45931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25088-2022</t>
        </is>
      </c>
      <c r="B172" s="1" t="n">
        <v>44729</v>
      </c>
      <c r="C172" s="1" t="n">
        <v>45931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48718-2021</t>
        </is>
      </c>
      <c r="B173" s="1" t="n">
        <v>44452</v>
      </c>
      <c r="C173" s="1" t="n">
        <v>45931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25100-2022</t>
        </is>
      </c>
      <c r="B174" s="1" t="n">
        <v>44729.44290509259</v>
      </c>
      <c r="C174" s="1" t="n">
        <v>45931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22126-2022</t>
        </is>
      </c>
      <c r="B175" s="1" t="n">
        <v>44712</v>
      </c>
      <c r="C175" s="1" t="n">
        <v>45931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63361-2020</t>
        </is>
      </c>
      <c r="B176" s="1" t="n">
        <v>44165</v>
      </c>
      <c r="C176" s="1" t="n">
        <v>45931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21438-2022</t>
        </is>
      </c>
      <c r="B177" s="1" t="n">
        <v>44706.34857638889</v>
      </c>
      <c r="C177" s="1" t="n">
        <v>45931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56481-2021</t>
        </is>
      </c>
      <c r="B178" s="1" t="n">
        <v>44480</v>
      </c>
      <c r="C178" s="1" t="n">
        <v>45931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52792-2021</t>
        </is>
      </c>
      <c r="B179" s="1" t="n">
        <v>44467</v>
      </c>
      <c r="C179" s="1" t="n">
        <v>45931</v>
      </c>
      <c r="D179" t="inlineStr">
        <is>
          <t>GÄVLEBORGS LÄN</t>
        </is>
      </c>
      <c r="E179" t="inlineStr">
        <is>
          <t>BOLLNÄS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7767-2021</t>
        </is>
      </c>
      <c r="B180" s="1" t="n">
        <v>44242</v>
      </c>
      <c r="C180" s="1" t="n">
        <v>45931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66980-2020</t>
        </is>
      </c>
      <c r="B181" s="1" t="n">
        <v>44180</v>
      </c>
      <c r="C181" s="1" t="n">
        <v>45931</v>
      </c>
      <c r="D181" t="inlineStr">
        <is>
          <t>GÄVLEBORGS LÄN</t>
        </is>
      </c>
      <c r="E181" t="inlineStr">
        <is>
          <t>BOLLNÄS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59311-2020</t>
        </is>
      </c>
      <c r="B182" s="1" t="n">
        <v>44147</v>
      </c>
      <c r="C182" s="1" t="n">
        <v>45931</v>
      </c>
      <c r="D182" t="inlineStr">
        <is>
          <t>GÄVLEBORGS LÄN</t>
        </is>
      </c>
      <c r="E182" t="inlineStr">
        <is>
          <t>BOLLNÄS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52907-2020</t>
        </is>
      </c>
      <c r="B183" s="1" t="n">
        <v>44119</v>
      </c>
      <c r="C183" s="1" t="n">
        <v>45931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18477-2022</t>
        </is>
      </c>
      <c r="B184" s="1" t="n">
        <v>44686.56325231482</v>
      </c>
      <c r="C184" s="1" t="n">
        <v>45931</v>
      </c>
      <c r="D184" t="inlineStr">
        <is>
          <t>GÄVLEBORGS LÄN</t>
        </is>
      </c>
      <c r="E184" t="inlineStr">
        <is>
          <t>BOLLNÄS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14470-2021</t>
        </is>
      </c>
      <c r="B185" s="1" t="n">
        <v>44279</v>
      </c>
      <c r="C185" s="1" t="n">
        <v>45931</v>
      </c>
      <c r="D185" t="inlineStr">
        <is>
          <t>GÄVLEBORGS LÄN</t>
        </is>
      </c>
      <c r="E185" t="inlineStr">
        <is>
          <t>BOLLNÄS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57337-2021</t>
        </is>
      </c>
      <c r="B186" s="1" t="n">
        <v>44483.4696875</v>
      </c>
      <c r="C186" s="1" t="n">
        <v>45931</v>
      </c>
      <c r="D186" t="inlineStr">
        <is>
          <t>GÄVLEBORGS LÄN</t>
        </is>
      </c>
      <c r="E186" t="inlineStr">
        <is>
          <t>BOLLNÄS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42519-2022</t>
        </is>
      </c>
      <c r="B187" s="1" t="n">
        <v>44831.60743055555</v>
      </c>
      <c r="C187" s="1" t="n">
        <v>45931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26301-2022</t>
        </is>
      </c>
      <c r="B188" s="1" t="n">
        <v>44735.5850462963</v>
      </c>
      <c r="C188" s="1" t="n">
        <v>45931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12108-2022</t>
        </is>
      </c>
      <c r="B189" s="1" t="n">
        <v>44636</v>
      </c>
      <c r="C189" s="1" t="n">
        <v>45931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51645-2022</t>
        </is>
      </c>
      <c r="B190" s="1" t="n">
        <v>44872.38538194444</v>
      </c>
      <c r="C190" s="1" t="n">
        <v>45931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53618-2022</t>
        </is>
      </c>
      <c r="B191" s="1" t="n">
        <v>44879</v>
      </c>
      <c r="C191" s="1" t="n">
        <v>45931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60481-2021</t>
        </is>
      </c>
      <c r="B192" s="1" t="n">
        <v>44496</v>
      </c>
      <c r="C192" s="1" t="n">
        <v>45931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3400-2021</t>
        </is>
      </c>
      <c r="B193" s="1" t="n">
        <v>44218.42019675926</v>
      </c>
      <c r="C193" s="1" t="n">
        <v>45931</v>
      </c>
      <c r="D193" t="inlineStr">
        <is>
          <t>GÄVLEBORGS LÄN</t>
        </is>
      </c>
      <c r="E193" t="inlineStr">
        <is>
          <t>BOLLNÄS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3411-2021</t>
        </is>
      </c>
      <c r="B194" s="1" t="n">
        <v>44218</v>
      </c>
      <c r="C194" s="1" t="n">
        <v>45931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10243-2025</t>
        </is>
      </c>
      <c r="B195" s="1" t="n">
        <v>45720.3500462963</v>
      </c>
      <c r="C195" s="1" t="n">
        <v>45931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32174-2021</t>
        </is>
      </c>
      <c r="B196" s="1" t="n">
        <v>44371</v>
      </c>
      <c r="C196" s="1" t="n">
        <v>45931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20517-2025</t>
        </is>
      </c>
      <c r="B197" s="1" t="n">
        <v>45775.59769675926</v>
      </c>
      <c r="C197" s="1" t="n">
        <v>45931</v>
      </c>
      <c r="D197" t="inlineStr">
        <is>
          <t>GÄVLEBORGS LÄN</t>
        </is>
      </c>
      <c r="E197" t="inlineStr">
        <is>
          <t>BOLLNÄS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36629-2023</t>
        </is>
      </c>
      <c r="B198" s="1" t="n">
        <v>45153.53344907407</v>
      </c>
      <c r="C198" s="1" t="n">
        <v>45931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36699-2023</t>
        </is>
      </c>
      <c r="B199" s="1" t="n">
        <v>45153.63834490741</v>
      </c>
      <c r="C199" s="1" t="n">
        <v>45931</v>
      </c>
      <c r="D199" t="inlineStr">
        <is>
          <t>GÄVLEBORGS LÄN</t>
        </is>
      </c>
      <c r="E199" t="inlineStr">
        <is>
          <t>BOLLNÄS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51133-2023</t>
        </is>
      </c>
      <c r="B200" s="1" t="n">
        <v>45219.33283564815</v>
      </c>
      <c r="C200" s="1" t="n">
        <v>45931</v>
      </c>
      <c r="D200" t="inlineStr">
        <is>
          <t>GÄVLEBORGS LÄN</t>
        </is>
      </c>
      <c r="E200" t="inlineStr">
        <is>
          <t>BOLLNÄS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14864-2025</t>
        </is>
      </c>
      <c r="B201" s="1" t="n">
        <v>45743.43662037037</v>
      </c>
      <c r="C201" s="1" t="n">
        <v>45931</v>
      </c>
      <c r="D201" t="inlineStr">
        <is>
          <t>GÄVLEBORGS LÄN</t>
        </is>
      </c>
      <c r="E201" t="inlineStr">
        <is>
          <t>BOLLNÄS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51247-2023</t>
        </is>
      </c>
      <c r="B202" s="1" t="n">
        <v>45219.4821875</v>
      </c>
      <c r="C202" s="1" t="n">
        <v>45931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24958-2023</t>
        </is>
      </c>
      <c r="B203" s="1" t="n">
        <v>45085</v>
      </c>
      <c r="C203" s="1" t="n">
        <v>45931</v>
      </c>
      <c r="D203" t="inlineStr">
        <is>
          <t>GÄVLEBORGS LÄN</t>
        </is>
      </c>
      <c r="E203" t="inlineStr">
        <is>
          <t>BOLLNÄS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49713-2023</t>
        </is>
      </c>
      <c r="B204" s="1" t="n">
        <v>45212.43078703704</v>
      </c>
      <c r="C204" s="1" t="n">
        <v>45931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47528-2024</t>
        </is>
      </c>
      <c r="B205" s="1" t="n">
        <v>45587.63690972222</v>
      </c>
      <c r="C205" s="1" t="n">
        <v>45931</v>
      </c>
      <c r="D205" t="inlineStr">
        <is>
          <t>GÄVLEBORGS LÄN</t>
        </is>
      </c>
      <c r="E205" t="inlineStr">
        <is>
          <t>BOLLNÄS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42513-2022</t>
        </is>
      </c>
      <c r="B206" s="1" t="n">
        <v>44831.59701388889</v>
      </c>
      <c r="C206" s="1" t="n">
        <v>45931</v>
      </c>
      <c r="D206" t="inlineStr">
        <is>
          <t>GÄVLEBORGS LÄN</t>
        </is>
      </c>
      <c r="E206" t="inlineStr">
        <is>
          <t>BOLLNÄS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6767-2025</t>
        </is>
      </c>
      <c r="B207" s="1" t="n">
        <v>45700.63662037037</v>
      </c>
      <c r="C207" s="1" t="n">
        <v>45931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2666-2025</t>
        </is>
      </c>
      <c r="B208" s="1" t="n">
        <v>45677.27112268518</v>
      </c>
      <c r="C208" s="1" t="n">
        <v>45931</v>
      </c>
      <c r="D208" t="inlineStr">
        <is>
          <t>GÄVLEBORGS LÄN</t>
        </is>
      </c>
      <c r="E208" t="inlineStr">
        <is>
          <t>BOLLNÄS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60495-2023</t>
        </is>
      </c>
      <c r="B209" s="1" t="n">
        <v>45258</v>
      </c>
      <c r="C209" s="1" t="n">
        <v>45931</v>
      </c>
      <c r="D209" t="inlineStr">
        <is>
          <t>GÄVLEBORGS LÄN</t>
        </is>
      </c>
      <c r="E209" t="inlineStr">
        <is>
          <t>BOLLNÄS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54511-2024</t>
        </is>
      </c>
      <c r="B210" s="1" t="n">
        <v>45617</v>
      </c>
      <c r="C210" s="1" t="n">
        <v>45931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6752-2024</t>
        </is>
      </c>
      <c r="B211" s="1" t="n">
        <v>45342</v>
      </c>
      <c r="C211" s="1" t="n">
        <v>45931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6755-2024</t>
        </is>
      </c>
      <c r="B212" s="1" t="n">
        <v>45342</v>
      </c>
      <c r="C212" s="1" t="n">
        <v>45931</v>
      </c>
      <c r="D212" t="inlineStr">
        <is>
          <t>GÄVLEBORGS LÄN</t>
        </is>
      </c>
      <c r="E212" t="inlineStr">
        <is>
          <t>BOLLNÄS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58431-2021</t>
        </is>
      </c>
      <c r="B213" s="1" t="n">
        <v>44488</v>
      </c>
      <c r="C213" s="1" t="n">
        <v>45931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38563-2025</t>
        </is>
      </c>
      <c r="B214" s="1" t="n">
        <v>45884.44887731481</v>
      </c>
      <c r="C214" s="1" t="n">
        <v>45931</v>
      </c>
      <c r="D214" t="inlineStr">
        <is>
          <t>GÄVLEBORGS LÄN</t>
        </is>
      </c>
      <c r="E214" t="inlineStr">
        <is>
          <t>BOLLNÄS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15118-2025</t>
        </is>
      </c>
      <c r="B215" s="1" t="n">
        <v>45744.30840277778</v>
      </c>
      <c r="C215" s="1" t="n">
        <v>45931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18311-2023</t>
        </is>
      </c>
      <c r="B216" s="1" t="n">
        <v>45041.59797453704</v>
      </c>
      <c r="C216" s="1" t="n">
        <v>45931</v>
      </c>
      <c r="D216" t="inlineStr">
        <is>
          <t>GÄVLEBORGS LÄN</t>
        </is>
      </c>
      <c r="E216" t="inlineStr">
        <is>
          <t>BOLLNÄS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5836-2024</t>
        </is>
      </c>
      <c r="B217" s="1" t="n">
        <v>45335</v>
      </c>
      <c r="C217" s="1" t="n">
        <v>45931</v>
      </c>
      <c r="D217" t="inlineStr">
        <is>
          <t>GÄVLEBORGS LÄN</t>
        </is>
      </c>
      <c r="E217" t="inlineStr">
        <is>
          <t>BOLLNÄS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5838-2024</t>
        </is>
      </c>
      <c r="B218" s="1" t="n">
        <v>45335.59482638889</v>
      </c>
      <c r="C218" s="1" t="n">
        <v>45931</v>
      </c>
      <c r="D218" t="inlineStr">
        <is>
          <t>GÄVLEBORGS LÄN</t>
        </is>
      </c>
      <c r="E218" t="inlineStr">
        <is>
          <t>BOLLNÄS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12018-2024</t>
        </is>
      </c>
      <c r="B219" s="1" t="n">
        <v>45377.36298611111</v>
      </c>
      <c r="C219" s="1" t="n">
        <v>45931</v>
      </c>
      <c r="D219" t="inlineStr">
        <is>
          <t>GÄVLEBORGS LÄN</t>
        </is>
      </c>
      <c r="E219" t="inlineStr">
        <is>
          <t>BOLLNÄS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56453-2023</t>
        </is>
      </c>
      <c r="B220" s="1" t="n">
        <v>45243</v>
      </c>
      <c r="C220" s="1" t="n">
        <v>45931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10123-2024</t>
        </is>
      </c>
      <c r="B221" s="1" t="n">
        <v>45364.56289351852</v>
      </c>
      <c r="C221" s="1" t="n">
        <v>45931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41266-2023</t>
        </is>
      </c>
      <c r="B222" s="1" t="n">
        <v>45174.54631944445</v>
      </c>
      <c r="C222" s="1" t="n">
        <v>45931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32859-2024</t>
        </is>
      </c>
      <c r="B223" s="1" t="n">
        <v>45516.64608796296</v>
      </c>
      <c r="C223" s="1" t="n">
        <v>45931</v>
      </c>
      <c r="D223" t="inlineStr">
        <is>
          <t>GÄVLEBORGS LÄN</t>
        </is>
      </c>
      <c r="E223" t="inlineStr">
        <is>
          <t>BOLLNÄS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46669-2024</t>
        </is>
      </c>
      <c r="B224" s="1" t="n">
        <v>45583.3762037037</v>
      </c>
      <c r="C224" s="1" t="n">
        <v>45931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15654-2025</t>
        </is>
      </c>
      <c r="B225" s="1" t="n">
        <v>45748.40988425926</v>
      </c>
      <c r="C225" s="1" t="n">
        <v>45931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15355-2025</t>
        </is>
      </c>
      <c r="B226" s="1" t="n">
        <v>45747.3884375</v>
      </c>
      <c r="C226" s="1" t="n">
        <v>45931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58716-2023</t>
        </is>
      </c>
      <c r="B227" s="1" t="n">
        <v>45251</v>
      </c>
      <c r="C227" s="1" t="n">
        <v>45931</v>
      </c>
      <c r="D227" t="inlineStr">
        <is>
          <t>GÄVLEBORGS LÄN</t>
        </is>
      </c>
      <c r="E227" t="inlineStr">
        <is>
          <t>BOLLNÄS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5806-2022</t>
        </is>
      </c>
      <c r="B228" s="1" t="n">
        <v>44596.5728125</v>
      </c>
      <c r="C228" s="1" t="n">
        <v>45931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15525-2025</t>
        </is>
      </c>
      <c r="B229" s="1" t="n">
        <v>45747</v>
      </c>
      <c r="C229" s="1" t="n">
        <v>45931</v>
      </c>
      <c r="D229" t="inlineStr">
        <is>
          <t>GÄVLEBORGS LÄN</t>
        </is>
      </c>
      <c r="E229" t="inlineStr">
        <is>
          <t>BOLLNÄS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7801-2021</t>
        </is>
      </c>
      <c r="B230" s="1" t="n">
        <v>44242.59861111111</v>
      </c>
      <c r="C230" s="1" t="n">
        <v>45931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42306-2023</t>
        </is>
      </c>
      <c r="B231" s="1" t="n">
        <v>45180.45332175926</v>
      </c>
      <c r="C231" s="1" t="n">
        <v>45931</v>
      </c>
      <c r="D231" t="inlineStr">
        <is>
          <t>GÄVLEBORGS LÄN</t>
        </is>
      </c>
      <c r="E231" t="inlineStr">
        <is>
          <t>BOLLNÄS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15142-2023</t>
        </is>
      </c>
      <c r="B232" s="1" t="n">
        <v>45016</v>
      </c>
      <c r="C232" s="1" t="n">
        <v>45931</v>
      </c>
      <c r="D232" t="inlineStr">
        <is>
          <t>GÄVLEBORGS LÄN</t>
        </is>
      </c>
      <c r="E232" t="inlineStr">
        <is>
          <t>BOLLNÄS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17380-2025</t>
        </is>
      </c>
      <c r="B233" s="1" t="n">
        <v>45757.29439814815</v>
      </c>
      <c r="C233" s="1" t="n">
        <v>45931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55593-2024</t>
        </is>
      </c>
      <c r="B234" s="1" t="n">
        <v>45622.56936342592</v>
      </c>
      <c r="C234" s="1" t="n">
        <v>45931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20557-2023</t>
        </is>
      </c>
      <c r="B235" s="1" t="n">
        <v>45057.62391203704</v>
      </c>
      <c r="C235" s="1" t="n">
        <v>45931</v>
      </c>
      <c r="D235" t="inlineStr">
        <is>
          <t>GÄVLEBORGS LÄN</t>
        </is>
      </c>
      <c r="E235" t="inlineStr">
        <is>
          <t>BOLLNÄS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42233-2023</t>
        </is>
      </c>
      <c r="B236" s="1" t="n">
        <v>45180</v>
      </c>
      <c r="C236" s="1" t="n">
        <v>45931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49445-2021</t>
        </is>
      </c>
      <c r="B237" s="1" t="n">
        <v>44454</v>
      </c>
      <c r="C237" s="1" t="n">
        <v>45931</v>
      </c>
      <c r="D237" t="inlineStr">
        <is>
          <t>GÄVLEBORGS LÄN</t>
        </is>
      </c>
      <c r="E237" t="inlineStr">
        <is>
          <t>BOLLNÄS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3271-2025</t>
        </is>
      </c>
      <c r="B238" s="1" t="n">
        <v>45679.58766203704</v>
      </c>
      <c r="C238" s="1" t="n">
        <v>45931</v>
      </c>
      <c r="D238" t="inlineStr">
        <is>
          <t>GÄVLEBORGS LÄN</t>
        </is>
      </c>
      <c r="E238" t="inlineStr">
        <is>
          <t>BOLLNÄS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18013-2023</t>
        </is>
      </c>
      <c r="B239" s="1" t="n">
        <v>45040.57412037037</v>
      </c>
      <c r="C239" s="1" t="n">
        <v>45931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54209-2023</t>
        </is>
      </c>
      <c r="B240" s="1" t="n">
        <v>45232.56831018518</v>
      </c>
      <c r="C240" s="1" t="n">
        <v>45931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61220-2022</t>
        </is>
      </c>
      <c r="B241" s="1" t="n">
        <v>44915.55640046296</v>
      </c>
      <c r="C241" s="1" t="n">
        <v>45931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20282-2025</t>
        </is>
      </c>
      <c r="B242" s="1" t="n">
        <v>45774.49193287037</v>
      </c>
      <c r="C242" s="1" t="n">
        <v>45931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38248-2025</t>
        </is>
      </c>
      <c r="B243" s="1" t="n">
        <v>45883.36921296296</v>
      </c>
      <c r="C243" s="1" t="n">
        <v>45931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1474-2022</t>
        </is>
      </c>
      <c r="B244" s="1" t="n">
        <v>44573.50443287037</v>
      </c>
      <c r="C244" s="1" t="n">
        <v>45931</v>
      </c>
      <c r="D244" t="inlineStr">
        <is>
          <t>GÄVLEBORGS LÄN</t>
        </is>
      </c>
      <c r="E244" t="inlineStr">
        <is>
          <t>BOLLNÄS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5561-2022</t>
        </is>
      </c>
      <c r="B245" s="1" t="n">
        <v>44595</v>
      </c>
      <c r="C245" s="1" t="n">
        <v>45931</v>
      </c>
      <c r="D245" t="inlineStr">
        <is>
          <t>GÄVLEBORGS LÄN</t>
        </is>
      </c>
      <c r="E245" t="inlineStr">
        <is>
          <t>BOLLNÄS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16020-2024</t>
        </is>
      </c>
      <c r="B246" s="1" t="n">
        <v>45405</v>
      </c>
      <c r="C246" s="1" t="n">
        <v>45931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12474-2021</t>
        </is>
      </c>
      <c r="B247" s="1" t="n">
        <v>44267</v>
      </c>
      <c r="C247" s="1" t="n">
        <v>45931</v>
      </c>
      <c r="D247" t="inlineStr">
        <is>
          <t>GÄVLEBORGS LÄN</t>
        </is>
      </c>
      <c r="E247" t="inlineStr">
        <is>
          <t>BOLLNÄS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2206-2025</t>
        </is>
      </c>
      <c r="B248" s="1" t="n">
        <v>45673.42638888889</v>
      </c>
      <c r="C248" s="1" t="n">
        <v>45931</v>
      </c>
      <c r="D248" t="inlineStr">
        <is>
          <t>GÄVLEBORGS LÄN</t>
        </is>
      </c>
      <c r="E248" t="inlineStr">
        <is>
          <t>BOLLNÄS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2211-2025</t>
        </is>
      </c>
      <c r="B249" s="1" t="n">
        <v>45673.43484953704</v>
      </c>
      <c r="C249" s="1" t="n">
        <v>45931</v>
      </c>
      <c r="D249" t="inlineStr">
        <is>
          <t>GÄVLEBORGS LÄN</t>
        </is>
      </c>
      <c r="E249" t="inlineStr">
        <is>
          <t>BOLLNÄS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54203-2023</t>
        </is>
      </c>
      <c r="B250" s="1" t="n">
        <v>45232.56078703704</v>
      </c>
      <c r="C250" s="1" t="n">
        <v>45931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22745-2022</t>
        </is>
      </c>
      <c r="B251" s="1" t="n">
        <v>44714.71814814815</v>
      </c>
      <c r="C251" s="1" t="n">
        <v>45931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12935-2025</t>
        </is>
      </c>
      <c r="B252" s="1" t="n">
        <v>45734.35393518519</v>
      </c>
      <c r="C252" s="1" t="n">
        <v>45931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26377-2023</t>
        </is>
      </c>
      <c r="B253" s="1" t="n">
        <v>45092.28179398148</v>
      </c>
      <c r="C253" s="1" t="n">
        <v>45931</v>
      </c>
      <c r="D253" t="inlineStr">
        <is>
          <t>GÄVLEBORGS LÄN</t>
        </is>
      </c>
      <c r="E253" t="inlineStr">
        <is>
          <t>BOLLNÄS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26531-2023</t>
        </is>
      </c>
      <c r="B254" s="1" t="n">
        <v>45092.57606481481</v>
      </c>
      <c r="C254" s="1" t="n">
        <v>45931</v>
      </c>
      <c r="D254" t="inlineStr">
        <is>
          <t>GÄVLEBORGS LÄN</t>
        </is>
      </c>
      <c r="E254" t="inlineStr">
        <is>
          <t>BOLLNÄS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16919-2025</t>
        </is>
      </c>
      <c r="B255" s="1" t="n">
        <v>45755.37341435185</v>
      </c>
      <c r="C255" s="1" t="n">
        <v>45931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51137-2023</t>
        </is>
      </c>
      <c r="B256" s="1" t="n">
        <v>45219</v>
      </c>
      <c r="C256" s="1" t="n">
        <v>45931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48007-2022</t>
        </is>
      </c>
      <c r="B257" s="1" t="n">
        <v>44855.65891203703</v>
      </c>
      <c r="C257" s="1" t="n">
        <v>45931</v>
      </c>
      <c r="D257" t="inlineStr">
        <is>
          <t>GÄVLEBORGS LÄN</t>
        </is>
      </c>
      <c r="E257" t="inlineStr">
        <is>
          <t>BOLLNÄS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27202-2024</t>
        </is>
      </c>
      <c r="B258" s="1" t="n">
        <v>45471.6062962963</v>
      </c>
      <c r="C258" s="1" t="n">
        <v>45931</v>
      </c>
      <c r="D258" t="inlineStr">
        <is>
          <t>GÄVLEBORGS LÄN</t>
        </is>
      </c>
      <c r="E258" t="inlineStr">
        <is>
          <t>BOLLNÄS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47438-2023</t>
        </is>
      </c>
      <c r="B259" s="1" t="n">
        <v>45202</v>
      </c>
      <c r="C259" s="1" t="n">
        <v>45931</v>
      </c>
      <c r="D259" t="inlineStr">
        <is>
          <t>GÄVLEBORGS LÄN</t>
        </is>
      </c>
      <c r="E259" t="inlineStr">
        <is>
          <t>BOLLNÄS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17401-2025</t>
        </is>
      </c>
      <c r="B260" s="1" t="n">
        <v>45757.35046296296</v>
      </c>
      <c r="C260" s="1" t="n">
        <v>45931</v>
      </c>
      <c r="D260" t="inlineStr">
        <is>
          <t>GÄVLEBORGS LÄN</t>
        </is>
      </c>
      <c r="E260" t="inlineStr">
        <is>
          <t>BOLLNÄS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22646-2022</t>
        </is>
      </c>
      <c r="B261" s="1" t="n">
        <v>44714.4553125</v>
      </c>
      <c r="C261" s="1" t="n">
        <v>45931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12686-2025</t>
        </is>
      </c>
      <c r="B262" s="1" t="n">
        <v>45733</v>
      </c>
      <c r="C262" s="1" t="n">
        <v>45931</v>
      </c>
      <c r="D262" t="inlineStr">
        <is>
          <t>GÄVLEBORGS LÄN</t>
        </is>
      </c>
      <c r="E262" t="inlineStr">
        <is>
          <t>BOLLNÄS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29712-2023</t>
        </is>
      </c>
      <c r="B263" s="1" t="n">
        <v>45107</v>
      </c>
      <c r="C263" s="1" t="n">
        <v>45931</v>
      </c>
      <c r="D263" t="inlineStr">
        <is>
          <t>GÄVLEBORGS LÄN</t>
        </is>
      </c>
      <c r="E263" t="inlineStr">
        <is>
          <t>BOLLNÄS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17964-2025</t>
        </is>
      </c>
      <c r="B264" s="1" t="n">
        <v>45761</v>
      </c>
      <c r="C264" s="1" t="n">
        <v>45931</v>
      </c>
      <c r="D264" t="inlineStr">
        <is>
          <t>GÄVLEBORGS LÄN</t>
        </is>
      </c>
      <c r="E264" t="inlineStr">
        <is>
          <t>BOLLNÄS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10606-2024</t>
        </is>
      </c>
      <c r="B265" s="1" t="n">
        <v>45366.96065972222</v>
      </c>
      <c r="C265" s="1" t="n">
        <v>45931</v>
      </c>
      <c r="D265" t="inlineStr">
        <is>
          <t>GÄVLEBORGS LÄN</t>
        </is>
      </c>
      <c r="E265" t="inlineStr">
        <is>
          <t>BOLLNÄS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26304-2022</t>
        </is>
      </c>
      <c r="B266" s="1" t="n">
        <v>44735.58756944445</v>
      </c>
      <c r="C266" s="1" t="n">
        <v>45931</v>
      </c>
      <c r="D266" t="inlineStr">
        <is>
          <t>GÄVLEBORGS LÄN</t>
        </is>
      </c>
      <c r="E266" t="inlineStr">
        <is>
          <t>BOLLNÄS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44576-2023</t>
        </is>
      </c>
      <c r="B267" s="1" t="n">
        <v>45183</v>
      </c>
      <c r="C267" s="1" t="n">
        <v>45931</v>
      </c>
      <c r="D267" t="inlineStr">
        <is>
          <t>GÄVLEBORGS LÄN</t>
        </is>
      </c>
      <c r="E267" t="inlineStr">
        <is>
          <t>BOLLNÄS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12624-2025</t>
        </is>
      </c>
      <c r="B268" s="1" t="n">
        <v>45733.36315972222</v>
      </c>
      <c r="C268" s="1" t="n">
        <v>45931</v>
      </c>
      <c r="D268" t="inlineStr">
        <is>
          <t>GÄVLEBORGS LÄN</t>
        </is>
      </c>
      <c r="E268" t="inlineStr">
        <is>
          <t>BOLLNÄS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61399-2023</t>
        </is>
      </c>
      <c r="B269" s="1" t="n">
        <v>45264</v>
      </c>
      <c r="C269" s="1" t="n">
        <v>45931</v>
      </c>
      <c r="D269" t="inlineStr">
        <is>
          <t>GÄVLEBORGS LÄN</t>
        </is>
      </c>
      <c r="E269" t="inlineStr">
        <is>
          <t>BOLLNÄS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35941-2022</t>
        </is>
      </c>
      <c r="B270" s="1" t="n">
        <v>44802.5419675926</v>
      </c>
      <c r="C270" s="1" t="n">
        <v>45931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56547-2023</t>
        </is>
      </c>
      <c r="B271" s="1" t="n">
        <v>45243</v>
      </c>
      <c r="C271" s="1" t="n">
        <v>45931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57041-2022</t>
        </is>
      </c>
      <c r="B272" s="1" t="n">
        <v>44895</v>
      </c>
      <c r="C272" s="1" t="n">
        <v>45931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17236-2021</t>
        </is>
      </c>
      <c r="B273" s="1" t="n">
        <v>44298.51025462963</v>
      </c>
      <c r="C273" s="1" t="n">
        <v>45931</v>
      </c>
      <c r="D273" t="inlineStr">
        <is>
          <t>GÄVLEBORGS LÄN</t>
        </is>
      </c>
      <c r="E273" t="inlineStr">
        <is>
          <t>BOLLNÄS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28979-2022</t>
        </is>
      </c>
      <c r="B274" s="1" t="n">
        <v>44749.65016203704</v>
      </c>
      <c r="C274" s="1" t="n">
        <v>45931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54236-2023</t>
        </is>
      </c>
      <c r="B275" s="1" t="n">
        <v>45232.61173611111</v>
      </c>
      <c r="C275" s="1" t="n">
        <v>45931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61795-2024</t>
        </is>
      </c>
      <c r="B276" s="1" t="n">
        <v>45646</v>
      </c>
      <c r="C276" s="1" t="n">
        <v>45931</v>
      </c>
      <c r="D276" t="inlineStr">
        <is>
          <t>GÄVLEBORGS LÄN</t>
        </is>
      </c>
      <c r="E276" t="inlineStr">
        <is>
          <t>BOLLNÄS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46675-2025</t>
        </is>
      </c>
      <c r="B277" s="1" t="n">
        <v>45926.54326388889</v>
      </c>
      <c r="C277" s="1" t="n">
        <v>45931</v>
      </c>
      <c r="D277" t="inlineStr">
        <is>
          <t>GÄVLEBORGS LÄN</t>
        </is>
      </c>
      <c r="E277" t="inlineStr">
        <is>
          <t>BOLLNÄS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28771-2023</t>
        </is>
      </c>
      <c r="B278" s="1" t="n">
        <v>45104</v>
      </c>
      <c r="C278" s="1" t="n">
        <v>45931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14261-2025</t>
        </is>
      </c>
      <c r="B279" s="1" t="n">
        <v>45740.629375</v>
      </c>
      <c r="C279" s="1" t="n">
        <v>45931</v>
      </c>
      <c r="D279" t="inlineStr">
        <is>
          <t>GÄVLEBORGS LÄN</t>
        </is>
      </c>
      <c r="E279" t="inlineStr">
        <is>
          <t>BOLLNÄS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28179-2023</t>
        </is>
      </c>
      <c r="B280" s="1" t="n">
        <v>45099.53201388889</v>
      </c>
      <c r="C280" s="1" t="n">
        <v>45931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48141-2022</t>
        </is>
      </c>
      <c r="B281" s="1" t="n">
        <v>44858.00943287037</v>
      </c>
      <c r="C281" s="1" t="n">
        <v>45931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16914-2025</t>
        </is>
      </c>
      <c r="B282" s="1" t="n">
        <v>45755.36678240741</v>
      </c>
      <c r="C282" s="1" t="n">
        <v>45931</v>
      </c>
      <c r="D282" t="inlineStr">
        <is>
          <t>GÄVLEBORGS LÄN</t>
        </is>
      </c>
      <c r="E282" t="inlineStr">
        <is>
          <t>BOLLNÄS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51666-2022</t>
        </is>
      </c>
      <c r="B283" s="1" t="n">
        <v>44872.42103009259</v>
      </c>
      <c r="C283" s="1" t="n">
        <v>45931</v>
      </c>
      <c r="D283" t="inlineStr">
        <is>
          <t>GÄVLEBORGS LÄN</t>
        </is>
      </c>
      <c r="E283" t="inlineStr">
        <is>
          <t>BOLLNÄS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549-2024</t>
        </is>
      </c>
      <c r="B284" s="1" t="n">
        <v>45299</v>
      </c>
      <c r="C284" s="1" t="n">
        <v>45931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29716-2023</t>
        </is>
      </c>
      <c r="B285" s="1" t="n">
        <v>45107</v>
      </c>
      <c r="C285" s="1" t="n">
        <v>45931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13143-2024</t>
        </is>
      </c>
      <c r="B286" s="1" t="n">
        <v>45386.34846064815</v>
      </c>
      <c r="C286" s="1" t="n">
        <v>45931</v>
      </c>
      <c r="D286" t="inlineStr">
        <is>
          <t>GÄVLEBORGS LÄN</t>
        </is>
      </c>
      <c r="E286" t="inlineStr">
        <is>
          <t>BOLLNÄS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595-2025</t>
        </is>
      </c>
      <c r="B287" s="1" t="n">
        <v>45664.58971064815</v>
      </c>
      <c r="C287" s="1" t="n">
        <v>45931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58929-2023</t>
        </is>
      </c>
      <c r="B288" s="1" t="n">
        <v>45252.5525462963</v>
      </c>
      <c r="C288" s="1" t="n">
        <v>45931</v>
      </c>
      <c r="D288" t="inlineStr">
        <is>
          <t>GÄVLEBORGS LÄN</t>
        </is>
      </c>
      <c r="E288" t="inlineStr">
        <is>
          <t>BOLLNÄS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40481-2024</t>
        </is>
      </c>
      <c r="B289" s="1" t="n">
        <v>45555.55221064815</v>
      </c>
      <c r="C289" s="1" t="n">
        <v>45931</v>
      </c>
      <c r="D289" t="inlineStr">
        <is>
          <t>GÄVLEBORGS LÄN</t>
        </is>
      </c>
      <c r="E289" t="inlineStr">
        <is>
          <t>BOLLNÄS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37780-2024</t>
        </is>
      </c>
      <c r="B290" s="1" t="n">
        <v>45542.70951388889</v>
      </c>
      <c r="C290" s="1" t="n">
        <v>45931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24328-2024</t>
        </is>
      </c>
      <c r="B291" s="1" t="n">
        <v>45457.53640046297</v>
      </c>
      <c r="C291" s="1" t="n">
        <v>45931</v>
      </c>
      <c r="D291" t="inlineStr">
        <is>
          <t>GÄVLEBORGS LÄN</t>
        </is>
      </c>
      <c r="E291" t="inlineStr">
        <is>
          <t>BOLLNÄS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63716-2021</t>
        </is>
      </c>
      <c r="B292" s="1" t="n">
        <v>44509.43005787037</v>
      </c>
      <c r="C292" s="1" t="n">
        <v>45931</v>
      </c>
      <c r="D292" t="inlineStr">
        <is>
          <t>GÄVLEBORGS LÄN</t>
        </is>
      </c>
      <c r="E292" t="inlineStr">
        <is>
          <t>BOLLNÄS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61769-2024</t>
        </is>
      </c>
      <c r="B293" s="1" t="n">
        <v>45649.45278935185</v>
      </c>
      <c r="C293" s="1" t="n">
        <v>45931</v>
      </c>
      <c r="D293" t="inlineStr">
        <is>
          <t>GÄVLEBORGS LÄN</t>
        </is>
      </c>
      <c r="E293" t="inlineStr">
        <is>
          <t>BOLLNÄS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15668-2025</t>
        </is>
      </c>
      <c r="B294" s="1" t="n">
        <v>45748.4383912037</v>
      </c>
      <c r="C294" s="1" t="n">
        <v>45931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15671-2025</t>
        </is>
      </c>
      <c r="B295" s="1" t="n">
        <v>45748.44193287037</v>
      </c>
      <c r="C295" s="1" t="n">
        <v>45931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15687-2025</t>
        </is>
      </c>
      <c r="B296" s="1" t="n">
        <v>45748.46032407408</v>
      </c>
      <c r="C296" s="1" t="n">
        <v>45931</v>
      </c>
      <c r="D296" t="inlineStr">
        <is>
          <t>GÄVLEBORGS LÄN</t>
        </is>
      </c>
      <c r="E296" t="inlineStr">
        <is>
          <t>BOLLNÄS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60425-2024</t>
        </is>
      </c>
      <c r="B297" s="1" t="n">
        <v>45643.5507175926</v>
      </c>
      <c r="C297" s="1" t="n">
        <v>45931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38252-2025</t>
        </is>
      </c>
      <c r="B298" s="1" t="n">
        <v>45883.37849537037</v>
      </c>
      <c r="C298" s="1" t="n">
        <v>45931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23796-2024</t>
        </is>
      </c>
      <c r="B299" s="1" t="n">
        <v>45455.43077546296</v>
      </c>
      <c r="C299" s="1" t="n">
        <v>45931</v>
      </c>
      <c r="D299" t="inlineStr">
        <is>
          <t>GÄVLEBORGS LÄN</t>
        </is>
      </c>
      <c r="E299" t="inlineStr">
        <is>
          <t>BOLLNÄS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17966-2025</t>
        </is>
      </c>
      <c r="B300" s="1" t="n">
        <v>45761.34462962963</v>
      </c>
      <c r="C300" s="1" t="n">
        <v>45931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45598-2024</t>
        </is>
      </c>
      <c r="B301" s="1" t="n">
        <v>45579</v>
      </c>
      <c r="C301" s="1" t="n">
        <v>45931</v>
      </c>
      <c r="D301" t="inlineStr">
        <is>
          <t>GÄVLEBORGS LÄN</t>
        </is>
      </c>
      <c r="E301" t="inlineStr">
        <is>
          <t>BOLLNÄS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48307-2023</t>
        </is>
      </c>
      <c r="B302" s="1" t="n">
        <v>45205.58381944444</v>
      </c>
      <c r="C302" s="1" t="n">
        <v>45931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3451-2025</t>
        </is>
      </c>
      <c r="B303" s="1" t="n">
        <v>45680</v>
      </c>
      <c r="C303" s="1" t="n">
        <v>45931</v>
      </c>
      <c r="D303" t="inlineStr">
        <is>
          <t>GÄVLEBORGS LÄN</t>
        </is>
      </c>
      <c r="E303" t="inlineStr">
        <is>
          <t>BOLLNÄS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39528-2022</t>
        </is>
      </c>
      <c r="B304" s="1" t="n">
        <v>44818</v>
      </c>
      <c r="C304" s="1" t="n">
        <v>45931</v>
      </c>
      <c r="D304" t="inlineStr">
        <is>
          <t>GÄVLEBORGS LÄN</t>
        </is>
      </c>
      <c r="E304" t="inlineStr">
        <is>
          <t>BOLLNÄS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34613-2024</t>
        </is>
      </c>
      <c r="B305" s="1" t="n">
        <v>45526.41092592593</v>
      </c>
      <c r="C305" s="1" t="n">
        <v>45931</v>
      </c>
      <c r="D305" t="inlineStr">
        <is>
          <t>GÄVLEBORGS LÄN</t>
        </is>
      </c>
      <c r="E305" t="inlineStr">
        <is>
          <t>BOLLNÄS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47701-2023</t>
        </is>
      </c>
      <c r="B306" s="1" t="n">
        <v>45203.64033564815</v>
      </c>
      <c r="C306" s="1" t="n">
        <v>45931</v>
      </c>
      <c r="D306" t="inlineStr">
        <is>
          <t>GÄVLEBORGS LÄN</t>
        </is>
      </c>
      <c r="E306" t="inlineStr">
        <is>
          <t>BOLLNÄS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43152-2023</t>
        </is>
      </c>
      <c r="B307" s="1" t="n">
        <v>45183.32864583333</v>
      </c>
      <c r="C307" s="1" t="n">
        <v>45931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46151-2024</t>
        </is>
      </c>
      <c r="B308" s="1" t="n">
        <v>45581.45340277778</v>
      </c>
      <c r="C308" s="1" t="n">
        <v>45931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58329-2024</t>
        </is>
      </c>
      <c r="B309" s="1" t="n">
        <v>45632.62980324074</v>
      </c>
      <c r="C309" s="1" t="n">
        <v>45931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61060-2023</t>
        </is>
      </c>
      <c r="B310" s="1" t="n">
        <v>45261.61160879629</v>
      </c>
      <c r="C310" s="1" t="n">
        <v>45931</v>
      </c>
      <c r="D310" t="inlineStr">
        <is>
          <t>GÄVLEBORGS LÄN</t>
        </is>
      </c>
      <c r="E310" t="inlineStr">
        <is>
          <t>BOLLNÄS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69620-2021</t>
        </is>
      </c>
      <c r="B311" s="1" t="n">
        <v>44532.40591435185</v>
      </c>
      <c r="C311" s="1" t="n">
        <v>45931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63865-2023</t>
        </is>
      </c>
      <c r="B312" s="1" t="n">
        <v>45278.50369212963</v>
      </c>
      <c r="C312" s="1" t="n">
        <v>45931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63868-2023</t>
        </is>
      </c>
      <c r="B313" s="1" t="n">
        <v>45278.50765046296</v>
      </c>
      <c r="C313" s="1" t="n">
        <v>45931</v>
      </c>
      <c r="D313" t="inlineStr">
        <is>
          <t>GÄVLEBORGS LÄN</t>
        </is>
      </c>
      <c r="E313" t="inlineStr">
        <is>
          <t>BOLLNÄS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23378-2022</t>
        </is>
      </c>
      <c r="B314" s="1" t="n">
        <v>44720</v>
      </c>
      <c r="C314" s="1" t="n">
        <v>45931</v>
      </c>
      <c r="D314" t="inlineStr">
        <is>
          <t>GÄVLEBORGS LÄN</t>
        </is>
      </c>
      <c r="E314" t="inlineStr">
        <is>
          <t>BOLLNÄS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24992-2024</t>
        </is>
      </c>
      <c r="B315" s="1" t="n">
        <v>45461</v>
      </c>
      <c r="C315" s="1" t="n">
        <v>45931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46383-2024</t>
        </is>
      </c>
      <c r="B316" s="1" t="n">
        <v>45582.39152777778</v>
      </c>
      <c r="C316" s="1" t="n">
        <v>45931</v>
      </c>
      <c r="D316" t="inlineStr">
        <is>
          <t>GÄVLEBORGS LÄN</t>
        </is>
      </c>
      <c r="E316" t="inlineStr">
        <is>
          <t>BOLLNÄS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23375-2024</t>
        </is>
      </c>
      <c r="B317" s="1" t="n">
        <v>45453.55662037037</v>
      </c>
      <c r="C317" s="1" t="n">
        <v>45931</v>
      </c>
      <c r="D317" t="inlineStr">
        <is>
          <t>GÄVLEBORGS LÄN</t>
        </is>
      </c>
      <c r="E317" t="inlineStr">
        <is>
          <t>BOLLNÄS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23809-2024</t>
        </is>
      </c>
      <c r="B318" s="1" t="n">
        <v>45455.44559027778</v>
      </c>
      <c r="C318" s="1" t="n">
        <v>45931</v>
      </c>
      <c r="D318" t="inlineStr">
        <is>
          <t>GÄVLEBORGS LÄN</t>
        </is>
      </c>
      <c r="E318" t="inlineStr">
        <is>
          <t>BOLLNÄS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29769-2023</t>
        </is>
      </c>
      <c r="B319" s="1" t="n">
        <v>45107</v>
      </c>
      <c r="C319" s="1" t="n">
        <v>45931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56208-2023</t>
        </is>
      </c>
      <c r="B320" s="1" t="n">
        <v>45240</v>
      </c>
      <c r="C320" s="1" t="n">
        <v>45931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30877-2023</t>
        </is>
      </c>
      <c r="B321" s="1" t="n">
        <v>45113.32282407407</v>
      </c>
      <c r="C321" s="1" t="n">
        <v>45931</v>
      </c>
      <c r="D321" t="inlineStr">
        <is>
          <t>GÄVLEBORGS LÄN</t>
        </is>
      </c>
      <c r="E321" t="inlineStr">
        <is>
          <t>BOLLNÄS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11006-2025</t>
        </is>
      </c>
      <c r="B322" s="1" t="n">
        <v>45723.44689814815</v>
      </c>
      <c r="C322" s="1" t="n">
        <v>45931</v>
      </c>
      <c r="D322" t="inlineStr">
        <is>
          <t>GÄVLEBORGS LÄN</t>
        </is>
      </c>
      <c r="E322" t="inlineStr">
        <is>
          <t>BOLLNÄS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48110-2022</t>
        </is>
      </c>
      <c r="B323" s="1" t="n">
        <v>44856.96982638889</v>
      </c>
      <c r="C323" s="1" t="n">
        <v>45931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51156-2023</t>
        </is>
      </c>
      <c r="B324" s="1" t="n">
        <v>45212</v>
      </c>
      <c r="C324" s="1" t="n">
        <v>45931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1996-2025</t>
        </is>
      </c>
      <c r="B325" s="1" t="n">
        <v>45672.4428125</v>
      </c>
      <c r="C325" s="1" t="n">
        <v>45931</v>
      </c>
      <c r="D325" t="inlineStr">
        <is>
          <t>GÄVLEBORGS LÄN</t>
        </is>
      </c>
      <c r="E325" t="inlineStr">
        <is>
          <t>BOLLNÄS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10486-2024</t>
        </is>
      </c>
      <c r="B326" s="1" t="n">
        <v>45366</v>
      </c>
      <c r="C326" s="1" t="n">
        <v>45931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23118-2024</t>
        </is>
      </c>
      <c r="B327" s="1" t="n">
        <v>45450</v>
      </c>
      <c r="C327" s="1" t="n">
        <v>45931</v>
      </c>
      <c r="D327" t="inlineStr">
        <is>
          <t>GÄVLEBORGS LÄN</t>
        </is>
      </c>
      <c r="E327" t="inlineStr">
        <is>
          <t>BOLLNÄS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37360-2024</t>
        </is>
      </c>
      <c r="B328" s="1" t="n">
        <v>45540</v>
      </c>
      <c r="C328" s="1" t="n">
        <v>45931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60884-2022</t>
        </is>
      </c>
      <c r="B329" s="1" t="n">
        <v>44914.56515046296</v>
      </c>
      <c r="C329" s="1" t="n">
        <v>45931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30224-2023</t>
        </is>
      </c>
      <c r="B330" s="1" t="n">
        <v>45110</v>
      </c>
      <c r="C330" s="1" t="n">
        <v>45931</v>
      </c>
      <c r="D330" t="inlineStr">
        <is>
          <t>GÄVLEBORGS LÄN</t>
        </is>
      </c>
      <c r="E330" t="inlineStr">
        <is>
          <t>BOLLNÄS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35073-2023</t>
        </is>
      </c>
      <c r="B331" s="1" t="n">
        <v>45145.42378472222</v>
      </c>
      <c r="C331" s="1" t="n">
        <v>45931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2348-2024</t>
        </is>
      </c>
      <c r="B332" s="1" t="n">
        <v>45310.5827662037</v>
      </c>
      <c r="C332" s="1" t="n">
        <v>45931</v>
      </c>
      <c r="D332" t="inlineStr">
        <is>
          <t>GÄVLEBORGS LÄN</t>
        </is>
      </c>
      <c r="E332" t="inlineStr">
        <is>
          <t>BOLLNÄS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38629-2025</t>
        </is>
      </c>
      <c r="B333" s="1" t="n">
        <v>45884.55987268518</v>
      </c>
      <c r="C333" s="1" t="n">
        <v>45931</v>
      </c>
      <c r="D333" t="inlineStr">
        <is>
          <t>GÄVLEBORGS LÄN</t>
        </is>
      </c>
      <c r="E333" t="inlineStr">
        <is>
          <t>BOLLNÄS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44682-2024</t>
        </is>
      </c>
      <c r="B334" s="1" t="n">
        <v>45574.54673611111</v>
      </c>
      <c r="C334" s="1" t="n">
        <v>45931</v>
      </c>
      <c r="D334" t="inlineStr">
        <is>
          <t>GÄVLEBORGS LÄN</t>
        </is>
      </c>
      <c r="E334" t="inlineStr">
        <is>
          <t>BOLLNÄS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40459-2024</t>
        </is>
      </c>
      <c r="B335" s="1" t="n">
        <v>45555.50454861111</v>
      </c>
      <c r="C335" s="1" t="n">
        <v>45931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57260-2023</t>
        </is>
      </c>
      <c r="B336" s="1" t="n">
        <v>45239</v>
      </c>
      <c r="C336" s="1" t="n">
        <v>45931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8308-2024</t>
        </is>
      </c>
      <c r="B337" s="1" t="n">
        <v>45352</v>
      </c>
      <c r="C337" s="1" t="n">
        <v>45931</v>
      </c>
      <c r="D337" t="inlineStr">
        <is>
          <t>GÄVLEBORGS LÄN</t>
        </is>
      </c>
      <c r="E337" t="inlineStr">
        <is>
          <t>BOLLNÄS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26038-2024</t>
        </is>
      </c>
      <c r="B338" s="1" t="n">
        <v>45468.26278935185</v>
      </c>
      <c r="C338" s="1" t="n">
        <v>45931</v>
      </c>
      <c r="D338" t="inlineStr">
        <is>
          <t>GÄVLEBORGS LÄN</t>
        </is>
      </c>
      <c r="E338" t="inlineStr">
        <is>
          <t>BOLLNÄS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57387-2024</t>
        </is>
      </c>
      <c r="B339" s="1" t="n">
        <v>45629.68421296297</v>
      </c>
      <c r="C339" s="1" t="n">
        <v>45931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53815-2022</t>
        </is>
      </c>
      <c r="B340" s="1" t="n">
        <v>44880</v>
      </c>
      <c r="C340" s="1" t="n">
        <v>45931</v>
      </c>
      <c r="D340" t="inlineStr">
        <is>
          <t>GÄVLEBORGS LÄN</t>
        </is>
      </c>
      <c r="E340" t="inlineStr">
        <is>
          <t>BOLLNÄS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27015-2024</t>
        </is>
      </c>
      <c r="B341" s="1" t="n">
        <v>45471.40547453704</v>
      </c>
      <c r="C341" s="1" t="n">
        <v>45931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9262-2024</t>
        </is>
      </c>
      <c r="B342" s="1" t="n">
        <v>45358.60657407407</v>
      </c>
      <c r="C342" s="1" t="n">
        <v>45931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22877-2024</t>
        </is>
      </c>
      <c r="B343" s="1" t="n">
        <v>45448.65388888889</v>
      </c>
      <c r="C343" s="1" t="n">
        <v>45931</v>
      </c>
      <c r="D343" t="inlineStr">
        <is>
          <t>GÄVLEBORGS LÄN</t>
        </is>
      </c>
      <c r="E343" t="inlineStr">
        <is>
          <t>BOLLNÄS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9697-2025</t>
        </is>
      </c>
      <c r="B344" s="1" t="n">
        <v>45716.37329861111</v>
      </c>
      <c r="C344" s="1" t="n">
        <v>45931</v>
      </c>
      <c r="D344" t="inlineStr">
        <is>
          <t>GÄVLEBORGS LÄN</t>
        </is>
      </c>
      <c r="E344" t="inlineStr">
        <is>
          <t>BOLLNÄS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29773-2023</t>
        </is>
      </c>
      <c r="B345" s="1" t="n">
        <v>45107.48931712963</v>
      </c>
      <c r="C345" s="1" t="n">
        <v>45931</v>
      </c>
      <c r="D345" t="inlineStr">
        <is>
          <t>GÄVLEBORGS LÄN</t>
        </is>
      </c>
      <c r="E345" t="inlineStr">
        <is>
          <t>BOLLNÄS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35181-2023</t>
        </is>
      </c>
      <c r="B346" s="1" t="n">
        <v>45145.59108796297</v>
      </c>
      <c r="C346" s="1" t="n">
        <v>45931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2611-2022</t>
        </is>
      </c>
      <c r="B347" s="1" t="n">
        <v>44580.4372337963</v>
      </c>
      <c r="C347" s="1" t="n">
        <v>45931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12166-2024</t>
        </is>
      </c>
      <c r="B348" s="1" t="n">
        <v>45377.8671412037</v>
      </c>
      <c r="C348" s="1" t="n">
        <v>45931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36061-2023</t>
        </is>
      </c>
      <c r="B349" s="1" t="n">
        <v>45149.46030092592</v>
      </c>
      <c r="C349" s="1" t="n">
        <v>45931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38937-2023</t>
        </is>
      </c>
      <c r="B350" s="1" t="n">
        <v>45163</v>
      </c>
      <c r="C350" s="1" t="n">
        <v>45931</v>
      </c>
      <c r="D350" t="inlineStr">
        <is>
          <t>GÄVLEBORGS LÄN</t>
        </is>
      </c>
      <c r="E350" t="inlineStr">
        <is>
          <t>BOLLNÄS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28793-2024</t>
        </is>
      </c>
      <c r="B351" s="1" t="n">
        <v>45478.61469907407</v>
      </c>
      <c r="C351" s="1" t="n">
        <v>45931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35857-2024</t>
        </is>
      </c>
      <c r="B352" s="1" t="n">
        <v>45533.32619212963</v>
      </c>
      <c r="C352" s="1" t="n">
        <v>45931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26126-2023</t>
        </is>
      </c>
      <c r="B353" s="1" t="n">
        <v>45091</v>
      </c>
      <c r="C353" s="1" t="n">
        <v>45931</v>
      </c>
      <c r="D353" t="inlineStr">
        <is>
          <t>GÄVLEBORGS LÄN</t>
        </is>
      </c>
      <c r="E353" t="inlineStr">
        <is>
          <t>BOLLNÄS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60743-2024</t>
        </is>
      </c>
      <c r="B354" s="1" t="n">
        <v>45644.55494212963</v>
      </c>
      <c r="C354" s="1" t="n">
        <v>45931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45629-2023</t>
        </is>
      </c>
      <c r="B355" s="1" t="n">
        <v>45194</v>
      </c>
      <c r="C355" s="1" t="n">
        <v>45931</v>
      </c>
      <c r="D355" t="inlineStr">
        <is>
          <t>GÄVLEBORGS LÄN</t>
        </is>
      </c>
      <c r="E355" t="inlineStr">
        <is>
          <t>BOLLNÄS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12853-2025</t>
        </is>
      </c>
      <c r="B356" s="1" t="n">
        <v>45733.65908564815</v>
      </c>
      <c r="C356" s="1" t="n">
        <v>45931</v>
      </c>
      <c r="D356" t="inlineStr">
        <is>
          <t>GÄVLEBORGS LÄN</t>
        </is>
      </c>
      <c r="E356" t="inlineStr">
        <is>
          <t>BOLLNÄS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59636-2024</t>
        </is>
      </c>
      <c r="B357" s="1" t="n">
        <v>45639.25746527778</v>
      </c>
      <c r="C357" s="1" t="n">
        <v>45931</v>
      </c>
      <c r="D357" t="inlineStr">
        <is>
          <t>GÄVLEBORGS LÄN</t>
        </is>
      </c>
      <c r="E357" t="inlineStr">
        <is>
          <t>BOLLNÄS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52613-2024</t>
        </is>
      </c>
      <c r="B358" s="1" t="n">
        <v>45609.84217592593</v>
      </c>
      <c r="C358" s="1" t="n">
        <v>45931</v>
      </c>
      <c r="D358" t="inlineStr">
        <is>
          <t>GÄVLEBORGS LÄN</t>
        </is>
      </c>
      <c r="E358" t="inlineStr">
        <is>
          <t>BOLLNÄS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5579-2022</t>
        </is>
      </c>
      <c r="B359" s="1" t="n">
        <v>44595</v>
      </c>
      <c r="C359" s="1" t="n">
        <v>45931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9692-2025</t>
        </is>
      </c>
      <c r="B360" s="1" t="n">
        <v>45716.36666666667</v>
      </c>
      <c r="C360" s="1" t="n">
        <v>45931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57378-2024</t>
        </is>
      </c>
      <c r="B361" s="1" t="n">
        <v>45629.67824074074</v>
      </c>
      <c r="C361" s="1" t="n">
        <v>45931</v>
      </c>
      <c r="D361" t="inlineStr">
        <is>
          <t>GÄVLEBORGS LÄN</t>
        </is>
      </c>
      <c r="E361" t="inlineStr">
        <is>
          <t>BOLLNÄS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35200-2024</t>
        </is>
      </c>
      <c r="B362" s="1" t="n">
        <v>45530.47582175926</v>
      </c>
      <c r="C362" s="1" t="n">
        <v>45931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31574-2024</t>
        </is>
      </c>
      <c r="B363" s="1" t="n">
        <v>45506.34412037037</v>
      </c>
      <c r="C363" s="1" t="n">
        <v>45931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38936-2024</t>
        </is>
      </c>
      <c r="B364" s="1" t="n">
        <v>45548</v>
      </c>
      <c r="C364" s="1" t="n">
        <v>45931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38251-2025</t>
        </is>
      </c>
      <c r="B365" s="1" t="n">
        <v>45883.375</v>
      </c>
      <c r="C365" s="1" t="n">
        <v>45931</v>
      </c>
      <c r="D365" t="inlineStr">
        <is>
          <t>GÄVLEBORGS LÄN</t>
        </is>
      </c>
      <c r="E365" t="inlineStr">
        <is>
          <t>BOLLNÄS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27732-2024</t>
        </is>
      </c>
      <c r="B366" s="1" t="n">
        <v>45475.43817129629</v>
      </c>
      <c r="C366" s="1" t="n">
        <v>45931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36058-2023</t>
        </is>
      </c>
      <c r="B367" s="1" t="n">
        <v>45149</v>
      </c>
      <c r="C367" s="1" t="n">
        <v>45931</v>
      </c>
      <c r="D367" t="inlineStr">
        <is>
          <t>GÄVLEBORGS LÄN</t>
        </is>
      </c>
      <c r="E367" t="inlineStr">
        <is>
          <t>BOLLNÄS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31922-2024</t>
        </is>
      </c>
      <c r="B368" s="1" t="n">
        <v>45510.39796296296</v>
      </c>
      <c r="C368" s="1" t="n">
        <v>45931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60491-2023</t>
        </is>
      </c>
      <c r="B369" s="1" t="n">
        <v>45258</v>
      </c>
      <c r="C369" s="1" t="n">
        <v>45931</v>
      </c>
      <c r="D369" t="inlineStr">
        <is>
          <t>GÄVLEBORGS LÄN</t>
        </is>
      </c>
      <c r="E369" t="inlineStr">
        <is>
          <t>BOLLNÄS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58877-2024</t>
        </is>
      </c>
      <c r="B370" s="1" t="n">
        <v>45636.44435185185</v>
      </c>
      <c r="C370" s="1" t="n">
        <v>45931</v>
      </c>
      <c r="D370" t="inlineStr">
        <is>
          <t>GÄVLEBORGS LÄN</t>
        </is>
      </c>
      <c r="E370" t="inlineStr">
        <is>
          <t>BOLLNÄS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71678-2021</t>
        </is>
      </c>
      <c r="B371" s="1" t="n">
        <v>44543.40311342593</v>
      </c>
      <c r="C371" s="1" t="n">
        <v>45931</v>
      </c>
      <c r="D371" t="inlineStr">
        <is>
          <t>GÄVLEBORGS LÄN</t>
        </is>
      </c>
      <c r="E371" t="inlineStr">
        <is>
          <t>BOLLNÄS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27152-2024</t>
        </is>
      </c>
      <c r="B372" s="1" t="n">
        <v>45471.56072916667</v>
      </c>
      <c r="C372" s="1" t="n">
        <v>45931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2885-2023</t>
        </is>
      </c>
      <c r="B373" s="1" t="n">
        <v>44945</v>
      </c>
      <c r="C373" s="1" t="n">
        <v>45931</v>
      </c>
      <c r="D373" t="inlineStr">
        <is>
          <t>GÄVLEBORGS LÄN</t>
        </is>
      </c>
      <c r="E373" t="inlineStr">
        <is>
          <t>BOLLNÄS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59360-2024</t>
        </is>
      </c>
      <c r="B374" s="1" t="n">
        <v>45638.32483796297</v>
      </c>
      <c r="C374" s="1" t="n">
        <v>45931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12454-2023</t>
        </is>
      </c>
      <c r="B375" s="1" t="n">
        <v>44999.58185185185</v>
      </c>
      <c r="C375" s="1" t="n">
        <v>45931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30067-2023</t>
        </is>
      </c>
      <c r="B376" s="1" t="n">
        <v>45110.42435185185</v>
      </c>
      <c r="C376" s="1" t="n">
        <v>45931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54945-2022</t>
        </is>
      </c>
      <c r="B377" s="1" t="n">
        <v>44886.46003472222</v>
      </c>
      <c r="C377" s="1" t="n">
        <v>45931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30792-2024</t>
        </is>
      </c>
      <c r="B378" s="1" t="n">
        <v>45497.28164351852</v>
      </c>
      <c r="C378" s="1" t="n">
        <v>45931</v>
      </c>
      <c r="D378" t="inlineStr">
        <is>
          <t>GÄVLEBORGS LÄN</t>
        </is>
      </c>
      <c r="E378" t="inlineStr">
        <is>
          <t>BOLLNÄS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30793-2024</t>
        </is>
      </c>
      <c r="B379" s="1" t="n">
        <v>45497.28234953704</v>
      </c>
      <c r="C379" s="1" t="n">
        <v>45931</v>
      </c>
      <c r="D379" t="inlineStr">
        <is>
          <t>GÄVLEBORGS LÄN</t>
        </is>
      </c>
      <c r="E379" t="inlineStr">
        <is>
          <t>BOLLNÄS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20710-2025</t>
        </is>
      </c>
      <c r="B380" s="1" t="n">
        <v>45776.48524305555</v>
      </c>
      <c r="C380" s="1" t="n">
        <v>45931</v>
      </c>
      <c r="D380" t="inlineStr">
        <is>
          <t>GÄVLEBORGS LÄN</t>
        </is>
      </c>
      <c r="E380" t="inlineStr">
        <is>
          <t>BOLLNÄS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25177-2023</t>
        </is>
      </c>
      <c r="B381" s="1" t="n">
        <v>45086.51684027778</v>
      </c>
      <c r="C381" s="1" t="n">
        <v>45931</v>
      </c>
      <c r="D381" t="inlineStr">
        <is>
          <t>GÄVLEBORGS LÄN</t>
        </is>
      </c>
      <c r="E381" t="inlineStr">
        <is>
          <t>BOLLNÄS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29723-2024</t>
        </is>
      </c>
      <c r="B382" s="1" t="n">
        <v>45485.36784722222</v>
      </c>
      <c r="C382" s="1" t="n">
        <v>45931</v>
      </c>
      <c r="D382" t="inlineStr">
        <is>
          <t>GÄVLEBORGS LÄN</t>
        </is>
      </c>
      <c r="E382" t="inlineStr">
        <is>
          <t>BOLLNÄS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5262-2025</t>
        </is>
      </c>
      <c r="B383" s="1" t="n">
        <v>45692.37174768518</v>
      </c>
      <c r="C383" s="1" t="n">
        <v>45931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öst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24994-2024</t>
        </is>
      </c>
      <c r="B384" s="1" t="n">
        <v>45461</v>
      </c>
      <c r="C384" s="1" t="n">
        <v>45931</v>
      </c>
      <c r="D384" t="inlineStr">
        <is>
          <t>GÄVLEBORGS LÄN</t>
        </is>
      </c>
      <c r="E384" t="inlineStr">
        <is>
          <t>BOLLNÄS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31610-2024</t>
        </is>
      </c>
      <c r="B385" s="1" t="n">
        <v>45506.43253472223</v>
      </c>
      <c r="C385" s="1" t="n">
        <v>45931</v>
      </c>
      <c r="D385" t="inlineStr">
        <is>
          <t>GÄVLEBORGS LÄN</t>
        </is>
      </c>
      <c r="E385" t="inlineStr">
        <is>
          <t>BOLLNÄS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54969-2020</t>
        </is>
      </c>
      <c r="B386" s="1" t="n">
        <v>44130</v>
      </c>
      <c r="C386" s="1" t="n">
        <v>45931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60428-2024</t>
        </is>
      </c>
      <c r="B387" s="1" t="n">
        <v>45643</v>
      </c>
      <c r="C387" s="1" t="n">
        <v>45931</v>
      </c>
      <c r="D387" t="inlineStr">
        <is>
          <t>GÄVLEBORGS LÄN</t>
        </is>
      </c>
      <c r="E387" t="inlineStr">
        <is>
          <t>BOLLNÄS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28810-2024</t>
        </is>
      </c>
      <c r="B388" s="1" t="n">
        <v>45478.63699074074</v>
      </c>
      <c r="C388" s="1" t="n">
        <v>45931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30187-2024</t>
        </is>
      </c>
      <c r="B389" s="1" t="n">
        <v>45490.27436342592</v>
      </c>
      <c r="C389" s="1" t="n">
        <v>45931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46724-2024</t>
        </is>
      </c>
      <c r="B390" s="1" t="n">
        <v>45583.46032407408</v>
      </c>
      <c r="C390" s="1" t="n">
        <v>45931</v>
      </c>
      <c r="D390" t="inlineStr">
        <is>
          <t>GÄVLEBORGS LÄN</t>
        </is>
      </c>
      <c r="E390" t="inlineStr">
        <is>
          <t>BOLLNÄS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18614-2023</t>
        </is>
      </c>
      <c r="B391" s="1" t="n">
        <v>45043</v>
      </c>
      <c r="C391" s="1" t="n">
        <v>45931</v>
      </c>
      <c r="D391" t="inlineStr">
        <is>
          <t>GÄVLEBORGS LÄN</t>
        </is>
      </c>
      <c r="E391" t="inlineStr">
        <is>
          <t>BOLLNÄS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68516-2021</t>
        </is>
      </c>
      <c r="B392" s="1" t="n">
        <v>44526</v>
      </c>
      <c r="C392" s="1" t="n">
        <v>45931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20705-2025</t>
        </is>
      </c>
      <c r="B393" s="1" t="n">
        <v>45776.48304398148</v>
      </c>
      <c r="C393" s="1" t="n">
        <v>45931</v>
      </c>
      <c r="D393" t="inlineStr">
        <is>
          <t>GÄVLEBORGS LÄN</t>
        </is>
      </c>
      <c r="E393" t="inlineStr">
        <is>
          <t>BOLLNÄS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38762-2025</t>
        </is>
      </c>
      <c r="B394" s="1" t="n">
        <v>45887</v>
      </c>
      <c r="C394" s="1" t="n">
        <v>45931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38769-2025</t>
        </is>
      </c>
      <c r="B395" s="1" t="n">
        <v>45887.41712962963</v>
      </c>
      <c r="C395" s="1" t="n">
        <v>45931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38770-2025</t>
        </is>
      </c>
      <c r="B396" s="1" t="n">
        <v>45887.41885416667</v>
      </c>
      <c r="C396" s="1" t="n">
        <v>45931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22010-2024</t>
        </is>
      </c>
      <c r="B397" s="1" t="n">
        <v>45443.57775462963</v>
      </c>
      <c r="C397" s="1" t="n">
        <v>45931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26922-2024</t>
        </is>
      </c>
      <c r="B398" s="1" t="n">
        <v>45470.93087962963</v>
      </c>
      <c r="C398" s="1" t="n">
        <v>45931</v>
      </c>
      <c r="D398" t="inlineStr">
        <is>
          <t>GÄVLEBORGS LÄN</t>
        </is>
      </c>
      <c r="E398" t="inlineStr">
        <is>
          <t>BOLLNÄS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54949-2022</t>
        </is>
      </c>
      <c r="B399" s="1" t="n">
        <v>44886.469375</v>
      </c>
      <c r="C399" s="1" t="n">
        <v>45931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20876-2024</t>
        </is>
      </c>
      <c r="B400" s="1" t="n">
        <v>45439.44590277778</v>
      </c>
      <c r="C400" s="1" t="n">
        <v>45931</v>
      </c>
      <c r="D400" t="inlineStr">
        <is>
          <t>GÄVLEBORGS LÄN</t>
        </is>
      </c>
      <c r="E400" t="inlineStr">
        <is>
          <t>BOLLNÄS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58748-2024</t>
        </is>
      </c>
      <c r="B401" s="1" t="n">
        <v>45635.71362268519</v>
      </c>
      <c r="C401" s="1" t="n">
        <v>45931</v>
      </c>
      <c r="D401" t="inlineStr">
        <is>
          <t>GÄVLEBORGS LÄN</t>
        </is>
      </c>
      <c r="E401" t="inlineStr">
        <is>
          <t>BOLLNÄS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46883-2025</t>
        </is>
      </c>
      <c r="B402" s="1" t="n">
        <v>45929.36471064815</v>
      </c>
      <c r="C402" s="1" t="n">
        <v>45931</v>
      </c>
      <c r="D402" t="inlineStr">
        <is>
          <t>GÄVLEBORGS LÄN</t>
        </is>
      </c>
      <c r="E402" t="inlineStr">
        <is>
          <t>BOLLNÄS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47000-2025</t>
        </is>
      </c>
      <c r="B403" s="1" t="n">
        <v>45929.54972222223</v>
      </c>
      <c r="C403" s="1" t="n">
        <v>45931</v>
      </c>
      <c r="D403" t="inlineStr">
        <is>
          <t>GÄVLEBORGS LÄN</t>
        </is>
      </c>
      <c r="E403" t="inlineStr">
        <is>
          <t>BOLLNÄS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45823-2025</t>
        </is>
      </c>
      <c r="B404" s="1" t="n">
        <v>45923</v>
      </c>
      <c r="C404" s="1" t="n">
        <v>45931</v>
      </c>
      <c r="D404" t="inlineStr">
        <is>
          <t>GÄVLEBORGS LÄN</t>
        </is>
      </c>
      <c r="E404" t="inlineStr">
        <is>
          <t>BOLLNÄS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44205-2025</t>
        </is>
      </c>
      <c r="B405" s="1" t="n">
        <v>45915</v>
      </c>
      <c r="C405" s="1" t="n">
        <v>45931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69613-2021</t>
        </is>
      </c>
      <c r="B406" s="1" t="n">
        <v>44532</v>
      </c>
      <c r="C406" s="1" t="n">
        <v>45931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21562-2025</t>
        </is>
      </c>
      <c r="B407" s="1" t="n">
        <v>45782.69534722222</v>
      </c>
      <c r="C407" s="1" t="n">
        <v>45931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69378-2021</t>
        </is>
      </c>
      <c r="B408" s="1" t="n">
        <v>44531.56668981481</v>
      </c>
      <c r="C408" s="1" t="n">
        <v>45931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47315-2025</t>
        </is>
      </c>
      <c r="B409" s="1" t="n">
        <v>45930.54961805556</v>
      </c>
      <c r="C409" s="1" t="n">
        <v>45931</v>
      </c>
      <c r="D409" t="inlineStr">
        <is>
          <t>GÄVLEBORGS LÄN</t>
        </is>
      </c>
      <c r="E409" t="inlineStr">
        <is>
          <t>BOLLNÄS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21393-2025</t>
        </is>
      </c>
      <c r="B410" s="1" t="n">
        <v>45782.48126157407</v>
      </c>
      <c r="C410" s="1" t="n">
        <v>45931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39165-2025</t>
        </is>
      </c>
      <c r="B411" s="1" t="n">
        <v>45888.63737268518</v>
      </c>
      <c r="C411" s="1" t="n">
        <v>45931</v>
      </c>
      <c r="D411" t="inlineStr">
        <is>
          <t>GÄVLEBORGS LÄN</t>
        </is>
      </c>
      <c r="E411" t="inlineStr">
        <is>
          <t>BOLLNÄS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60956-2022</t>
        </is>
      </c>
      <c r="B412" s="1" t="n">
        <v>44914</v>
      </c>
      <c r="C412" s="1" t="n">
        <v>45931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56151-2020</t>
        </is>
      </c>
      <c r="B413" s="1" t="n">
        <v>44133</v>
      </c>
      <c r="C413" s="1" t="n">
        <v>45931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38902-2025</t>
        </is>
      </c>
      <c r="B414" s="1" t="n">
        <v>45887.60680555556</v>
      </c>
      <c r="C414" s="1" t="n">
        <v>45931</v>
      </c>
      <c r="D414" t="inlineStr">
        <is>
          <t>GÄVLEBORGS LÄN</t>
        </is>
      </c>
      <c r="E414" t="inlineStr">
        <is>
          <t>BOLLNÄS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21352-2025</t>
        </is>
      </c>
      <c r="B415" s="1" t="n">
        <v>45782.41087962963</v>
      </c>
      <c r="C415" s="1" t="n">
        <v>45931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14857-2022</t>
        </is>
      </c>
      <c r="B416" s="1" t="n">
        <v>44656.65101851852</v>
      </c>
      <c r="C416" s="1" t="n">
        <v>45931</v>
      </c>
      <c r="D416" t="inlineStr">
        <is>
          <t>GÄVLEBORGS LÄN</t>
        </is>
      </c>
      <c r="E416" t="inlineStr">
        <is>
          <t>BOLLNÄS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45820-2025</t>
        </is>
      </c>
      <c r="B417" s="1" t="n">
        <v>45923</v>
      </c>
      <c r="C417" s="1" t="n">
        <v>45931</v>
      </c>
      <c r="D417" t="inlineStr">
        <is>
          <t>GÄVLEBORGS LÄN</t>
        </is>
      </c>
      <c r="E417" t="inlineStr">
        <is>
          <t>BOLLNÄS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24742-2024</t>
        </is>
      </c>
      <c r="B418" s="1" t="n">
        <v>45460.66289351852</v>
      </c>
      <c r="C418" s="1" t="n">
        <v>45931</v>
      </c>
      <c r="D418" t="inlineStr">
        <is>
          <t>GÄVLEBORGS LÄN</t>
        </is>
      </c>
      <c r="E418" t="inlineStr">
        <is>
          <t>BOLLNÄS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44211-2025</t>
        </is>
      </c>
      <c r="B419" s="1" t="n">
        <v>45915</v>
      </c>
      <c r="C419" s="1" t="n">
        <v>45931</v>
      </c>
      <c r="D419" t="inlineStr">
        <is>
          <t>GÄVLEBORGS LÄN</t>
        </is>
      </c>
      <c r="E419" t="inlineStr">
        <is>
          <t>BOLLNÄS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47108-2025</t>
        </is>
      </c>
      <c r="B420" s="1" t="n">
        <v>45929.66302083333</v>
      </c>
      <c r="C420" s="1" t="n">
        <v>45931</v>
      </c>
      <c r="D420" t="inlineStr">
        <is>
          <t>GÄVLEBORGS LÄN</t>
        </is>
      </c>
      <c r="E420" t="inlineStr">
        <is>
          <t>BOLLNÄS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23365-2024</t>
        </is>
      </c>
      <c r="B421" s="1" t="n">
        <v>45453.54730324074</v>
      </c>
      <c r="C421" s="1" t="n">
        <v>45931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38764-2025</t>
        </is>
      </c>
      <c r="B422" s="1" t="n">
        <v>45887.40658564815</v>
      </c>
      <c r="C422" s="1" t="n">
        <v>45931</v>
      </c>
      <c r="D422" t="inlineStr">
        <is>
          <t>GÄVLEBORGS LÄN</t>
        </is>
      </c>
      <c r="E422" t="inlineStr">
        <is>
          <t>BOLLNÄS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38907-2025</t>
        </is>
      </c>
      <c r="B423" s="1" t="n">
        <v>45887.60866898148</v>
      </c>
      <c r="C423" s="1" t="n">
        <v>45931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19135-2024</t>
        </is>
      </c>
      <c r="B424" s="1" t="n">
        <v>45428</v>
      </c>
      <c r="C424" s="1" t="n">
        <v>45931</v>
      </c>
      <c r="D424" t="inlineStr">
        <is>
          <t>GÄVLEBORGS LÄN</t>
        </is>
      </c>
      <c r="E424" t="inlineStr">
        <is>
          <t>BOLLNÄS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59754-2020</t>
        </is>
      </c>
      <c r="B425" s="1" t="n">
        <v>44151</v>
      </c>
      <c r="C425" s="1" t="n">
        <v>45931</v>
      </c>
      <c r="D425" t="inlineStr">
        <is>
          <t>GÄVLEBORGS LÄN</t>
        </is>
      </c>
      <c r="E425" t="inlineStr">
        <is>
          <t>BOLLNÄS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31023-2024</t>
        </is>
      </c>
      <c r="B426" s="1" t="n">
        <v>45500.43938657407</v>
      </c>
      <c r="C426" s="1" t="n">
        <v>45931</v>
      </c>
      <c r="D426" t="inlineStr">
        <is>
          <t>GÄVLEBORGS LÄN</t>
        </is>
      </c>
      <c r="E426" t="inlineStr">
        <is>
          <t>BOLLNÄS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40160-2025</t>
        </is>
      </c>
      <c r="B427" s="1" t="n">
        <v>45894</v>
      </c>
      <c r="C427" s="1" t="n">
        <v>45931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35067-2023</t>
        </is>
      </c>
      <c r="B428" s="1" t="n">
        <v>45145.41471064815</v>
      </c>
      <c r="C428" s="1" t="n">
        <v>45931</v>
      </c>
      <c r="D428" t="inlineStr">
        <is>
          <t>GÄVLEBORGS LÄN</t>
        </is>
      </c>
      <c r="E428" t="inlineStr">
        <is>
          <t>BOLLNÄS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45838-2025</t>
        </is>
      </c>
      <c r="B429" s="1" t="n">
        <v>45923</v>
      </c>
      <c r="C429" s="1" t="n">
        <v>45931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45949-2025</t>
        </is>
      </c>
      <c r="B430" s="1" t="n">
        <v>45924</v>
      </c>
      <c r="C430" s="1" t="n">
        <v>45931</v>
      </c>
      <c r="D430" t="inlineStr">
        <is>
          <t>GÄVLEBORGS LÄN</t>
        </is>
      </c>
      <c r="E430" t="inlineStr">
        <is>
          <t>BOLLNÄS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45830-2025</t>
        </is>
      </c>
      <c r="B431" s="1" t="n">
        <v>45923</v>
      </c>
      <c r="C431" s="1" t="n">
        <v>45931</v>
      </c>
      <c r="D431" t="inlineStr">
        <is>
          <t>GÄVLEBORGS LÄN</t>
        </is>
      </c>
      <c r="E431" t="inlineStr">
        <is>
          <t>BOLLNÄS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45832-2025</t>
        </is>
      </c>
      <c r="B432" s="1" t="n">
        <v>45923</v>
      </c>
      <c r="C432" s="1" t="n">
        <v>45931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20224-2024</t>
        </is>
      </c>
      <c r="B433" s="1" t="n">
        <v>45434.70263888889</v>
      </c>
      <c r="C433" s="1" t="n">
        <v>45931</v>
      </c>
      <c r="D433" t="inlineStr">
        <is>
          <t>GÄVLEBORGS LÄN</t>
        </is>
      </c>
      <c r="E433" t="inlineStr">
        <is>
          <t>BOLLNÄS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46800-2024</t>
        </is>
      </c>
      <c r="B434" s="1" t="n">
        <v>45583.54946759259</v>
      </c>
      <c r="C434" s="1" t="n">
        <v>45931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42579-2024</t>
        </is>
      </c>
      <c r="B435" s="1" t="n">
        <v>45565.65407407407</v>
      </c>
      <c r="C435" s="1" t="n">
        <v>45931</v>
      </c>
      <c r="D435" t="inlineStr">
        <is>
          <t>GÄVLEBORGS LÄN</t>
        </is>
      </c>
      <c r="E435" t="inlineStr">
        <is>
          <t>BOLLNÄS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42580-2024</t>
        </is>
      </c>
      <c r="B436" s="1" t="n">
        <v>45565.65543981481</v>
      </c>
      <c r="C436" s="1" t="n">
        <v>45931</v>
      </c>
      <c r="D436" t="inlineStr">
        <is>
          <t>GÄVLEBORGS LÄN</t>
        </is>
      </c>
      <c r="E436" t="inlineStr">
        <is>
          <t>BOLLNÄS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40520-2024</t>
        </is>
      </c>
      <c r="B437" s="1" t="n">
        <v>45555.5937962963</v>
      </c>
      <c r="C437" s="1" t="n">
        <v>45931</v>
      </c>
      <c r="D437" t="inlineStr">
        <is>
          <t>GÄVLEBORGS LÄN</t>
        </is>
      </c>
      <c r="E437" t="inlineStr">
        <is>
          <t>BOLLNÄS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21873-2025</t>
        </is>
      </c>
      <c r="B438" s="1" t="n">
        <v>45784.38891203704</v>
      </c>
      <c r="C438" s="1" t="n">
        <v>45931</v>
      </c>
      <c r="D438" t="inlineStr">
        <is>
          <t>GÄVLEBORGS LÄN</t>
        </is>
      </c>
      <c r="E438" t="inlineStr">
        <is>
          <t>BOLLNÄS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46799-2024</t>
        </is>
      </c>
      <c r="B439" s="1" t="n">
        <v>45583.54844907407</v>
      </c>
      <c r="C439" s="1" t="n">
        <v>45931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23335-2024</t>
        </is>
      </c>
      <c r="B440" s="1" t="n">
        <v>45453</v>
      </c>
      <c r="C440" s="1" t="n">
        <v>45931</v>
      </c>
      <c r="D440" t="inlineStr">
        <is>
          <t>GÄVLEBORGS LÄN</t>
        </is>
      </c>
      <c r="E440" t="inlineStr">
        <is>
          <t>BOLLNÄS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45782-2024</t>
        </is>
      </c>
      <c r="B441" s="1" t="n">
        <v>45579.66521990741</v>
      </c>
      <c r="C441" s="1" t="n">
        <v>45931</v>
      </c>
      <c r="D441" t="inlineStr">
        <is>
          <t>GÄVLEBORGS LÄN</t>
        </is>
      </c>
      <c r="E441" t="inlineStr">
        <is>
          <t>BOLLNÄS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44209-2025</t>
        </is>
      </c>
      <c r="B442" s="1" t="n">
        <v>45915</v>
      </c>
      <c r="C442" s="1" t="n">
        <v>45931</v>
      </c>
      <c r="D442" t="inlineStr">
        <is>
          <t>GÄVLEBORGS LÄN</t>
        </is>
      </c>
      <c r="E442" t="inlineStr">
        <is>
          <t>BOLLNÄS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44628-2025</t>
        </is>
      </c>
      <c r="B443" s="1" t="n">
        <v>45917</v>
      </c>
      <c r="C443" s="1" t="n">
        <v>45931</v>
      </c>
      <c r="D443" t="inlineStr">
        <is>
          <t>GÄVLEBORGS LÄN</t>
        </is>
      </c>
      <c r="E443" t="inlineStr">
        <is>
          <t>BOLLNÄS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48270-2024</t>
        </is>
      </c>
      <c r="B444" s="1" t="n">
        <v>45590.4315162037</v>
      </c>
      <c r="C444" s="1" t="n">
        <v>45931</v>
      </c>
      <c r="D444" t="inlineStr">
        <is>
          <t>GÄVLEBORGS LÄN</t>
        </is>
      </c>
      <c r="E444" t="inlineStr">
        <is>
          <t>BOLLNÄS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28083-2024</t>
        </is>
      </c>
      <c r="B445" s="1" t="n">
        <v>45476.59189814814</v>
      </c>
      <c r="C445" s="1" t="n">
        <v>45931</v>
      </c>
      <c r="D445" t="inlineStr">
        <is>
          <t>GÄVLEBORGS LÄN</t>
        </is>
      </c>
      <c r="E445" t="inlineStr">
        <is>
          <t>BOLLNÄS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47061-2025</t>
        </is>
      </c>
      <c r="B446" s="1" t="n">
        <v>45929.62881944444</v>
      </c>
      <c r="C446" s="1" t="n">
        <v>45931</v>
      </c>
      <c r="D446" t="inlineStr">
        <is>
          <t>GÄVLEBORGS LÄN</t>
        </is>
      </c>
      <c r="E446" t="inlineStr">
        <is>
          <t>BOLLNÄS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17776-2025</t>
        </is>
      </c>
      <c r="B447" s="1" t="n">
        <v>45758.52517361111</v>
      </c>
      <c r="C447" s="1" t="n">
        <v>45931</v>
      </c>
      <c r="D447" t="inlineStr">
        <is>
          <t>GÄVLEBORGS LÄN</t>
        </is>
      </c>
      <c r="E447" t="inlineStr">
        <is>
          <t>BOLLNÄS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2932-2024</t>
        </is>
      </c>
      <c r="B448" s="1" t="n">
        <v>45315.59603009259</v>
      </c>
      <c r="C448" s="1" t="n">
        <v>45931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38747-2025</t>
        </is>
      </c>
      <c r="B449" s="1" t="n">
        <v>45887.38575231482</v>
      </c>
      <c r="C449" s="1" t="n">
        <v>45931</v>
      </c>
      <c r="D449" t="inlineStr">
        <is>
          <t>GÄVLEBORGS LÄN</t>
        </is>
      </c>
      <c r="E449" t="inlineStr">
        <is>
          <t>BOLLNÄS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43750-2023</t>
        </is>
      </c>
      <c r="B450" s="1" t="n">
        <v>45187</v>
      </c>
      <c r="C450" s="1" t="n">
        <v>45931</v>
      </c>
      <c r="D450" t="inlineStr">
        <is>
          <t>GÄVLEBORGS LÄN</t>
        </is>
      </c>
      <c r="E450" t="inlineStr">
        <is>
          <t>BOLLNÄS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46841-2025</t>
        </is>
      </c>
      <c r="B451" s="1" t="n">
        <v>45928.51072916666</v>
      </c>
      <c r="C451" s="1" t="n">
        <v>45931</v>
      </c>
      <c r="D451" t="inlineStr">
        <is>
          <t>GÄVLEBORGS LÄN</t>
        </is>
      </c>
      <c r="E451" t="inlineStr">
        <is>
          <t>BOLLNÄS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10483-2024</t>
        </is>
      </c>
      <c r="B452" s="1" t="n">
        <v>45366</v>
      </c>
      <c r="C452" s="1" t="n">
        <v>45931</v>
      </c>
      <c r="D452" t="inlineStr">
        <is>
          <t>GÄVLEBORGS LÄN</t>
        </is>
      </c>
      <c r="E452" t="inlineStr">
        <is>
          <t>BOLLNÄS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41670-2024</t>
        </is>
      </c>
      <c r="B453" s="1" t="n">
        <v>45560.65509259259</v>
      </c>
      <c r="C453" s="1" t="n">
        <v>45931</v>
      </c>
      <c r="D453" t="inlineStr">
        <is>
          <t>GÄVLEBORGS LÄN</t>
        </is>
      </c>
      <c r="E453" t="inlineStr">
        <is>
          <t>BOLLNÄS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45951-2025</t>
        </is>
      </c>
      <c r="B454" s="1" t="n">
        <v>45924</v>
      </c>
      <c r="C454" s="1" t="n">
        <v>45931</v>
      </c>
      <c r="D454" t="inlineStr">
        <is>
          <t>GÄVLEBORGS LÄN</t>
        </is>
      </c>
      <c r="E454" t="inlineStr">
        <is>
          <t>BOLLNÄS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44158-2025</t>
        </is>
      </c>
      <c r="B455" s="1" t="n">
        <v>45915</v>
      </c>
      <c r="C455" s="1" t="n">
        <v>45931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44162-2025</t>
        </is>
      </c>
      <c r="B456" s="1" t="n">
        <v>45915</v>
      </c>
      <c r="C456" s="1" t="n">
        <v>45931</v>
      </c>
      <c r="D456" t="inlineStr">
        <is>
          <t>GÄVLEBORGS LÄN</t>
        </is>
      </c>
      <c r="E456" t="inlineStr">
        <is>
          <t>BOLLNÄS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56229-2024</t>
        </is>
      </c>
      <c r="B457" s="1" t="n">
        <v>45624.61965277778</v>
      </c>
      <c r="C457" s="1" t="n">
        <v>45931</v>
      </c>
      <c r="D457" t="inlineStr">
        <is>
          <t>GÄVLEBORGS LÄN</t>
        </is>
      </c>
      <c r="E457" t="inlineStr">
        <is>
          <t>BOLLNÄS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52748-2024</t>
        </is>
      </c>
      <c r="B458" s="1" t="n">
        <v>45610.48736111111</v>
      </c>
      <c r="C458" s="1" t="n">
        <v>45931</v>
      </c>
      <c r="D458" t="inlineStr">
        <is>
          <t>GÄVLEBORGS LÄN</t>
        </is>
      </c>
      <c r="E458" t="inlineStr">
        <is>
          <t>BOLLNÄS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19144-2024</t>
        </is>
      </c>
      <c r="B459" s="1" t="n">
        <v>45428</v>
      </c>
      <c r="C459" s="1" t="n">
        <v>45931</v>
      </c>
      <c r="D459" t="inlineStr">
        <is>
          <t>GÄVLEBORGS LÄN</t>
        </is>
      </c>
      <c r="E459" t="inlineStr">
        <is>
          <t>BOLLNÄS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27788-2024</t>
        </is>
      </c>
      <c r="B460" s="1" t="n">
        <v>45475.54844907407</v>
      </c>
      <c r="C460" s="1" t="n">
        <v>45931</v>
      </c>
      <c r="D460" t="inlineStr">
        <is>
          <t>GÄVLEBORGS LÄN</t>
        </is>
      </c>
      <c r="E460" t="inlineStr">
        <is>
          <t>BOLLNÄS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60335-2022</t>
        </is>
      </c>
      <c r="B461" s="1" t="n">
        <v>44910.60543981481</v>
      </c>
      <c r="C461" s="1" t="n">
        <v>45931</v>
      </c>
      <c r="D461" t="inlineStr">
        <is>
          <t>GÄVLEBORGS LÄN</t>
        </is>
      </c>
      <c r="E461" t="inlineStr">
        <is>
          <t>BOLLNÄS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38556-2021</t>
        </is>
      </c>
      <c r="B462" s="1" t="n">
        <v>44407</v>
      </c>
      <c r="C462" s="1" t="n">
        <v>45931</v>
      </c>
      <c r="D462" t="inlineStr">
        <is>
          <t>GÄVLEBORGS LÄN</t>
        </is>
      </c>
      <c r="E462" t="inlineStr">
        <is>
          <t>BOLLNÄS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44344-2024</t>
        </is>
      </c>
      <c r="B463" s="1" t="n">
        <v>45573.62100694444</v>
      </c>
      <c r="C463" s="1" t="n">
        <v>45931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5691-2022</t>
        </is>
      </c>
      <c r="B464" s="1" t="n">
        <v>44596</v>
      </c>
      <c r="C464" s="1" t="n">
        <v>45931</v>
      </c>
      <c r="D464" t="inlineStr">
        <is>
          <t>GÄVLEBORGS LÄN</t>
        </is>
      </c>
      <c r="E464" t="inlineStr">
        <is>
          <t>BOLLNÄS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22134-2025</t>
        </is>
      </c>
      <c r="B465" s="1" t="n">
        <v>45785.54400462963</v>
      </c>
      <c r="C465" s="1" t="n">
        <v>45931</v>
      </c>
      <c r="D465" t="inlineStr">
        <is>
          <t>GÄVLEBORGS LÄN</t>
        </is>
      </c>
      <c r="E465" t="inlineStr">
        <is>
          <t>BOLLNÄS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31649-2024</t>
        </is>
      </c>
      <c r="B466" s="1" t="n">
        <v>45506.62546296296</v>
      </c>
      <c r="C466" s="1" t="n">
        <v>45931</v>
      </c>
      <c r="D466" t="inlineStr">
        <is>
          <t>GÄVLEBORGS LÄN</t>
        </is>
      </c>
      <c r="E466" t="inlineStr">
        <is>
          <t>BOLLNÄS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45639-2023</t>
        </is>
      </c>
      <c r="B467" s="1" t="n">
        <v>45194.68771990741</v>
      </c>
      <c r="C467" s="1" t="n">
        <v>45931</v>
      </c>
      <c r="D467" t="inlineStr">
        <is>
          <t>GÄVLEBORGS LÄN</t>
        </is>
      </c>
      <c r="E467" t="inlineStr">
        <is>
          <t>BOLLNÄS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38268-2023</t>
        </is>
      </c>
      <c r="B468" s="1" t="n">
        <v>45161.61159722223</v>
      </c>
      <c r="C468" s="1" t="n">
        <v>45931</v>
      </c>
      <c r="D468" t="inlineStr">
        <is>
          <t>GÄVLEBORGS LÄN</t>
        </is>
      </c>
      <c r="E468" t="inlineStr">
        <is>
          <t>BOLLNÄS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60426-2024</t>
        </is>
      </c>
      <c r="B469" s="1" t="n">
        <v>45643</v>
      </c>
      <c r="C469" s="1" t="n">
        <v>45931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13630-2024</t>
        </is>
      </c>
      <c r="B470" s="1" t="n">
        <v>45390.40768518519</v>
      </c>
      <c r="C470" s="1" t="n">
        <v>45931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42541-2024</t>
        </is>
      </c>
      <c r="B471" s="1" t="n">
        <v>45565.58790509259</v>
      </c>
      <c r="C471" s="1" t="n">
        <v>45931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44120-2022</t>
        </is>
      </c>
      <c r="B472" s="1" t="n">
        <v>44839.39199074074</v>
      </c>
      <c r="C472" s="1" t="n">
        <v>45931</v>
      </c>
      <c r="D472" t="inlineStr">
        <is>
          <t>GÄVLEBORGS LÄN</t>
        </is>
      </c>
      <c r="E472" t="inlineStr">
        <is>
          <t>BOLLNÄS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36256-2024</t>
        </is>
      </c>
      <c r="B473" s="1" t="n">
        <v>45534</v>
      </c>
      <c r="C473" s="1" t="n">
        <v>45931</v>
      </c>
      <c r="D473" t="inlineStr">
        <is>
          <t>GÄVLEBORGS LÄN</t>
        </is>
      </c>
      <c r="E473" t="inlineStr">
        <is>
          <t>BOLLNÄS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12800-2025</t>
        </is>
      </c>
      <c r="B474" s="1" t="n">
        <v>45733.61204861111</v>
      </c>
      <c r="C474" s="1" t="n">
        <v>45931</v>
      </c>
      <c r="D474" t="inlineStr">
        <is>
          <t>GÄVLEBORGS LÄN</t>
        </is>
      </c>
      <c r="E474" t="inlineStr">
        <is>
          <t>BOLLNÄS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12867-2025</t>
        </is>
      </c>
      <c r="B475" s="1" t="n">
        <v>45733.67521990741</v>
      </c>
      <c r="C475" s="1" t="n">
        <v>45931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48308-2024</t>
        </is>
      </c>
      <c r="B476" s="1" t="n">
        <v>45590.47798611111</v>
      </c>
      <c r="C476" s="1" t="n">
        <v>45931</v>
      </c>
      <c r="D476" t="inlineStr">
        <is>
          <t>GÄVLEBORGS LÄN</t>
        </is>
      </c>
      <c r="E476" t="inlineStr">
        <is>
          <t>BOLLNÄS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42643-2024</t>
        </is>
      </c>
      <c r="B477" s="1" t="n">
        <v>45566.28908564815</v>
      </c>
      <c r="C477" s="1" t="n">
        <v>45931</v>
      </c>
      <c r="D477" t="inlineStr">
        <is>
          <t>GÄVLEBORGS LÄN</t>
        </is>
      </c>
      <c r="E477" t="inlineStr">
        <is>
          <t>BOLLNÄS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42644-2024</t>
        </is>
      </c>
      <c r="B478" s="1" t="n">
        <v>45566.29006944445</v>
      </c>
      <c r="C478" s="1" t="n">
        <v>45931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2022-2025</t>
        </is>
      </c>
      <c r="B479" s="1" t="n">
        <v>45672.47560185185</v>
      </c>
      <c r="C479" s="1" t="n">
        <v>45931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40336-2024</t>
        </is>
      </c>
      <c r="B480" s="1" t="n">
        <v>45555.32482638889</v>
      </c>
      <c r="C480" s="1" t="n">
        <v>45931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40928-2024</t>
        </is>
      </c>
      <c r="B481" s="1" t="n">
        <v>45558.64020833333</v>
      </c>
      <c r="C481" s="1" t="n">
        <v>45931</v>
      </c>
      <c r="D481" t="inlineStr">
        <is>
          <t>GÄVLEBORGS LÄN</t>
        </is>
      </c>
      <c r="E481" t="inlineStr">
        <is>
          <t>BOLLNÄS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10482-2024</t>
        </is>
      </c>
      <c r="B482" s="1" t="n">
        <v>45366</v>
      </c>
      <c r="C482" s="1" t="n">
        <v>45931</v>
      </c>
      <c r="D482" t="inlineStr">
        <is>
          <t>GÄVLEBORGS LÄN</t>
        </is>
      </c>
      <c r="E482" t="inlineStr">
        <is>
          <t>BOLLNÄS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7015-2025</t>
        </is>
      </c>
      <c r="B483" s="1" t="n">
        <v>45701.61202546296</v>
      </c>
      <c r="C483" s="1" t="n">
        <v>45931</v>
      </c>
      <c r="D483" t="inlineStr">
        <is>
          <t>GÄVLEBORGS LÄN</t>
        </is>
      </c>
      <c r="E483" t="inlineStr">
        <is>
          <t>BOLLNÄS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38146-2023</t>
        </is>
      </c>
      <c r="B484" s="1" t="n">
        <v>45161</v>
      </c>
      <c r="C484" s="1" t="n">
        <v>45931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31022-2024</t>
        </is>
      </c>
      <c r="B485" s="1" t="n">
        <v>45500.42336805556</v>
      </c>
      <c r="C485" s="1" t="n">
        <v>45931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22927-2025</t>
        </is>
      </c>
      <c r="B486" s="1" t="n">
        <v>45790.4482175926</v>
      </c>
      <c r="C486" s="1" t="n">
        <v>45931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28658-2024</t>
        </is>
      </c>
      <c r="B487" s="1" t="n">
        <v>45478.47041666666</v>
      </c>
      <c r="C487" s="1" t="n">
        <v>45931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22622-2025</t>
        </is>
      </c>
      <c r="B488" s="1" t="n">
        <v>45789.43271990741</v>
      </c>
      <c r="C488" s="1" t="n">
        <v>45931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62635-2020</t>
        </is>
      </c>
      <c r="B489" s="1" t="n">
        <v>44161</v>
      </c>
      <c r="C489" s="1" t="n">
        <v>45931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29715-2024</t>
        </is>
      </c>
      <c r="B490" s="1" t="n">
        <v>45485.35292824074</v>
      </c>
      <c r="C490" s="1" t="n">
        <v>45931</v>
      </c>
      <c r="D490" t="inlineStr">
        <is>
          <t>GÄVLEBORGS LÄN</t>
        </is>
      </c>
      <c r="E490" t="inlineStr">
        <is>
          <t>BOLLNÄS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34558-2024</t>
        </is>
      </c>
      <c r="B491" s="1" t="n">
        <v>45525.97503472222</v>
      </c>
      <c r="C491" s="1" t="n">
        <v>45931</v>
      </c>
      <c r="D491" t="inlineStr">
        <is>
          <t>GÄVLEBORGS LÄN</t>
        </is>
      </c>
      <c r="E491" t="inlineStr">
        <is>
          <t>BOLLNÄS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37233-2023</t>
        </is>
      </c>
      <c r="B492" s="1" t="n">
        <v>45155</v>
      </c>
      <c r="C492" s="1" t="n">
        <v>45931</v>
      </c>
      <c r="D492" t="inlineStr">
        <is>
          <t>GÄVLEBORGS LÄN</t>
        </is>
      </c>
      <c r="E492" t="inlineStr">
        <is>
          <t>BOLLNÄS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10485-2024</t>
        </is>
      </c>
      <c r="B493" s="1" t="n">
        <v>45366</v>
      </c>
      <c r="C493" s="1" t="n">
        <v>45931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10180-2022</t>
        </is>
      </c>
      <c r="B494" s="1" t="n">
        <v>44622.40689814815</v>
      </c>
      <c r="C494" s="1" t="n">
        <v>45931</v>
      </c>
      <c r="D494" t="inlineStr">
        <is>
          <t>GÄVLEBORGS LÄN</t>
        </is>
      </c>
      <c r="E494" t="inlineStr">
        <is>
          <t>BOLLNÄS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48666-2022</t>
        </is>
      </c>
      <c r="B495" s="1" t="n">
        <v>44859.44630787037</v>
      </c>
      <c r="C495" s="1" t="n">
        <v>45931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13405-2022</t>
        </is>
      </c>
      <c r="B496" s="1" t="n">
        <v>44645.53158564815</v>
      </c>
      <c r="C496" s="1" t="n">
        <v>45931</v>
      </c>
      <c r="D496" t="inlineStr">
        <is>
          <t>GÄVLEBORGS LÄN</t>
        </is>
      </c>
      <c r="E496" t="inlineStr">
        <is>
          <t>BOLLNÄS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49883-2023</t>
        </is>
      </c>
      <c r="B497" s="1" t="n">
        <v>45213.37230324074</v>
      </c>
      <c r="C497" s="1" t="n">
        <v>45931</v>
      </c>
      <c r="D497" t="inlineStr">
        <is>
          <t>GÄVLEBORGS LÄN</t>
        </is>
      </c>
      <c r="E497" t="inlineStr">
        <is>
          <t>BOLLNÄS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16379-2022</t>
        </is>
      </c>
      <c r="B498" s="1" t="n">
        <v>44671</v>
      </c>
      <c r="C498" s="1" t="n">
        <v>45931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11579-2025</t>
        </is>
      </c>
      <c r="B499" s="1" t="n">
        <v>45727.3865162037</v>
      </c>
      <c r="C499" s="1" t="n">
        <v>45931</v>
      </c>
      <c r="D499" t="inlineStr">
        <is>
          <t>GÄVLEBORGS LÄN</t>
        </is>
      </c>
      <c r="E499" t="inlineStr">
        <is>
          <t>BOLLNÄS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23481-2025</t>
        </is>
      </c>
      <c r="B500" s="1" t="n">
        <v>45792.45871527777</v>
      </c>
      <c r="C500" s="1" t="n">
        <v>45931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11602-2025</t>
        </is>
      </c>
      <c r="B501" s="1" t="n">
        <v>45727.43175925926</v>
      </c>
      <c r="C501" s="1" t="n">
        <v>45931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32056-2023</t>
        </is>
      </c>
      <c r="B502" s="1" t="n">
        <v>45119.55945601852</v>
      </c>
      <c r="C502" s="1" t="n">
        <v>45931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34250-2024</t>
        </is>
      </c>
      <c r="B503" s="1" t="n">
        <v>45524.58820601852</v>
      </c>
      <c r="C503" s="1" t="n">
        <v>45931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23420-2025</t>
        </is>
      </c>
      <c r="B504" s="1" t="n">
        <v>45792.35361111111</v>
      </c>
      <c r="C504" s="1" t="n">
        <v>45931</v>
      </c>
      <c r="D504" t="inlineStr">
        <is>
          <t>GÄVLEBORGS LÄN</t>
        </is>
      </c>
      <c r="E504" t="inlineStr">
        <is>
          <t>BOLLNÄS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8519-2025</t>
        </is>
      </c>
      <c r="B505" s="1" t="n">
        <v>45709.55436342592</v>
      </c>
      <c r="C505" s="1" t="n">
        <v>45931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18486-2022</t>
        </is>
      </c>
      <c r="B506" s="1" t="n">
        <v>44686.5978125</v>
      </c>
      <c r="C506" s="1" t="n">
        <v>45931</v>
      </c>
      <c r="D506" t="inlineStr">
        <is>
          <t>GÄVLEBORGS LÄN</t>
        </is>
      </c>
      <c r="E506" t="inlineStr">
        <is>
          <t>BOLLNÄS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55941-2024</t>
        </is>
      </c>
      <c r="B507" s="1" t="n">
        <v>45623.61159722223</v>
      </c>
      <c r="C507" s="1" t="n">
        <v>45931</v>
      </c>
      <c r="D507" t="inlineStr">
        <is>
          <t>GÄVLEBORGS LÄN</t>
        </is>
      </c>
      <c r="E507" t="inlineStr">
        <is>
          <t>BOLLNÄS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36710-2023</t>
        </is>
      </c>
      <c r="B508" s="1" t="n">
        <v>45153.65484953704</v>
      </c>
      <c r="C508" s="1" t="n">
        <v>45931</v>
      </c>
      <c r="D508" t="inlineStr">
        <is>
          <t>GÄVLEBORGS LÄN</t>
        </is>
      </c>
      <c r="E508" t="inlineStr">
        <is>
          <t>BOLLNÄS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23419-2025</t>
        </is>
      </c>
      <c r="B509" s="1" t="n">
        <v>45792.35172453704</v>
      </c>
      <c r="C509" s="1" t="n">
        <v>45931</v>
      </c>
      <c r="D509" t="inlineStr">
        <is>
          <t>GÄVLEBORGS LÄN</t>
        </is>
      </c>
      <c r="E509" t="inlineStr">
        <is>
          <t>BOLLNÄS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59734-2020</t>
        </is>
      </c>
      <c r="B510" s="1" t="n">
        <v>44151</v>
      </c>
      <c r="C510" s="1" t="n">
        <v>45931</v>
      </c>
      <c r="D510" t="inlineStr">
        <is>
          <t>GÄVLEBORGS LÄN</t>
        </is>
      </c>
      <c r="E510" t="inlineStr">
        <is>
          <t>BOLLNÄS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60044-2024</t>
        </is>
      </c>
      <c r="B511" s="1" t="n">
        <v>45642.47278935185</v>
      </c>
      <c r="C511" s="1" t="n">
        <v>45931</v>
      </c>
      <c r="D511" t="inlineStr">
        <is>
          <t>GÄVLEBORGS LÄN</t>
        </is>
      </c>
      <c r="E511" t="inlineStr">
        <is>
          <t>BOLLNÄS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46795-2024</t>
        </is>
      </c>
      <c r="B512" s="1" t="n">
        <v>45583.54359953704</v>
      </c>
      <c r="C512" s="1" t="n">
        <v>45931</v>
      </c>
      <c r="D512" t="inlineStr">
        <is>
          <t>GÄVLEBORGS LÄN</t>
        </is>
      </c>
      <c r="E512" t="inlineStr">
        <is>
          <t>BOLLNÄS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38883-2022</t>
        </is>
      </c>
      <c r="B513" s="1" t="n">
        <v>44816.56690972222</v>
      </c>
      <c r="C513" s="1" t="n">
        <v>45931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17394-2022</t>
        </is>
      </c>
      <c r="B514" s="1" t="n">
        <v>44678.68134259259</v>
      </c>
      <c r="C514" s="1" t="n">
        <v>45931</v>
      </c>
      <c r="D514" t="inlineStr">
        <is>
          <t>GÄVLEBORGS LÄN</t>
        </is>
      </c>
      <c r="E514" t="inlineStr">
        <is>
          <t>BOLLNÄS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19970-2024</t>
        </is>
      </c>
      <c r="B515" s="1" t="n">
        <v>45433.75060185185</v>
      </c>
      <c r="C515" s="1" t="n">
        <v>45931</v>
      </c>
      <c r="D515" t="inlineStr">
        <is>
          <t>GÄVLEBORGS LÄN</t>
        </is>
      </c>
      <c r="E515" t="inlineStr">
        <is>
          <t>BOLLNÄS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23992-2025</t>
        </is>
      </c>
      <c r="B516" s="1" t="n">
        <v>45796.40662037037</v>
      </c>
      <c r="C516" s="1" t="n">
        <v>45931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1221-2025</t>
        </is>
      </c>
      <c r="B517" s="1" t="n">
        <v>45667.43208333333</v>
      </c>
      <c r="C517" s="1" t="n">
        <v>45931</v>
      </c>
      <c r="D517" t="inlineStr">
        <is>
          <t>GÄVLEBORGS LÄN</t>
        </is>
      </c>
      <c r="E517" t="inlineStr">
        <is>
          <t>BOLLNÄS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17376-2024</t>
        </is>
      </c>
      <c r="B518" s="1" t="n">
        <v>45414.639375</v>
      </c>
      <c r="C518" s="1" t="n">
        <v>45931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23846-2025</t>
        </is>
      </c>
      <c r="B519" s="1" t="n">
        <v>45793</v>
      </c>
      <c r="C519" s="1" t="n">
        <v>45931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56641-2020</t>
        </is>
      </c>
      <c r="B520" s="1" t="n">
        <v>44137</v>
      </c>
      <c r="C520" s="1" t="n">
        <v>45931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23882-2025</t>
        </is>
      </c>
      <c r="B521" s="1" t="n">
        <v>45793.71438657407</v>
      </c>
      <c r="C521" s="1" t="n">
        <v>45931</v>
      </c>
      <c r="D521" t="inlineStr">
        <is>
          <t>GÄVLEBORGS LÄN</t>
        </is>
      </c>
      <c r="E521" t="inlineStr">
        <is>
          <t>BOLLNÄS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24119-2025</t>
        </is>
      </c>
      <c r="B522" s="1" t="n">
        <v>45796</v>
      </c>
      <c r="C522" s="1" t="n">
        <v>45931</v>
      </c>
      <c r="D522" t="inlineStr">
        <is>
          <t>GÄVLEBORGS LÄN</t>
        </is>
      </c>
      <c r="E522" t="inlineStr">
        <is>
          <t>BOLLNÄS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5296-2022</t>
        </is>
      </c>
      <c r="B523" s="1" t="n">
        <v>44594</v>
      </c>
      <c r="C523" s="1" t="n">
        <v>45931</v>
      </c>
      <c r="D523" t="inlineStr">
        <is>
          <t>GÄVLEBORGS LÄN</t>
        </is>
      </c>
      <c r="E523" t="inlineStr">
        <is>
          <t>BOLLNÄS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24146-2025</t>
        </is>
      </c>
      <c r="B524" s="1" t="n">
        <v>45796.64568287037</v>
      </c>
      <c r="C524" s="1" t="n">
        <v>45931</v>
      </c>
      <c r="D524" t="inlineStr">
        <is>
          <t>GÄVLEBORGS LÄN</t>
        </is>
      </c>
      <c r="E524" t="inlineStr">
        <is>
          <t>BOLLNÄS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23883-2025</t>
        </is>
      </c>
      <c r="B525" s="1" t="n">
        <v>45793.72311342593</v>
      </c>
      <c r="C525" s="1" t="n">
        <v>45931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38594-2024</t>
        </is>
      </c>
      <c r="B526" s="1" t="n">
        <v>45546.65759259259</v>
      </c>
      <c r="C526" s="1" t="n">
        <v>45931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51797-2023</t>
        </is>
      </c>
      <c r="B527" s="1" t="n">
        <v>45222</v>
      </c>
      <c r="C527" s="1" t="n">
        <v>45931</v>
      </c>
      <c r="D527" t="inlineStr">
        <is>
          <t>GÄVLEBORGS LÄN</t>
        </is>
      </c>
      <c r="E527" t="inlineStr">
        <is>
          <t>BOLLNÄS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43131-2024</t>
        </is>
      </c>
      <c r="B528" s="1" t="n">
        <v>45567.60054398148</v>
      </c>
      <c r="C528" s="1" t="n">
        <v>45931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33422-2024</t>
        </is>
      </c>
      <c r="B529" s="1" t="n">
        <v>45519.50747685185</v>
      </c>
      <c r="C529" s="1" t="n">
        <v>45931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23880-2025</t>
        </is>
      </c>
      <c r="B530" s="1" t="n">
        <v>45793.69190972222</v>
      </c>
      <c r="C530" s="1" t="n">
        <v>45931</v>
      </c>
      <c r="D530" t="inlineStr">
        <is>
          <t>GÄVLEBORGS LÄN</t>
        </is>
      </c>
      <c r="E530" t="inlineStr">
        <is>
          <t>BOLLNÄS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51970-2024</t>
        </is>
      </c>
      <c r="B531" s="1" t="n">
        <v>45607</v>
      </c>
      <c r="C531" s="1" t="n">
        <v>45931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47820-2024</t>
        </is>
      </c>
      <c r="B532" s="1" t="n">
        <v>45588.62625</v>
      </c>
      <c r="C532" s="1" t="n">
        <v>45931</v>
      </c>
      <c r="D532" t="inlineStr">
        <is>
          <t>GÄVLEBORGS LÄN</t>
        </is>
      </c>
      <c r="E532" t="inlineStr">
        <is>
          <t>BOLLNÄS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42314-2023</t>
        </is>
      </c>
      <c r="B533" s="1" t="n">
        <v>45180</v>
      </c>
      <c r="C533" s="1" t="n">
        <v>45931</v>
      </c>
      <c r="D533" t="inlineStr">
        <is>
          <t>GÄVLEBORGS LÄN</t>
        </is>
      </c>
      <c r="E533" t="inlineStr">
        <is>
          <t>BOLLNÄS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62959-2020</t>
        </is>
      </c>
      <c r="B534" s="1" t="n">
        <v>44162</v>
      </c>
      <c r="C534" s="1" t="n">
        <v>45931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3630-2025</t>
        </is>
      </c>
      <c r="B535" s="1" t="n">
        <v>45681.37418981481</v>
      </c>
      <c r="C535" s="1" t="n">
        <v>45931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9889-2022</t>
        </is>
      </c>
      <c r="B536" s="1" t="n">
        <v>44620</v>
      </c>
      <c r="C536" s="1" t="n">
        <v>45931</v>
      </c>
      <c r="D536" t="inlineStr">
        <is>
          <t>GÄVLEBORGS LÄN</t>
        </is>
      </c>
      <c r="E536" t="inlineStr">
        <is>
          <t>BOLLNÄS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5366-2025</t>
        </is>
      </c>
      <c r="B537" s="1" t="n">
        <v>45692.58184027778</v>
      </c>
      <c r="C537" s="1" t="n">
        <v>45931</v>
      </c>
      <c r="D537" t="inlineStr">
        <is>
          <t>GÄVLEBORGS LÄN</t>
        </is>
      </c>
      <c r="E537" t="inlineStr">
        <is>
          <t>BOLLNÄS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5368-2025</t>
        </is>
      </c>
      <c r="B538" s="1" t="n">
        <v>45692.58333333334</v>
      </c>
      <c r="C538" s="1" t="n">
        <v>45931</v>
      </c>
      <c r="D538" t="inlineStr">
        <is>
          <t>GÄVLEBORGS LÄN</t>
        </is>
      </c>
      <c r="E538" t="inlineStr">
        <is>
          <t>BOLLNÄS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12086-2025</t>
        </is>
      </c>
      <c r="B539" s="1" t="n">
        <v>45729.25450231481</v>
      </c>
      <c r="C539" s="1" t="n">
        <v>45931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9474-2022</t>
        </is>
      </c>
      <c r="B540" s="1" t="n">
        <v>44616.92188657408</v>
      </c>
      <c r="C540" s="1" t="n">
        <v>45931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29742-2024</t>
        </is>
      </c>
      <c r="B541" s="1" t="n">
        <v>45485</v>
      </c>
      <c r="C541" s="1" t="n">
        <v>45931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23930-2025</t>
        </is>
      </c>
      <c r="B542" s="1" t="n">
        <v>45795.6452662037</v>
      </c>
      <c r="C542" s="1" t="n">
        <v>45931</v>
      </c>
      <c r="D542" t="inlineStr">
        <is>
          <t>GÄVLEBORGS LÄN</t>
        </is>
      </c>
      <c r="E542" t="inlineStr">
        <is>
          <t>BOLLNÄS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64175-2020</t>
        </is>
      </c>
      <c r="B543" s="1" t="n">
        <v>44167</v>
      </c>
      <c r="C543" s="1" t="n">
        <v>45931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14482-2021</t>
        </is>
      </c>
      <c r="B544" s="1" t="n">
        <v>44279</v>
      </c>
      <c r="C544" s="1" t="n">
        <v>45931</v>
      </c>
      <c r="D544" t="inlineStr">
        <is>
          <t>GÄVLEBORGS LÄN</t>
        </is>
      </c>
      <c r="E544" t="inlineStr">
        <is>
          <t>BOLLNÄS</t>
        </is>
      </c>
      <c r="F544" t="inlineStr">
        <is>
          <t>Kommuner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55019-2024</t>
        </is>
      </c>
      <c r="B545" s="1" t="n">
        <v>45621.35841435185</v>
      </c>
      <c r="C545" s="1" t="n">
        <v>45931</v>
      </c>
      <c r="D545" t="inlineStr">
        <is>
          <t>GÄVLEBORGS LÄN</t>
        </is>
      </c>
      <c r="E545" t="inlineStr">
        <is>
          <t>BOLLNÄS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47894-2024</t>
        </is>
      </c>
      <c r="B546" s="1" t="n">
        <v>45588.87435185185</v>
      </c>
      <c r="C546" s="1" t="n">
        <v>45931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41591-2024</t>
        </is>
      </c>
      <c r="B547" s="1" t="n">
        <v>45560.57263888889</v>
      </c>
      <c r="C547" s="1" t="n">
        <v>45931</v>
      </c>
      <c r="D547" t="inlineStr">
        <is>
          <t>GÄVLEBORGS LÄN</t>
        </is>
      </c>
      <c r="E547" t="inlineStr">
        <is>
          <t>BOLLNÄS</t>
        </is>
      </c>
      <c r="G547" t="n">
        <v>21.8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43996-2024</t>
        </is>
      </c>
      <c r="B548" s="1" t="n">
        <v>45572.53714120371</v>
      </c>
      <c r="C548" s="1" t="n">
        <v>45931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56755-2022</t>
        </is>
      </c>
      <c r="B549" s="1" t="n">
        <v>44894</v>
      </c>
      <c r="C549" s="1" t="n">
        <v>45931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10118-2024</t>
        </is>
      </c>
      <c r="B550" s="1" t="n">
        <v>45364.56001157407</v>
      </c>
      <c r="C550" s="1" t="n">
        <v>45931</v>
      </c>
      <c r="D550" t="inlineStr">
        <is>
          <t>GÄVLEBORGS LÄN</t>
        </is>
      </c>
      <c r="E550" t="inlineStr">
        <is>
          <t>BOLLNÄS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10119-2024</t>
        </is>
      </c>
      <c r="B551" s="1" t="n">
        <v>45364.56122685185</v>
      </c>
      <c r="C551" s="1" t="n">
        <v>45931</v>
      </c>
      <c r="D551" t="inlineStr">
        <is>
          <t>GÄVLEBORGS LÄN</t>
        </is>
      </c>
      <c r="E551" t="inlineStr">
        <is>
          <t>BOLLNÄS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20778-2023</t>
        </is>
      </c>
      <c r="B552" s="1" t="n">
        <v>45058.5878125</v>
      </c>
      <c r="C552" s="1" t="n">
        <v>45931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56024-2024</t>
        </is>
      </c>
      <c r="B553" s="1" t="n">
        <v>45624.28030092592</v>
      </c>
      <c r="C553" s="1" t="n">
        <v>45931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38837-2024</t>
        </is>
      </c>
      <c r="B554" s="1" t="n">
        <v>45547</v>
      </c>
      <c r="C554" s="1" t="n">
        <v>45931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24314-2025</t>
        </is>
      </c>
      <c r="B555" s="1" t="n">
        <v>45797.52796296297</v>
      </c>
      <c r="C555" s="1" t="n">
        <v>45931</v>
      </c>
      <c r="D555" t="inlineStr">
        <is>
          <t>GÄVLEBORGS LÄN</t>
        </is>
      </c>
      <c r="E555" t="inlineStr">
        <is>
          <t>BOLLNÄS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24319-2025</t>
        </is>
      </c>
      <c r="B556" s="1" t="n">
        <v>45797.55027777778</v>
      </c>
      <c r="C556" s="1" t="n">
        <v>45931</v>
      </c>
      <c r="D556" t="inlineStr">
        <is>
          <t>GÄVLEBORGS LÄN</t>
        </is>
      </c>
      <c r="E556" t="inlineStr">
        <is>
          <t>BOLLNÄS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24918-2025</t>
        </is>
      </c>
      <c r="B557" s="1" t="n">
        <v>45799.54648148148</v>
      </c>
      <c r="C557" s="1" t="n">
        <v>45931</v>
      </c>
      <c r="D557" t="inlineStr">
        <is>
          <t>GÄVLEBORGS LÄN</t>
        </is>
      </c>
      <c r="E557" t="inlineStr">
        <is>
          <t>BOLLNÄS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24920-2025</t>
        </is>
      </c>
      <c r="B558" s="1" t="n">
        <v>45799.55019675926</v>
      </c>
      <c r="C558" s="1" t="n">
        <v>45931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25225-2025</t>
        </is>
      </c>
      <c r="B559" s="1" t="n">
        <v>45800.48112268518</v>
      </c>
      <c r="C559" s="1" t="n">
        <v>45931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24721-2025</t>
        </is>
      </c>
      <c r="B560" s="1" t="n">
        <v>45799</v>
      </c>
      <c r="C560" s="1" t="n">
        <v>45931</v>
      </c>
      <c r="D560" t="inlineStr">
        <is>
          <t>GÄVLEBORGS LÄN</t>
        </is>
      </c>
      <c r="E560" t="inlineStr">
        <is>
          <t>BOLLNÄS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25256-2025</t>
        </is>
      </c>
      <c r="B561" s="1" t="n">
        <v>45800.50966435186</v>
      </c>
      <c r="C561" s="1" t="n">
        <v>45931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25216-2025</t>
        </is>
      </c>
      <c r="B562" s="1" t="n">
        <v>45800.4756712963</v>
      </c>
      <c r="C562" s="1" t="n">
        <v>45931</v>
      </c>
      <c r="D562" t="inlineStr">
        <is>
          <t>GÄVLEBORGS LÄN</t>
        </is>
      </c>
      <c r="E562" t="inlineStr">
        <is>
          <t>BOLLNÄS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43177-2024</t>
        </is>
      </c>
      <c r="B563" s="1" t="n">
        <v>45567.66236111111</v>
      </c>
      <c r="C563" s="1" t="n">
        <v>45931</v>
      </c>
      <c r="D563" t="inlineStr">
        <is>
          <t>GÄVLEBORGS LÄN</t>
        </is>
      </c>
      <c r="E563" t="inlineStr">
        <is>
          <t>BOLLNÄS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49413-2023</t>
        </is>
      </c>
      <c r="B564" s="1" t="n">
        <v>45211</v>
      </c>
      <c r="C564" s="1" t="n">
        <v>45931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25192-2025</t>
        </is>
      </c>
      <c r="B565" s="1" t="n">
        <v>45800.45829861111</v>
      </c>
      <c r="C565" s="1" t="n">
        <v>45931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579-2025</t>
        </is>
      </c>
      <c r="B566" s="1" t="n">
        <v>45664.56732638889</v>
      </c>
      <c r="C566" s="1" t="n">
        <v>45931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617-2025</t>
        </is>
      </c>
      <c r="B567" s="1" t="n">
        <v>45664.60994212963</v>
      </c>
      <c r="C567" s="1" t="n">
        <v>45931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2667-2025</t>
        </is>
      </c>
      <c r="B568" s="1" t="n">
        <v>45677.27587962963</v>
      </c>
      <c r="C568" s="1" t="n">
        <v>45931</v>
      </c>
      <c r="D568" t="inlineStr">
        <is>
          <t>GÄVLEBORGS LÄN</t>
        </is>
      </c>
      <c r="E568" t="inlineStr">
        <is>
          <t>BOLLNÄS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2620-2025</t>
        </is>
      </c>
      <c r="B569" s="1" t="n">
        <v>45675.58435185185</v>
      </c>
      <c r="C569" s="1" t="n">
        <v>45931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24937-2025</t>
        </is>
      </c>
      <c r="B570" s="1" t="n">
        <v>45799.55748842593</v>
      </c>
      <c r="C570" s="1" t="n">
        <v>45931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25226-2025</t>
        </is>
      </c>
      <c r="B571" s="1" t="n">
        <v>45800</v>
      </c>
      <c r="C571" s="1" t="n">
        <v>45931</v>
      </c>
      <c r="D571" t="inlineStr">
        <is>
          <t>GÄVLEBORGS LÄN</t>
        </is>
      </c>
      <c r="E571" t="inlineStr">
        <is>
          <t>BOLLNÄS</t>
        </is>
      </c>
      <c r="F571" t="inlineStr">
        <is>
          <t>Holmen skog AB</t>
        </is>
      </c>
      <c r="G571" t="n">
        <v>17.7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8119-2024</t>
        </is>
      </c>
      <c r="B572" s="1" t="n">
        <v>45351</v>
      </c>
      <c r="C572" s="1" t="n">
        <v>45931</v>
      </c>
      <c r="D572" t="inlineStr">
        <is>
          <t>GÄVLEBORGS LÄN</t>
        </is>
      </c>
      <c r="E572" t="inlineStr">
        <is>
          <t>BOLLNÄS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44487-2024</t>
        </is>
      </c>
      <c r="B573" s="1" t="n">
        <v>45574.38811342593</v>
      </c>
      <c r="C573" s="1" t="n">
        <v>45931</v>
      </c>
      <c r="D573" t="inlineStr">
        <is>
          <t>GÄVLEBORGS LÄN</t>
        </is>
      </c>
      <c r="E573" t="inlineStr">
        <is>
          <t>BOLLNÄS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25596-2025</t>
        </is>
      </c>
      <c r="B574" s="1" t="n">
        <v>45803.52922453704</v>
      </c>
      <c r="C574" s="1" t="n">
        <v>45931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16641-2024</t>
        </is>
      </c>
      <c r="B575" s="1" t="n">
        <v>45408.60974537037</v>
      </c>
      <c r="C575" s="1" t="n">
        <v>45931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öst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25740-2025</t>
        </is>
      </c>
      <c r="B576" s="1" t="n">
        <v>45803.86391203704</v>
      </c>
      <c r="C576" s="1" t="n">
        <v>45931</v>
      </c>
      <c r="D576" t="inlineStr">
        <is>
          <t>GÄVLEBORGS LÄN</t>
        </is>
      </c>
      <c r="E576" t="inlineStr">
        <is>
          <t>BOLLNÄS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27179-2023</t>
        </is>
      </c>
      <c r="B577" s="1" t="n">
        <v>45096.52631944444</v>
      </c>
      <c r="C577" s="1" t="n">
        <v>45931</v>
      </c>
      <c r="D577" t="inlineStr">
        <is>
          <t>GÄVLEBORGS LÄN</t>
        </is>
      </c>
      <c r="E577" t="inlineStr">
        <is>
          <t>BOLLNÄS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25987-2025</t>
        </is>
      </c>
      <c r="B578" s="1" t="n">
        <v>45804.64680555555</v>
      </c>
      <c r="C578" s="1" t="n">
        <v>45931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12088-2025</t>
        </is>
      </c>
      <c r="B579" s="1" t="n">
        <v>45729.28755787037</v>
      </c>
      <c r="C579" s="1" t="n">
        <v>45931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59637-2024</t>
        </is>
      </c>
      <c r="B580" s="1" t="n">
        <v>45639.27597222223</v>
      </c>
      <c r="C580" s="1" t="n">
        <v>45931</v>
      </c>
      <c r="D580" t="inlineStr">
        <is>
          <t>GÄVLEBORGS LÄN</t>
        </is>
      </c>
      <c r="E580" t="inlineStr">
        <is>
          <t>BOLLNÄS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25787-2025</t>
        </is>
      </c>
      <c r="B581" s="1" t="n">
        <v>45804.37753472223</v>
      </c>
      <c r="C581" s="1" t="n">
        <v>45931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26289-2025</t>
        </is>
      </c>
      <c r="B582" s="1" t="n">
        <v>45805.62409722222</v>
      </c>
      <c r="C582" s="1" t="n">
        <v>45931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56209-2023</t>
        </is>
      </c>
      <c r="B583" s="1" t="n">
        <v>45240</v>
      </c>
      <c r="C583" s="1" t="n">
        <v>45931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7136-2025</t>
        </is>
      </c>
      <c r="B584" s="1" t="n">
        <v>45702.36628472222</v>
      </c>
      <c r="C584" s="1" t="n">
        <v>45931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541-2021</t>
        </is>
      </c>
      <c r="B585" s="1" t="n">
        <v>44203</v>
      </c>
      <c r="C585" s="1" t="n">
        <v>45931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19972-2024</t>
        </is>
      </c>
      <c r="B586" s="1" t="n">
        <v>45433</v>
      </c>
      <c r="C586" s="1" t="n">
        <v>45931</v>
      </c>
      <c r="D586" t="inlineStr">
        <is>
          <t>GÄVLEBORGS LÄN</t>
        </is>
      </c>
      <c r="E586" t="inlineStr">
        <is>
          <t>BOLLNÄS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26308-2025</t>
        </is>
      </c>
      <c r="B587" s="1" t="n">
        <v>45805.64973379629</v>
      </c>
      <c r="C587" s="1" t="n">
        <v>45931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26323-2025</t>
        </is>
      </c>
      <c r="B588" s="1" t="n">
        <v>45805.66572916666</v>
      </c>
      <c r="C588" s="1" t="n">
        <v>45931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26303-2025</t>
        </is>
      </c>
      <c r="B589" s="1" t="n">
        <v>45805.64239583333</v>
      </c>
      <c r="C589" s="1" t="n">
        <v>45931</v>
      </c>
      <c r="D589" t="inlineStr">
        <is>
          <t>GÄVLEBORGS LÄN</t>
        </is>
      </c>
      <c r="E589" t="inlineStr">
        <is>
          <t>BOLLNÄS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48310-2023</t>
        </is>
      </c>
      <c r="B590" s="1" t="n">
        <v>45205</v>
      </c>
      <c r="C590" s="1" t="n">
        <v>45931</v>
      </c>
      <c r="D590" t="inlineStr">
        <is>
          <t>GÄVLEBORGS LÄN</t>
        </is>
      </c>
      <c r="E590" t="inlineStr">
        <is>
          <t>BOLLNÄS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48605-2023</t>
        </is>
      </c>
      <c r="B591" s="1" t="n">
        <v>45208</v>
      </c>
      <c r="C591" s="1" t="n">
        <v>45931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14623-2023</t>
        </is>
      </c>
      <c r="B592" s="1" t="n">
        <v>45013.65927083333</v>
      </c>
      <c r="C592" s="1" t="n">
        <v>45931</v>
      </c>
      <c r="D592" t="inlineStr">
        <is>
          <t>GÄVLEBORGS LÄN</t>
        </is>
      </c>
      <c r="E592" t="inlineStr">
        <is>
          <t>BOLLNÄS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57510-2023</t>
        </is>
      </c>
      <c r="B593" s="1" t="n">
        <v>45246</v>
      </c>
      <c r="C593" s="1" t="n">
        <v>45931</v>
      </c>
      <c r="D593" t="inlineStr">
        <is>
          <t>GÄVLEBORGS LÄN</t>
        </is>
      </c>
      <c r="E593" t="inlineStr">
        <is>
          <t>BOLLNÄS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20284-2025</t>
        </is>
      </c>
      <c r="B594" s="1" t="n">
        <v>45774.50434027778</v>
      </c>
      <c r="C594" s="1" t="n">
        <v>45931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6922-2023</t>
        </is>
      </c>
      <c r="B595" s="1" t="n">
        <v>44967</v>
      </c>
      <c r="C595" s="1" t="n">
        <v>45931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34867-2024</t>
        </is>
      </c>
      <c r="B596" s="1" t="n">
        <v>45527.34408564815</v>
      </c>
      <c r="C596" s="1" t="n">
        <v>45931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545-2021</t>
        </is>
      </c>
      <c r="B597" s="1" t="n">
        <v>44203</v>
      </c>
      <c r="C597" s="1" t="n">
        <v>45931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67547-2021</t>
        </is>
      </c>
      <c r="B598" s="1" t="n">
        <v>44524.56090277778</v>
      </c>
      <c r="C598" s="1" t="n">
        <v>45931</v>
      </c>
      <c r="D598" t="inlineStr">
        <is>
          <t>GÄVLEBORGS LÄN</t>
        </is>
      </c>
      <c r="E598" t="inlineStr">
        <is>
          <t>BOLLNÄS</t>
        </is>
      </c>
      <c r="F598" t="inlineStr">
        <is>
          <t>Övriga statliga verk och myndigheter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53494-2023</t>
        </is>
      </c>
      <c r="B599" s="1" t="n">
        <v>45230.36850694445</v>
      </c>
      <c r="C599" s="1" t="n">
        <v>45931</v>
      </c>
      <c r="D599" t="inlineStr">
        <is>
          <t>GÄVLEBORGS LÄN</t>
        </is>
      </c>
      <c r="E599" t="inlineStr">
        <is>
          <t>BOLLNÄS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17792-2023</t>
        </is>
      </c>
      <c r="B600" s="1" t="n">
        <v>45037</v>
      </c>
      <c r="C600" s="1" t="n">
        <v>45931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53234-2024</t>
        </is>
      </c>
      <c r="B601" s="1" t="n">
        <v>45613.775625</v>
      </c>
      <c r="C601" s="1" t="n">
        <v>45931</v>
      </c>
      <c r="D601" t="inlineStr">
        <is>
          <t>GÄVLEBORGS LÄN</t>
        </is>
      </c>
      <c r="E601" t="inlineStr">
        <is>
          <t>BOLLNÄS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2539-2023</t>
        </is>
      </c>
      <c r="B602" s="1" t="n">
        <v>44943.64569444444</v>
      </c>
      <c r="C602" s="1" t="n">
        <v>45931</v>
      </c>
      <c r="D602" t="inlineStr">
        <is>
          <t>GÄVLEBORGS LÄN</t>
        </is>
      </c>
      <c r="E602" t="inlineStr">
        <is>
          <t>BOLLNÄS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6903-2025</t>
        </is>
      </c>
      <c r="B603" s="1" t="n">
        <v>45701</v>
      </c>
      <c r="C603" s="1" t="n">
        <v>45931</v>
      </c>
      <c r="D603" t="inlineStr">
        <is>
          <t>GÄVLEBORGS LÄN</t>
        </is>
      </c>
      <c r="E603" t="inlineStr">
        <is>
          <t>BOLLNÄS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55520-2023</t>
        </is>
      </c>
      <c r="B604" s="1" t="n">
        <v>45238</v>
      </c>
      <c r="C604" s="1" t="n">
        <v>45931</v>
      </c>
      <c r="D604" t="inlineStr">
        <is>
          <t>GÄVLEBORGS LÄN</t>
        </is>
      </c>
      <c r="E604" t="inlineStr">
        <is>
          <t>BOLLNÄS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26634-2025</t>
        </is>
      </c>
      <c r="B605" s="1" t="n">
        <v>45810.35309027778</v>
      </c>
      <c r="C605" s="1" t="n">
        <v>45931</v>
      </c>
      <c r="D605" t="inlineStr">
        <is>
          <t>GÄVLEBORGS LÄN</t>
        </is>
      </c>
      <c r="E605" t="inlineStr">
        <is>
          <t>BOLLNÄS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26799-2025</t>
        </is>
      </c>
      <c r="B606" s="1" t="n">
        <v>45810.60430555556</v>
      </c>
      <c r="C606" s="1" t="n">
        <v>45931</v>
      </c>
      <c r="D606" t="inlineStr">
        <is>
          <t>GÄVLEBORGS LÄN</t>
        </is>
      </c>
      <c r="E606" t="inlineStr">
        <is>
          <t>BOLLNÄS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6221-2025</t>
        </is>
      </c>
      <c r="B607" s="1" t="n">
        <v>45698.54001157408</v>
      </c>
      <c r="C607" s="1" t="n">
        <v>45931</v>
      </c>
      <c r="D607" t="inlineStr">
        <is>
          <t>GÄVLEBORGS LÄN</t>
        </is>
      </c>
      <c r="E607" t="inlineStr">
        <is>
          <t>BOLLNÄS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68735-2020</t>
        </is>
      </c>
      <c r="B608" s="1" t="n">
        <v>44187</v>
      </c>
      <c r="C608" s="1" t="n">
        <v>45931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26723-2025</t>
        </is>
      </c>
      <c r="B609" s="1" t="n">
        <v>45810.49068287037</v>
      </c>
      <c r="C609" s="1" t="n">
        <v>45931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49980-2024</t>
        </is>
      </c>
      <c r="B610" s="1" t="n">
        <v>45597.74361111111</v>
      </c>
      <c r="C610" s="1" t="n">
        <v>45931</v>
      </c>
      <c r="D610" t="inlineStr">
        <is>
          <t>GÄVLEBORGS LÄN</t>
        </is>
      </c>
      <c r="E610" t="inlineStr">
        <is>
          <t>BOLLNÄS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61065-2023</t>
        </is>
      </c>
      <c r="B611" s="1" t="n">
        <v>45261.61618055555</v>
      </c>
      <c r="C611" s="1" t="n">
        <v>45931</v>
      </c>
      <c r="D611" t="inlineStr">
        <is>
          <t>GÄVLEBORGS LÄN</t>
        </is>
      </c>
      <c r="E611" t="inlineStr">
        <is>
          <t>BOLLNÄS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24770-2022</t>
        </is>
      </c>
      <c r="B612" s="1" t="n">
        <v>44728.36199074074</v>
      </c>
      <c r="C612" s="1" t="n">
        <v>45931</v>
      </c>
      <c r="D612" t="inlineStr">
        <is>
          <t>GÄVLEBORGS LÄN</t>
        </is>
      </c>
      <c r="E612" t="inlineStr">
        <is>
          <t>BOLLNÄS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36607-2023</t>
        </is>
      </c>
      <c r="B613" s="1" t="n">
        <v>45153.48958333334</v>
      </c>
      <c r="C613" s="1" t="n">
        <v>45931</v>
      </c>
      <c r="D613" t="inlineStr">
        <is>
          <t>GÄVLEBORGS LÄN</t>
        </is>
      </c>
      <c r="E613" t="inlineStr">
        <is>
          <t>BOLLNÄS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27361-2025</t>
        </is>
      </c>
      <c r="B614" s="1" t="n">
        <v>45812.64255787037</v>
      </c>
      <c r="C614" s="1" t="n">
        <v>45931</v>
      </c>
      <c r="D614" t="inlineStr">
        <is>
          <t>GÄVLEBORGS LÄN</t>
        </is>
      </c>
      <c r="E614" t="inlineStr">
        <is>
          <t>BOLLNÄS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43384-2024</t>
        </is>
      </c>
      <c r="B615" s="1" t="n">
        <v>45568.5949537037</v>
      </c>
      <c r="C615" s="1" t="n">
        <v>45931</v>
      </c>
      <c r="D615" t="inlineStr">
        <is>
          <t>GÄVLEBORGS LÄN</t>
        </is>
      </c>
      <c r="E615" t="inlineStr">
        <is>
          <t>BOLLNÄS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27345-2025</t>
        </is>
      </c>
      <c r="B616" s="1" t="n">
        <v>45812.62276620371</v>
      </c>
      <c r="C616" s="1" t="n">
        <v>45931</v>
      </c>
      <c r="D616" t="inlineStr">
        <is>
          <t>GÄVLEBORGS LÄN</t>
        </is>
      </c>
      <c r="E616" t="inlineStr">
        <is>
          <t>BOLLNÄS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27217-2025</t>
        </is>
      </c>
      <c r="B617" s="1" t="n">
        <v>45812.42059027778</v>
      </c>
      <c r="C617" s="1" t="n">
        <v>45931</v>
      </c>
      <c r="D617" t="inlineStr">
        <is>
          <t>GÄVLEBORGS LÄN</t>
        </is>
      </c>
      <c r="E617" t="inlineStr">
        <is>
          <t>BOLLNÄS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18311-2025</t>
        </is>
      </c>
      <c r="B618" s="1" t="n">
        <v>45762</v>
      </c>
      <c r="C618" s="1" t="n">
        <v>45931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45554-2024</t>
        </is>
      </c>
      <c r="B619" s="1" t="n">
        <v>45579.3487962963</v>
      </c>
      <c r="C619" s="1" t="n">
        <v>45931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37345-2024</t>
        </is>
      </c>
      <c r="B620" s="1" t="n">
        <v>45540.53148148148</v>
      </c>
      <c r="C620" s="1" t="n">
        <v>45931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27143-2025</t>
        </is>
      </c>
      <c r="B621" s="1" t="n">
        <v>45812.28103009259</v>
      </c>
      <c r="C621" s="1" t="n">
        <v>45931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21682-2024</t>
        </is>
      </c>
      <c r="B622" s="1" t="n">
        <v>45442.43586805555</v>
      </c>
      <c r="C622" s="1" t="n">
        <v>45931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55367-2023</t>
        </is>
      </c>
      <c r="B623" s="1" t="n">
        <v>45238.34386574074</v>
      </c>
      <c r="C623" s="1" t="n">
        <v>45931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51149-2023</t>
        </is>
      </c>
      <c r="B624" s="1" t="n">
        <v>45212</v>
      </c>
      <c r="C624" s="1" t="n">
        <v>45931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12023-2024</t>
        </is>
      </c>
      <c r="B625" s="1" t="n">
        <v>45377.3715625</v>
      </c>
      <c r="C625" s="1" t="n">
        <v>45931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13461-2024</t>
        </is>
      </c>
      <c r="B626" s="1" t="n">
        <v>45387.55202546297</v>
      </c>
      <c r="C626" s="1" t="n">
        <v>45931</v>
      </c>
      <c r="D626" t="inlineStr">
        <is>
          <t>GÄVLEBORGS LÄN</t>
        </is>
      </c>
      <c r="E626" t="inlineStr">
        <is>
          <t>BOLLNÄS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21211-2025</t>
        </is>
      </c>
      <c r="B627" s="1" t="n">
        <v>45779</v>
      </c>
      <c r="C627" s="1" t="n">
        <v>45931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34175-2022</t>
        </is>
      </c>
      <c r="B628" s="1" t="n">
        <v>44791</v>
      </c>
      <c r="C628" s="1" t="n">
        <v>45931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22835-2024</t>
        </is>
      </c>
      <c r="B629" s="1" t="n">
        <v>45448</v>
      </c>
      <c r="C629" s="1" t="n">
        <v>45931</v>
      </c>
      <c r="D629" t="inlineStr">
        <is>
          <t>GÄVLEBORGS LÄN</t>
        </is>
      </c>
      <c r="E629" t="inlineStr">
        <is>
          <t>BOLLNÄS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28339-2025</t>
        </is>
      </c>
      <c r="B630" s="1" t="n">
        <v>45818.67405092593</v>
      </c>
      <c r="C630" s="1" t="n">
        <v>45931</v>
      </c>
      <c r="D630" t="inlineStr">
        <is>
          <t>GÄVLEBORGS LÄN</t>
        </is>
      </c>
      <c r="E630" t="inlineStr">
        <is>
          <t>BOLLNÄS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49401-2023</t>
        </is>
      </c>
      <c r="B631" s="1" t="n">
        <v>45211.42238425926</v>
      </c>
      <c r="C631" s="1" t="n">
        <v>45931</v>
      </c>
      <c r="D631" t="inlineStr">
        <is>
          <t>GÄVLEBORGS LÄN</t>
        </is>
      </c>
      <c r="E631" t="inlineStr">
        <is>
          <t>BOLLNÄS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45557-2023</t>
        </is>
      </c>
      <c r="B632" s="1" t="n">
        <v>45194.58666666667</v>
      </c>
      <c r="C632" s="1" t="n">
        <v>45931</v>
      </c>
      <c r="D632" t="inlineStr">
        <is>
          <t>GÄVLEBORGS LÄN</t>
        </is>
      </c>
      <c r="E632" t="inlineStr">
        <is>
          <t>BOLLNÄS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28983-2022</t>
        </is>
      </c>
      <c r="B633" s="1" t="n">
        <v>44749.65376157407</v>
      </c>
      <c r="C633" s="1" t="n">
        <v>45931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51261-2023</t>
        </is>
      </c>
      <c r="B634" s="1" t="n">
        <v>45219</v>
      </c>
      <c r="C634" s="1" t="n">
        <v>45931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8035-2025</t>
        </is>
      </c>
      <c r="B635" s="1" t="n">
        <v>45707.59410879629</v>
      </c>
      <c r="C635" s="1" t="n">
        <v>45931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63862-2023</t>
        </is>
      </c>
      <c r="B636" s="1" t="n">
        <v>45278.49693287037</v>
      </c>
      <c r="C636" s="1" t="n">
        <v>45931</v>
      </c>
      <c r="D636" t="inlineStr">
        <is>
          <t>GÄVLEBORGS LÄN</t>
        </is>
      </c>
      <c r="E636" t="inlineStr">
        <is>
          <t>BOLLNÄS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28338-2025</t>
        </is>
      </c>
      <c r="B637" s="1" t="n">
        <v>45818.66855324074</v>
      </c>
      <c r="C637" s="1" t="n">
        <v>45931</v>
      </c>
      <c r="D637" t="inlineStr">
        <is>
          <t>GÄVLEBORGS LÄN</t>
        </is>
      </c>
      <c r="E637" t="inlineStr">
        <is>
          <t>BOLLNÄS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47852-2023</t>
        </is>
      </c>
      <c r="B638" s="1" t="n">
        <v>45204</v>
      </c>
      <c r="C638" s="1" t="n">
        <v>45931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9002-2025</t>
        </is>
      </c>
      <c r="B639" s="1" t="n">
        <v>45713.56700231481</v>
      </c>
      <c r="C639" s="1" t="n">
        <v>45931</v>
      </c>
      <c r="D639" t="inlineStr">
        <is>
          <t>GÄVLEBORGS LÄN</t>
        </is>
      </c>
      <c r="E639" t="inlineStr">
        <is>
          <t>BOLLNÄS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7461-2021</t>
        </is>
      </c>
      <c r="B640" s="1" t="n">
        <v>44239</v>
      </c>
      <c r="C640" s="1" t="n">
        <v>45931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28333-2025</t>
        </is>
      </c>
      <c r="B641" s="1" t="n">
        <v>45818.66342592592</v>
      </c>
      <c r="C641" s="1" t="n">
        <v>45931</v>
      </c>
      <c r="D641" t="inlineStr">
        <is>
          <t>GÄVLEBORGS LÄN</t>
        </is>
      </c>
      <c r="E641" t="inlineStr">
        <is>
          <t>BOLLNÄS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59740-2023</t>
        </is>
      </c>
      <c r="B642" s="1" t="n">
        <v>45257</v>
      </c>
      <c r="C642" s="1" t="n">
        <v>45931</v>
      </c>
      <c r="D642" t="inlineStr">
        <is>
          <t>GÄVLEBORGS LÄN</t>
        </is>
      </c>
      <c r="E642" t="inlineStr">
        <is>
          <t>BOLLNÄS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57689-2022</t>
        </is>
      </c>
      <c r="B643" s="1" t="n">
        <v>44897</v>
      </c>
      <c r="C643" s="1" t="n">
        <v>45931</v>
      </c>
      <c r="D643" t="inlineStr">
        <is>
          <t>GÄVLEBORGS LÄN</t>
        </is>
      </c>
      <c r="E643" t="inlineStr">
        <is>
          <t>BOLLNÄS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28429-2025</t>
        </is>
      </c>
      <c r="B644" s="1" t="n">
        <v>45819.37796296296</v>
      </c>
      <c r="C644" s="1" t="n">
        <v>45931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14030-2025</t>
        </is>
      </c>
      <c r="B645" s="1" t="n">
        <v>45740</v>
      </c>
      <c r="C645" s="1" t="n">
        <v>45931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28477-2025</t>
        </is>
      </c>
      <c r="B646" s="1" t="n">
        <v>45819.44628472222</v>
      </c>
      <c r="C646" s="1" t="n">
        <v>45931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28520-2025</t>
        </is>
      </c>
      <c r="B647" s="1" t="n">
        <v>45819.48962962963</v>
      </c>
      <c r="C647" s="1" t="n">
        <v>45931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28570-2025</t>
        </is>
      </c>
      <c r="B648" s="1" t="n">
        <v>45819.55990740741</v>
      </c>
      <c r="C648" s="1" t="n">
        <v>45931</v>
      </c>
      <c r="D648" t="inlineStr">
        <is>
          <t>GÄVLEBORGS LÄN</t>
        </is>
      </c>
      <c r="E648" t="inlineStr">
        <is>
          <t>BOLLNÄS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21616-2022</t>
        </is>
      </c>
      <c r="B649" s="1" t="n">
        <v>44706</v>
      </c>
      <c r="C649" s="1" t="n">
        <v>45931</v>
      </c>
      <c r="D649" t="inlineStr">
        <is>
          <t>GÄVLEBORGS LÄN</t>
        </is>
      </c>
      <c r="E649" t="inlineStr">
        <is>
          <t>BOLLNÄS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24741-2024</t>
        </is>
      </c>
      <c r="B650" s="1" t="n">
        <v>45460.66142361111</v>
      </c>
      <c r="C650" s="1" t="n">
        <v>45931</v>
      </c>
      <c r="D650" t="inlineStr">
        <is>
          <t>GÄVLEBORGS LÄN</t>
        </is>
      </c>
      <c r="E650" t="inlineStr">
        <is>
          <t>BOLLNÄS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28455-2025</t>
        </is>
      </c>
      <c r="B651" s="1" t="n">
        <v>45819.4068287037</v>
      </c>
      <c r="C651" s="1" t="n">
        <v>45931</v>
      </c>
      <c r="D651" t="inlineStr">
        <is>
          <t>GÄVLEBORGS LÄN</t>
        </is>
      </c>
      <c r="E651" t="inlineStr">
        <is>
          <t>BOLLNÄS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28753-2025</t>
        </is>
      </c>
      <c r="B652" s="1" t="n">
        <v>45820.40336805556</v>
      </c>
      <c r="C652" s="1" t="n">
        <v>45931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28446-2025</t>
        </is>
      </c>
      <c r="B653" s="1" t="n">
        <v>45819.39910879629</v>
      </c>
      <c r="C653" s="1" t="n">
        <v>45931</v>
      </c>
      <c r="D653" t="inlineStr">
        <is>
          <t>GÄVLEBORGS LÄN</t>
        </is>
      </c>
      <c r="E653" t="inlineStr">
        <is>
          <t>BOLLNÄS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28462-2025</t>
        </is>
      </c>
      <c r="B654" s="1" t="n">
        <v>45819.41706018519</v>
      </c>
      <c r="C654" s="1" t="n">
        <v>45931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55570-2024</t>
        </is>
      </c>
      <c r="B655" s="1" t="n">
        <v>45622.5512037037</v>
      </c>
      <c r="C655" s="1" t="n">
        <v>45931</v>
      </c>
      <c r="D655" t="inlineStr">
        <is>
          <t>GÄVLEBORGS LÄN</t>
        </is>
      </c>
      <c r="E655" t="inlineStr">
        <is>
          <t>BOLLNÄS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28618-2025</t>
        </is>
      </c>
      <c r="B656" s="1" t="n">
        <v>45819.61023148148</v>
      </c>
      <c r="C656" s="1" t="n">
        <v>45931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21009-2022</t>
        </is>
      </c>
      <c r="B657" s="1" t="n">
        <v>44704.34877314815</v>
      </c>
      <c r="C657" s="1" t="n">
        <v>45931</v>
      </c>
      <c r="D657" t="inlineStr">
        <is>
          <t>GÄVLEBORGS LÄN</t>
        </is>
      </c>
      <c r="E657" t="inlineStr">
        <is>
          <t>BOLLNÄS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5388-2024</t>
        </is>
      </c>
      <c r="B658" s="1" t="n">
        <v>45331</v>
      </c>
      <c r="C658" s="1" t="n">
        <v>45931</v>
      </c>
      <c r="D658" t="inlineStr">
        <is>
          <t>GÄVLEBORGS LÄN</t>
        </is>
      </c>
      <c r="E658" t="inlineStr">
        <is>
          <t>BOLLNÄS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29378-2025</t>
        </is>
      </c>
      <c r="B659" s="1" t="n">
        <v>45824.5883912037</v>
      </c>
      <c r="C659" s="1" t="n">
        <v>45931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31434-2022</t>
        </is>
      </c>
      <c r="B660" s="1" t="n">
        <v>44774.92517361111</v>
      </c>
      <c r="C660" s="1" t="n">
        <v>45931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57546-2023</t>
        </is>
      </c>
      <c r="B661" s="1" t="n">
        <v>45246</v>
      </c>
      <c r="C661" s="1" t="n">
        <v>45931</v>
      </c>
      <c r="D661" t="inlineStr">
        <is>
          <t>GÄVLEBORGS LÄN</t>
        </is>
      </c>
      <c r="E661" t="inlineStr">
        <is>
          <t>BOLLNÄS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8665-2025</t>
        </is>
      </c>
      <c r="B662" s="1" t="n">
        <v>45712.40818287037</v>
      </c>
      <c r="C662" s="1" t="n">
        <v>45931</v>
      </c>
      <c r="D662" t="inlineStr">
        <is>
          <t>GÄVLEBORGS LÄN</t>
        </is>
      </c>
      <c r="E662" t="inlineStr">
        <is>
          <t>BOLLNÄS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62685-2023</t>
        </is>
      </c>
      <c r="B663" s="1" t="n">
        <v>45271.49274305555</v>
      </c>
      <c r="C663" s="1" t="n">
        <v>45931</v>
      </c>
      <c r="D663" t="inlineStr">
        <is>
          <t>GÄVLEBORGS LÄN</t>
        </is>
      </c>
      <c r="E663" t="inlineStr">
        <is>
          <t>BOLLNÄS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64422-2023</t>
        </is>
      </c>
      <c r="B664" s="1" t="n">
        <v>45280.65898148148</v>
      </c>
      <c r="C664" s="1" t="n">
        <v>45931</v>
      </c>
      <c r="D664" t="inlineStr">
        <is>
          <t>GÄVLEBORGS LÄN</t>
        </is>
      </c>
      <c r="E664" t="inlineStr">
        <is>
          <t>BOLLNÄS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57384-2024</t>
        </is>
      </c>
      <c r="B665" s="1" t="n">
        <v>45629.68210648148</v>
      </c>
      <c r="C665" s="1" t="n">
        <v>45931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27804-2024</t>
        </is>
      </c>
      <c r="B666" s="1" t="n">
        <v>45475.5766087963</v>
      </c>
      <c r="C666" s="1" t="n">
        <v>45931</v>
      </c>
      <c r="D666" t="inlineStr">
        <is>
          <t>GÄVLEBORGS LÄN</t>
        </is>
      </c>
      <c r="E666" t="inlineStr">
        <is>
          <t>BOLLNÄS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17529-2024</t>
        </is>
      </c>
      <c r="B667" s="1" t="n">
        <v>45415</v>
      </c>
      <c r="C667" s="1" t="n">
        <v>45931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51310-2023</t>
        </is>
      </c>
      <c r="B668" s="1" t="n">
        <v>45219.56564814815</v>
      </c>
      <c r="C668" s="1" t="n">
        <v>45931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51952-2023</t>
        </is>
      </c>
      <c r="B669" s="1" t="n">
        <v>45223.53648148148</v>
      </c>
      <c r="C669" s="1" t="n">
        <v>45931</v>
      </c>
      <c r="D669" t="inlineStr">
        <is>
          <t>GÄVLEBORGS LÄN</t>
        </is>
      </c>
      <c r="E669" t="inlineStr">
        <is>
          <t>BOLLNÄS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29776-2025</t>
        </is>
      </c>
      <c r="B670" s="1" t="n">
        <v>45825.64038194445</v>
      </c>
      <c r="C670" s="1" t="n">
        <v>45931</v>
      </c>
      <c r="D670" t="inlineStr">
        <is>
          <t>GÄVLEBORGS LÄN</t>
        </is>
      </c>
      <c r="E670" t="inlineStr">
        <is>
          <t>BOLLNÄS</t>
        </is>
      </c>
      <c r="F670" t="inlineStr">
        <is>
          <t>Sveaskog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29780-2025</t>
        </is>
      </c>
      <c r="B671" s="1" t="n">
        <v>45825.64649305555</v>
      </c>
      <c r="C671" s="1" t="n">
        <v>45931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29766-2025</t>
        </is>
      </c>
      <c r="B672" s="1" t="n">
        <v>45825.61914351852</v>
      </c>
      <c r="C672" s="1" t="n">
        <v>45931</v>
      </c>
      <c r="D672" t="inlineStr">
        <is>
          <t>GÄVLEBORGS LÄN</t>
        </is>
      </c>
      <c r="E672" t="inlineStr">
        <is>
          <t>BOLLNÄS</t>
        </is>
      </c>
      <c r="F672" t="inlineStr">
        <is>
          <t>Sveaskog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63108-2021</t>
        </is>
      </c>
      <c r="B673" s="1" t="n">
        <v>44505</v>
      </c>
      <c r="C673" s="1" t="n">
        <v>45931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10021-2025</t>
        </is>
      </c>
      <c r="B674" s="1" t="n">
        <v>45719</v>
      </c>
      <c r="C674" s="1" t="n">
        <v>45931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9700-2025</t>
        </is>
      </c>
      <c r="B675" s="1" t="n">
        <v>45716.37511574074</v>
      </c>
      <c r="C675" s="1" t="n">
        <v>45931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10030-2025</t>
        </is>
      </c>
      <c r="B676" s="1" t="n">
        <v>45719.49319444445</v>
      </c>
      <c r="C676" s="1" t="n">
        <v>45931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29930-2025</t>
        </is>
      </c>
      <c r="B677" s="1" t="n">
        <v>45826.43805555555</v>
      </c>
      <c r="C677" s="1" t="n">
        <v>45931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32754-2023</t>
        </is>
      </c>
      <c r="B678" s="1" t="n">
        <v>45123</v>
      </c>
      <c r="C678" s="1" t="n">
        <v>45931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29777-2025</t>
        </is>
      </c>
      <c r="B679" s="1" t="n">
        <v>45825.64113425926</v>
      </c>
      <c r="C679" s="1" t="n">
        <v>45931</v>
      </c>
      <c r="D679" t="inlineStr">
        <is>
          <t>GÄVLEBORGS LÄN</t>
        </is>
      </c>
      <c r="E679" t="inlineStr">
        <is>
          <t>BOLLNÄS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42350-2022</t>
        </is>
      </c>
      <c r="B680" s="1" t="n">
        <v>44831.36085648148</v>
      </c>
      <c r="C680" s="1" t="n">
        <v>45931</v>
      </c>
      <c r="D680" t="inlineStr">
        <is>
          <t>GÄVLEBORGS LÄN</t>
        </is>
      </c>
      <c r="E680" t="inlineStr">
        <is>
          <t>BOLLNÄS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29575-2025</t>
        </is>
      </c>
      <c r="B681" s="1" t="n">
        <v>45825.37327546296</v>
      </c>
      <c r="C681" s="1" t="n">
        <v>45931</v>
      </c>
      <c r="D681" t="inlineStr">
        <is>
          <t>GÄVLEBORGS LÄN</t>
        </is>
      </c>
      <c r="E681" t="inlineStr">
        <is>
          <t>BOLLNÄS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30455-2025</t>
        </is>
      </c>
      <c r="B682" s="1" t="n">
        <v>45827</v>
      </c>
      <c r="C682" s="1" t="n">
        <v>45931</v>
      </c>
      <c r="D682" t="inlineStr">
        <is>
          <t>GÄVLEBORGS LÄN</t>
        </is>
      </c>
      <c r="E682" t="inlineStr">
        <is>
          <t>BOLLNÄS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30292-2025</t>
        </is>
      </c>
      <c r="B683" s="1" t="n">
        <v>45827.47149305556</v>
      </c>
      <c r="C683" s="1" t="n">
        <v>45931</v>
      </c>
      <c r="D683" t="inlineStr">
        <is>
          <t>GÄVLEBORGS LÄN</t>
        </is>
      </c>
      <c r="E683" t="inlineStr">
        <is>
          <t>BOLLNÄS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30303-2025</t>
        </is>
      </c>
      <c r="B684" s="1" t="n">
        <v>45827.48033564815</v>
      </c>
      <c r="C684" s="1" t="n">
        <v>45931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30308-2025</t>
        </is>
      </c>
      <c r="B685" s="1" t="n">
        <v>45827.4880787037</v>
      </c>
      <c r="C685" s="1" t="n">
        <v>45931</v>
      </c>
      <c r="D685" t="inlineStr">
        <is>
          <t>GÄVLEBORGS LÄN</t>
        </is>
      </c>
      <c r="E685" t="inlineStr">
        <is>
          <t>BOLLNÄS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30456-2025</t>
        </is>
      </c>
      <c r="B686" s="1" t="n">
        <v>45827</v>
      </c>
      <c r="C686" s="1" t="n">
        <v>45931</v>
      </c>
      <c r="D686" t="inlineStr">
        <is>
          <t>GÄVLEBORGS LÄN</t>
        </is>
      </c>
      <c r="E686" t="inlineStr">
        <is>
          <t>BOLLNÄS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30458-2025</t>
        </is>
      </c>
      <c r="B687" s="1" t="n">
        <v>45827</v>
      </c>
      <c r="C687" s="1" t="n">
        <v>45931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30454-2025</t>
        </is>
      </c>
      <c r="B688" s="1" t="n">
        <v>45827</v>
      </c>
      <c r="C688" s="1" t="n">
        <v>45931</v>
      </c>
      <c r="D688" t="inlineStr">
        <is>
          <t>GÄVLEBORGS LÄN</t>
        </is>
      </c>
      <c r="E688" t="inlineStr">
        <is>
          <t>BOLLNÄS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28645-2024</t>
        </is>
      </c>
      <c r="B689" s="1" t="n">
        <v>45478.46400462963</v>
      </c>
      <c r="C689" s="1" t="n">
        <v>45931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6882-2023</t>
        </is>
      </c>
      <c r="B690" s="1" t="n">
        <v>44967.48270833334</v>
      </c>
      <c r="C690" s="1" t="n">
        <v>45931</v>
      </c>
      <c r="D690" t="inlineStr">
        <is>
          <t>GÄVLEBORGS LÄN</t>
        </is>
      </c>
      <c r="E690" t="inlineStr">
        <is>
          <t>BOLLNÄS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28981-2022</t>
        </is>
      </c>
      <c r="B691" s="1" t="n">
        <v>44749.65293981481</v>
      </c>
      <c r="C691" s="1" t="n">
        <v>45931</v>
      </c>
      <c r="D691" t="inlineStr">
        <is>
          <t>GÄVLEBORGS LÄN</t>
        </is>
      </c>
      <c r="E691" t="inlineStr">
        <is>
          <t>BOLLNÄS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36087-2023</t>
        </is>
      </c>
      <c r="B692" s="1" t="n">
        <v>45149</v>
      </c>
      <c r="C692" s="1" t="n">
        <v>45931</v>
      </c>
      <c r="D692" t="inlineStr">
        <is>
          <t>GÄVLEBORGS LÄN</t>
        </is>
      </c>
      <c r="E692" t="inlineStr">
        <is>
          <t>BOLLNÄS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42575-2024</t>
        </is>
      </c>
      <c r="B693" s="1" t="n">
        <v>45565.64587962963</v>
      </c>
      <c r="C693" s="1" t="n">
        <v>45931</v>
      </c>
      <c r="D693" t="inlineStr">
        <is>
          <t>GÄVLEBORGS LÄN</t>
        </is>
      </c>
      <c r="E693" t="inlineStr">
        <is>
          <t>BOLLNÄS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37071-2022</t>
        </is>
      </c>
      <c r="B694" s="1" t="n">
        <v>44806</v>
      </c>
      <c r="C694" s="1" t="n">
        <v>45931</v>
      </c>
      <c r="D694" t="inlineStr">
        <is>
          <t>GÄVLEBORGS LÄN</t>
        </is>
      </c>
      <c r="E694" t="inlineStr">
        <is>
          <t>BOLLNÄS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30749-2025</t>
        </is>
      </c>
      <c r="B695" s="1" t="n">
        <v>45831.58878472223</v>
      </c>
      <c r="C695" s="1" t="n">
        <v>45931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58506-2023</t>
        </is>
      </c>
      <c r="B696" s="1" t="n">
        <v>45251</v>
      </c>
      <c r="C696" s="1" t="n">
        <v>45931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27612-2024</t>
        </is>
      </c>
      <c r="B697" s="1" t="n">
        <v>45474.7375925926</v>
      </c>
      <c r="C697" s="1" t="n">
        <v>45931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30650-2025</t>
        </is>
      </c>
      <c r="B698" s="1" t="n">
        <v>45831.50133101852</v>
      </c>
      <c r="C698" s="1" t="n">
        <v>45931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21061-2023</t>
        </is>
      </c>
      <c r="B699" s="1" t="n">
        <v>45061</v>
      </c>
      <c r="C699" s="1" t="n">
        <v>45931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30653-2025</t>
        </is>
      </c>
      <c r="B700" s="1" t="n">
        <v>45831.50354166667</v>
      </c>
      <c r="C700" s="1" t="n">
        <v>45931</v>
      </c>
      <c r="D700" t="inlineStr">
        <is>
          <t>GÄVLEBORGS LÄN</t>
        </is>
      </c>
      <c r="E700" t="inlineStr">
        <is>
          <t>BOLLNÄS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14681-2023</t>
        </is>
      </c>
      <c r="B701" s="1" t="n">
        <v>45014.3017824074</v>
      </c>
      <c r="C701" s="1" t="n">
        <v>45931</v>
      </c>
      <c r="D701" t="inlineStr">
        <is>
          <t>GÄVLEBORGS LÄN</t>
        </is>
      </c>
      <c r="E701" t="inlineStr">
        <is>
          <t>BOLLNÄS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51443-2022</t>
        </is>
      </c>
      <c r="B702" s="1" t="n">
        <v>44869.489375</v>
      </c>
      <c r="C702" s="1" t="n">
        <v>45931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44715-2022</t>
        </is>
      </c>
      <c r="B703" s="1" t="n">
        <v>44840</v>
      </c>
      <c r="C703" s="1" t="n">
        <v>45931</v>
      </c>
      <c r="D703" t="inlineStr">
        <is>
          <t>GÄVLEBORGS LÄN</t>
        </is>
      </c>
      <c r="E703" t="inlineStr">
        <is>
          <t>BOLLNÄS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56120-2024</t>
        </is>
      </c>
      <c r="B704" s="1" t="n">
        <v>45624.46519675926</v>
      </c>
      <c r="C704" s="1" t="n">
        <v>45931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53036-2024</t>
        </is>
      </c>
      <c r="B705" s="1" t="n">
        <v>45611.43383101852</v>
      </c>
      <c r="C705" s="1" t="n">
        <v>45931</v>
      </c>
      <c r="D705" t="inlineStr">
        <is>
          <t>GÄVLEBORGS LÄN</t>
        </is>
      </c>
      <c r="E705" t="inlineStr">
        <is>
          <t>BOLLNÄS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3976-2023</t>
        </is>
      </c>
      <c r="B706" s="1" t="n">
        <v>44952</v>
      </c>
      <c r="C706" s="1" t="n">
        <v>45931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31851-2025</t>
        </is>
      </c>
      <c r="B707" s="1" t="n">
        <v>45834.60839120371</v>
      </c>
      <c r="C707" s="1" t="n">
        <v>45931</v>
      </c>
      <c r="D707" t="inlineStr">
        <is>
          <t>GÄVLEBORGS LÄN</t>
        </is>
      </c>
      <c r="E707" t="inlineStr">
        <is>
          <t>BOLLNÄS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61514-2024</t>
        </is>
      </c>
      <c r="B708" s="1" t="n">
        <v>45646.57283564815</v>
      </c>
      <c r="C708" s="1" t="n">
        <v>45931</v>
      </c>
      <c r="D708" t="inlineStr">
        <is>
          <t>GÄVLEBORGS LÄN</t>
        </is>
      </c>
      <c r="E708" t="inlineStr">
        <is>
          <t>BOLLNÄS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2297-2024</t>
        </is>
      </c>
      <c r="B709" s="1" t="n">
        <v>45310.43618055555</v>
      </c>
      <c r="C709" s="1" t="n">
        <v>45931</v>
      </c>
      <c r="D709" t="inlineStr">
        <is>
          <t>GÄVLEBORGS LÄN</t>
        </is>
      </c>
      <c r="E709" t="inlineStr">
        <is>
          <t>BOLLNÄS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11645-2022</t>
        </is>
      </c>
      <c r="B710" s="1" t="n">
        <v>44631</v>
      </c>
      <c r="C710" s="1" t="n">
        <v>45931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16909-2025</t>
        </is>
      </c>
      <c r="B711" s="1" t="n">
        <v>45755.35984953704</v>
      </c>
      <c r="C711" s="1" t="n">
        <v>45931</v>
      </c>
      <c r="D711" t="inlineStr">
        <is>
          <t>GÄVLEBORGS LÄN</t>
        </is>
      </c>
      <c r="E711" t="inlineStr">
        <is>
          <t>BOLLNÄS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11956-2023</t>
        </is>
      </c>
      <c r="B712" s="1" t="n">
        <v>44995.54887731482</v>
      </c>
      <c r="C712" s="1" t="n">
        <v>45931</v>
      </c>
      <c r="D712" t="inlineStr">
        <is>
          <t>GÄVLEBORGS LÄN</t>
        </is>
      </c>
      <c r="E712" t="inlineStr">
        <is>
          <t>BOLLNÄS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31719-2025</t>
        </is>
      </c>
      <c r="B713" s="1" t="n">
        <v>45834.46130787037</v>
      </c>
      <c r="C713" s="1" t="n">
        <v>45931</v>
      </c>
      <c r="D713" t="inlineStr">
        <is>
          <t>GÄVLEBORGS LÄN</t>
        </is>
      </c>
      <c r="E713" t="inlineStr">
        <is>
          <t>BOLLNÄS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58753-2021</t>
        </is>
      </c>
      <c r="B714" s="1" t="n">
        <v>44489</v>
      </c>
      <c r="C714" s="1" t="n">
        <v>45931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34941-2024</t>
        </is>
      </c>
      <c r="B715" s="1" t="n">
        <v>45527.46644675926</v>
      </c>
      <c r="C715" s="1" t="n">
        <v>45931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31374-2025</t>
        </is>
      </c>
      <c r="B716" s="1" t="n">
        <v>45833.44599537037</v>
      </c>
      <c r="C716" s="1" t="n">
        <v>45931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61711-2023</t>
        </is>
      </c>
      <c r="B717" s="1" t="n">
        <v>45265.66679398148</v>
      </c>
      <c r="C717" s="1" t="n">
        <v>45931</v>
      </c>
      <c r="D717" t="inlineStr">
        <is>
          <t>GÄVLEBORGS LÄN</t>
        </is>
      </c>
      <c r="E717" t="inlineStr">
        <is>
          <t>BOLLNÄS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46664-2024</t>
        </is>
      </c>
      <c r="B718" s="1" t="n">
        <v>45583.36581018518</v>
      </c>
      <c r="C718" s="1" t="n">
        <v>45931</v>
      </c>
      <c r="D718" t="inlineStr">
        <is>
          <t>GÄVLEBORGS LÄN</t>
        </is>
      </c>
      <c r="E718" t="inlineStr">
        <is>
          <t>BOLLNÄS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31711-2025</t>
        </is>
      </c>
      <c r="B719" s="1" t="n">
        <v>45834.44530092592</v>
      </c>
      <c r="C719" s="1" t="n">
        <v>45931</v>
      </c>
      <c r="D719" t="inlineStr">
        <is>
          <t>GÄVLEBORGS LÄN</t>
        </is>
      </c>
      <c r="E719" t="inlineStr">
        <is>
          <t>BOLLNÄS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64538-2021</t>
        </is>
      </c>
      <c r="B720" s="1" t="n">
        <v>44511</v>
      </c>
      <c r="C720" s="1" t="n">
        <v>45931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32189-2025</t>
        </is>
      </c>
      <c r="B721" s="1" t="n">
        <v>45835.57047453704</v>
      </c>
      <c r="C721" s="1" t="n">
        <v>45931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40386-2024</t>
        </is>
      </c>
      <c r="B722" s="1" t="n">
        <v>45555.43184027778</v>
      </c>
      <c r="C722" s="1" t="n">
        <v>45931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31971-2025</t>
        </is>
      </c>
      <c r="B723" s="1" t="n">
        <v>45835.34876157407</v>
      </c>
      <c r="C723" s="1" t="n">
        <v>45931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23440-2024</t>
        </is>
      </c>
      <c r="B724" s="1" t="n">
        <v>45453</v>
      </c>
      <c r="C724" s="1" t="n">
        <v>45931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32603-2025</t>
        </is>
      </c>
      <c r="B725" s="1" t="n">
        <v>45838.62444444445</v>
      </c>
      <c r="C725" s="1" t="n">
        <v>45931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32587-2025</t>
        </is>
      </c>
      <c r="B726" s="1" t="n">
        <v>45838.60077546296</v>
      </c>
      <c r="C726" s="1" t="n">
        <v>45931</v>
      </c>
      <c r="D726" t="inlineStr">
        <is>
          <t>GÄVLEBORGS LÄN</t>
        </is>
      </c>
      <c r="E726" t="inlineStr">
        <is>
          <t>BOLLNÄS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32588-2025</t>
        </is>
      </c>
      <c r="B727" s="1" t="n">
        <v>45838.60314814815</v>
      </c>
      <c r="C727" s="1" t="n">
        <v>45931</v>
      </c>
      <c r="D727" t="inlineStr">
        <is>
          <t>GÄVLEBORGS LÄN</t>
        </is>
      </c>
      <c r="E727" t="inlineStr">
        <is>
          <t>BOLLNÄS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1988-2025</t>
        </is>
      </c>
      <c r="B728" s="1" t="n">
        <v>45672.40888888889</v>
      </c>
      <c r="C728" s="1" t="n">
        <v>45931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2006-2025</t>
        </is>
      </c>
      <c r="B729" s="1" t="n">
        <v>45672.45166666667</v>
      </c>
      <c r="C729" s="1" t="n">
        <v>45931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41962-2022</t>
        </is>
      </c>
      <c r="B730" s="1" t="n">
        <v>44830</v>
      </c>
      <c r="C730" s="1" t="n">
        <v>45931</v>
      </c>
      <c r="D730" t="inlineStr">
        <is>
          <t>GÄVLEBORGS LÄN</t>
        </is>
      </c>
      <c r="E730" t="inlineStr">
        <is>
          <t>BOLLNÄS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31948-2025</t>
        </is>
      </c>
      <c r="B731" s="1" t="n">
        <v>45835.32489583334</v>
      </c>
      <c r="C731" s="1" t="n">
        <v>45931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32165-2025</t>
        </is>
      </c>
      <c r="B732" s="1" t="n">
        <v>45835.54614583333</v>
      </c>
      <c r="C732" s="1" t="n">
        <v>45931</v>
      </c>
      <c r="D732" t="inlineStr">
        <is>
          <t>GÄVLEBORGS LÄN</t>
        </is>
      </c>
      <c r="E732" t="inlineStr">
        <is>
          <t>BOLLNÄS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14986-2025</t>
        </is>
      </c>
      <c r="B733" s="1" t="n">
        <v>45743.60083333333</v>
      </c>
      <c r="C733" s="1" t="n">
        <v>45931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32411-2025</t>
        </is>
      </c>
      <c r="B734" s="1" t="n">
        <v>45838.33667824074</v>
      </c>
      <c r="C734" s="1" t="n">
        <v>45931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31954-2025</t>
        </is>
      </c>
      <c r="B735" s="1" t="n">
        <v>45835.34113425926</v>
      </c>
      <c r="C735" s="1" t="n">
        <v>45931</v>
      </c>
      <c r="D735" t="inlineStr">
        <is>
          <t>GÄVLEBORGS LÄN</t>
        </is>
      </c>
      <c r="E735" t="inlineStr">
        <is>
          <t>BOLLNÄS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32062-2023</t>
        </is>
      </c>
      <c r="B736" s="1" t="n">
        <v>45119.56549768519</v>
      </c>
      <c r="C736" s="1" t="n">
        <v>45931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33137-2025</t>
        </is>
      </c>
      <c r="B737" s="1" t="n">
        <v>45840.5125</v>
      </c>
      <c r="C737" s="1" t="n">
        <v>45931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33153-2025</t>
        </is>
      </c>
      <c r="B738" s="1" t="n">
        <v>45840.55234953704</v>
      </c>
      <c r="C738" s="1" t="n">
        <v>45931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23848-2025</t>
        </is>
      </c>
      <c r="B739" s="1" t="n">
        <v>45793</v>
      </c>
      <c r="C739" s="1" t="n">
        <v>45931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30794-2024</t>
        </is>
      </c>
      <c r="B740" s="1" t="n">
        <v>45497.28417824074</v>
      </c>
      <c r="C740" s="1" t="n">
        <v>45931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33179-2025</t>
        </is>
      </c>
      <c r="B741" s="1" t="n">
        <v>45840</v>
      </c>
      <c r="C741" s="1" t="n">
        <v>45931</v>
      </c>
      <c r="D741" t="inlineStr">
        <is>
          <t>GÄVLEBORGS LÄN</t>
        </is>
      </c>
      <c r="E741" t="inlineStr">
        <is>
          <t>BOLLNÄS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51867-2022</t>
        </is>
      </c>
      <c r="B742" s="1" t="n">
        <v>44872.58997685185</v>
      </c>
      <c r="C742" s="1" t="n">
        <v>45931</v>
      </c>
      <c r="D742" t="inlineStr">
        <is>
          <t>GÄVLEBORGS LÄN</t>
        </is>
      </c>
      <c r="E742" t="inlineStr">
        <is>
          <t>BOLLNÄS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31385-2023</t>
        </is>
      </c>
      <c r="B743" s="1" t="n">
        <v>45114</v>
      </c>
      <c r="C743" s="1" t="n">
        <v>45931</v>
      </c>
      <c r="D743" t="inlineStr">
        <is>
          <t>GÄVLEBORGS LÄN</t>
        </is>
      </c>
      <c r="E743" t="inlineStr">
        <is>
          <t>BOLLNÄS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33259-2025</t>
        </is>
      </c>
      <c r="B744" s="1" t="n">
        <v>45840.67278935185</v>
      </c>
      <c r="C744" s="1" t="n">
        <v>45931</v>
      </c>
      <c r="D744" t="inlineStr">
        <is>
          <t>GÄVLEBORGS LÄN</t>
        </is>
      </c>
      <c r="E744" t="inlineStr">
        <is>
          <t>BOLLNÄS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32405-2025</t>
        </is>
      </c>
      <c r="B745" s="1" t="n">
        <v>45838.31546296296</v>
      </c>
      <c r="C745" s="1" t="n">
        <v>45931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48336-2023</t>
        </is>
      </c>
      <c r="B746" s="1" t="n">
        <v>45205</v>
      </c>
      <c r="C746" s="1" t="n">
        <v>45931</v>
      </c>
      <c r="D746" t="inlineStr">
        <is>
          <t>GÄVLEBORGS LÄN</t>
        </is>
      </c>
      <c r="E746" t="inlineStr">
        <is>
          <t>BOLLNÄS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54772-2022</t>
        </is>
      </c>
      <c r="B747" s="1" t="n">
        <v>44883</v>
      </c>
      <c r="C747" s="1" t="n">
        <v>45931</v>
      </c>
      <c r="D747" t="inlineStr">
        <is>
          <t>GÄVLEBORGS LÄN</t>
        </is>
      </c>
      <c r="E747" t="inlineStr">
        <is>
          <t>BOLLNÄS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33944-2025</t>
        </is>
      </c>
      <c r="B748" s="1" t="n">
        <v>45842.64752314815</v>
      </c>
      <c r="C748" s="1" t="n">
        <v>45931</v>
      </c>
      <c r="D748" t="inlineStr">
        <is>
          <t>GÄVLEBORGS LÄN</t>
        </is>
      </c>
      <c r="E748" t="inlineStr">
        <is>
          <t>BOLLNÄS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521-2024</t>
        </is>
      </c>
      <c r="B749" s="1" t="n">
        <v>45299.4562037037</v>
      </c>
      <c r="C749" s="1" t="n">
        <v>45931</v>
      </c>
      <c r="D749" t="inlineStr">
        <is>
          <t>GÄVLEBORGS LÄN</t>
        </is>
      </c>
      <c r="E749" t="inlineStr">
        <is>
          <t>BOLLNÄS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41597-2024</t>
        </is>
      </c>
      <c r="B750" s="1" t="n">
        <v>45560.57574074074</v>
      </c>
      <c r="C750" s="1" t="n">
        <v>45931</v>
      </c>
      <c r="D750" t="inlineStr">
        <is>
          <t>GÄVLEBORGS LÄN</t>
        </is>
      </c>
      <c r="E750" t="inlineStr">
        <is>
          <t>BOLLNÄS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34846-2024</t>
        </is>
      </c>
      <c r="B751" s="1" t="n">
        <v>45527.30645833333</v>
      </c>
      <c r="C751" s="1" t="n">
        <v>45931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26440-2024</t>
        </is>
      </c>
      <c r="B752" s="1" t="n">
        <v>45469.49199074074</v>
      </c>
      <c r="C752" s="1" t="n">
        <v>45931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33630-2025</t>
        </is>
      </c>
      <c r="B753" s="1" t="n">
        <v>45841.63774305556</v>
      </c>
      <c r="C753" s="1" t="n">
        <v>45931</v>
      </c>
      <c r="D753" t="inlineStr">
        <is>
          <t>GÄVLEBORGS LÄN</t>
        </is>
      </c>
      <c r="E753" t="inlineStr">
        <is>
          <t>BOLLNÄS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33639-2025</t>
        </is>
      </c>
      <c r="B754" s="1" t="n">
        <v>45841.64856481482</v>
      </c>
      <c r="C754" s="1" t="n">
        <v>45931</v>
      </c>
      <c r="D754" t="inlineStr">
        <is>
          <t>GÄVLEBORGS LÄN</t>
        </is>
      </c>
      <c r="E754" t="inlineStr">
        <is>
          <t>BOLLNÄS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25631-2022</t>
        </is>
      </c>
      <c r="B755" s="1" t="n">
        <v>44732</v>
      </c>
      <c r="C755" s="1" t="n">
        <v>45931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33642-2025</t>
        </is>
      </c>
      <c r="B756" s="1" t="n">
        <v>45841.65119212963</v>
      </c>
      <c r="C756" s="1" t="n">
        <v>45931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33624-2025</t>
        </is>
      </c>
      <c r="B757" s="1" t="n">
        <v>45841.63111111111</v>
      </c>
      <c r="C757" s="1" t="n">
        <v>45931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26246-2024</t>
        </is>
      </c>
      <c r="B758" s="1" t="n">
        <v>45468.63453703704</v>
      </c>
      <c r="C758" s="1" t="n">
        <v>45931</v>
      </c>
      <c r="D758" t="inlineStr">
        <is>
          <t>GÄVLEBORGS LÄN</t>
        </is>
      </c>
      <c r="E758" t="inlineStr">
        <is>
          <t>BOLLNÄS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27482-2024</t>
        </is>
      </c>
      <c r="B759" s="1" t="n">
        <v>45474.47489583334</v>
      </c>
      <c r="C759" s="1" t="n">
        <v>45931</v>
      </c>
      <c r="D759" t="inlineStr">
        <is>
          <t>GÄVLEBORGS LÄN</t>
        </is>
      </c>
      <c r="E759" t="inlineStr">
        <is>
          <t>BOLLNÄS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52874-2024</t>
        </is>
      </c>
      <c r="B760" s="1" t="n">
        <v>45610.63042824074</v>
      </c>
      <c r="C760" s="1" t="n">
        <v>45931</v>
      </c>
      <c r="D760" t="inlineStr">
        <is>
          <t>GÄVLEBORGS LÄN</t>
        </is>
      </c>
      <c r="E760" t="inlineStr">
        <is>
          <t>BOLLNÄS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34396-2025</t>
        </is>
      </c>
      <c r="B761" s="1" t="n">
        <v>45846.5946412037</v>
      </c>
      <c r="C761" s="1" t="n">
        <v>45931</v>
      </c>
      <c r="D761" t="inlineStr">
        <is>
          <t>GÄVLEBORGS LÄN</t>
        </is>
      </c>
      <c r="E761" t="inlineStr">
        <is>
          <t>BOLLNÄS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50066-2022</t>
        </is>
      </c>
      <c r="B762" s="1" t="n">
        <v>44865.47965277778</v>
      </c>
      <c r="C762" s="1" t="n">
        <v>45931</v>
      </c>
      <c r="D762" t="inlineStr">
        <is>
          <t>GÄVLEBORGS LÄN</t>
        </is>
      </c>
      <c r="E762" t="inlineStr">
        <is>
          <t>BOLLNÄS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56704-2023</t>
        </is>
      </c>
      <c r="B763" s="1" t="n">
        <v>45244</v>
      </c>
      <c r="C763" s="1" t="n">
        <v>45931</v>
      </c>
      <c r="D763" t="inlineStr">
        <is>
          <t>GÄVLEBORGS LÄN</t>
        </is>
      </c>
      <c r="E763" t="inlineStr">
        <is>
          <t>BOLLNÄS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52181-2024</t>
        </is>
      </c>
      <c r="B764" s="1" t="n">
        <v>45608.56155092592</v>
      </c>
      <c r="C764" s="1" t="n">
        <v>45931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29881-2024</t>
        </is>
      </c>
      <c r="B765" s="1" t="n">
        <v>45486.76454861111</v>
      </c>
      <c r="C765" s="1" t="n">
        <v>45931</v>
      </c>
      <c r="D765" t="inlineStr">
        <is>
          <t>GÄVLEBORGS LÄN</t>
        </is>
      </c>
      <c r="E765" t="inlineStr">
        <is>
          <t>BOLLNÄS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20165-2025</t>
        </is>
      </c>
      <c r="B766" s="1" t="n">
        <v>45772.57445601852</v>
      </c>
      <c r="C766" s="1" t="n">
        <v>45931</v>
      </c>
      <c r="D766" t="inlineStr">
        <is>
          <t>GÄVLEBORGS LÄN</t>
        </is>
      </c>
      <c r="E766" t="inlineStr">
        <is>
          <t>BOLLNÄS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34202-2025</t>
        </is>
      </c>
      <c r="B767" s="1" t="n">
        <v>45845.63385416667</v>
      </c>
      <c r="C767" s="1" t="n">
        <v>45931</v>
      </c>
      <c r="D767" t="inlineStr">
        <is>
          <t>GÄVLEBORGS LÄN</t>
        </is>
      </c>
      <c r="E767" t="inlineStr">
        <is>
          <t>BOLLNÄS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68112-2021</t>
        </is>
      </c>
      <c r="B768" s="1" t="n">
        <v>44526.37672453704</v>
      </c>
      <c r="C768" s="1" t="n">
        <v>45931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34216-2025</t>
        </is>
      </c>
      <c r="B769" s="1" t="n">
        <v>45845.64680555555</v>
      </c>
      <c r="C769" s="1" t="n">
        <v>45931</v>
      </c>
      <c r="D769" t="inlineStr">
        <is>
          <t>GÄVLEBORGS LÄN</t>
        </is>
      </c>
      <c r="E769" t="inlineStr">
        <is>
          <t>BOLLNÄS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34224-2025</t>
        </is>
      </c>
      <c r="B770" s="1" t="n">
        <v>45845.65662037037</v>
      </c>
      <c r="C770" s="1" t="n">
        <v>45931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34239-2025</t>
        </is>
      </c>
      <c r="B771" s="1" t="n">
        <v>45845.67314814815</v>
      </c>
      <c r="C771" s="1" t="n">
        <v>45931</v>
      </c>
      <c r="D771" t="inlineStr">
        <is>
          <t>GÄVLEBORGS LÄN</t>
        </is>
      </c>
      <c r="E771" t="inlineStr">
        <is>
          <t>BOLLNÄS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34233-2025</t>
        </is>
      </c>
      <c r="B772" s="1" t="n">
        <v>45845</v>
      </c>
      <c r="C772" s="1" t="n">
        <v>45931</v>
      </c>
      <c r="D772" t="inlineStr">
        <is>
          <t>GÄVLEBORGS LÄN</t>
        </is>
      </c>
      <c r="E772" t="inlineStr">
        <is>
          <t>BOLLNÄS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43310-2024</t>
        </is>
      </c>
      <c r="B773" s="1" t="n">
        <v>45568.44828703703</v>
      </c>
      <c r="C773" s="1" t="n">
        <v>45931</v>
      </c>
      <c r="D773" t="inlineStr">
        <is>
          <t>GÄVLEBORGS LÄN</t>
        </is>
      </c>
      <c r="E773" t="inlineStr">
        <is>
          <t>BOLLNÄS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28523-2023</t>
        </is>
      </c>
      <c r="B774" s="1" t="n">
        <v>45103.4828587963</v>
      </c>
      <c r="C774" s="1" t="n">
        <v>45931</v>
      </c>
      <c r="D774" t="inlineStr">
        <is>
          <t>GÄVLEBORGS LÄN</t>
        </is>
      </c>
      <c r="E774" t="inlineStr">
        <is>
          <t>BOLLNÄS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34553-2025</t>
        </is>
      </c>
      <c r="B775" s="1" t="n">
        <v>45847.5684375</v>
      </c>
      <c r="C775" s="1" t="n">
        <v>45931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39526-2025</t>
        </is>
      </c>
      <c r="B776" s="1" t="n">
        <v>45890.44188657407</v>
      </c>
      <c r="C776" s="1" t="n">
        <v>45931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34688-2025</t>
        </is>
      </c>
      <c r="B777" s="1" t="n">
        <v>45848</v>
      </c>
      <c r="C777" s="1" t="n">
        <v>45931</v>
      </c>
      <c r="D777" t="inlineStr">
        <is>
          <t>GÄVLEBORGS LÄN</t>
        </is>
      </c>
      <c r="E777" t="inlineStr">
        <is>
          <t>BOLLNÄS</t>
        </is>
      </c>
      <c r="F777" t="inlineStr">
        <is>
          <t>Holmen skog AB</t>
        </is>
      </c>
      <c r="G777" t="n">
        <v>32.6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34560-2025</t>
        </is>
      </c>
      <c r="B778" s="1" t="n">
        <v>45847.57548611111</v>
      </c>
      <c r="C778" s="1" t="n">
        <v>45931</v>
      </c>
      <c r="D778" t="inlineStr">
        <is>
          <t>GÄVLEBORGS LÄN</t>
        </is>
      </c>
      <c r="E778" t="inlineStr">
        <is>
          <t>BOLLNÄS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8774-2025</t>
        </is>
      </c>
      <c r="B779" s="1" t="n">
        <v>45712.61496527777</v>
      </c>
      <c r="C779" s="1" t="n">
        <v>45931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34515-2025</t>
        </is>
      </c>
      <c r="B780" s="1" t="n">
        <v>45847.46365740741</v>
      </c>
      <c r="C780" s="1" t="n">
        <v>45931</v>
      </c>
      <c r="D780" t="inlineStr">
        <is>
          <t>GÄVLEBORGS LÄN</t>
        </is>
      </c>
      <c r="E780" t="inlineStr">
        <is>
          <t>BOLLNÄS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12451-2023</t>
        </is>
      </c>
      <c r="B781" s="1" t="n">
        <v>44999.57931712963</v>
      </c>
      <c r="C781" s="1" t="n">
        <v>45931</v>
      </c>
      <c r="D781" t="inlineStr">
        <is>
          <t>GÄVLEBORGS LÄN</t>
        </is>
      </c>
      <c r="E781" t="inlineStr">
        <is>
          <t>BOLLNÄS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34481-2025</t>
        </is>
      </c>
      <c r="B782" s="1" t="n">
        <v>45847.37819444444</v>
      </c>
      <c r="C782" s="1" t="n">
        <v>45931</v>
      </c>
      <c r="D782" t="inlineStr">
        <is>
          <t>GÄVLEBORGS LÄN</t>
        </is>
      </c>
      <c r="E782" t="inlineStr">
        <is>
          <t>BOLLNÄS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12815-2025</t>
        </is>
      </c>
      <c r="B783" s="1" t="n">
        <v>45733.62225694444</v>
      </c>
      <c r="C783" s="1" t="n">
        <v>45931</v>
      </c>
      <c r="D783" t="inlineStr">
        <is>
          <t>GÄVLEBORGS LÄN</t>
        </is>
      </c>
      <c r="E783" t="inlineStr">
        <is>
          <t>BOLLNÄS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7129-2025</t>
        </is>
      </c>
      <c r="B784" s="1" t="n">
        <v>45702</v>
      </c>
      <c r="C784" s="1" t="n">
        <v>45931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18438-2024</t>
        </is>
      </c>
      <c r="B785" s="1" t="n">
        <v>45425.44804398148</v>
      </c>
      <c r="C785" s="1" t="n">
        <v>45931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17375-2024</t>
        </is>
      </c>
      <c r="B786" s="1" t="n">
        <v>45414.63744212963</v>
      </c>
      <c r="C786" s="1" t="n">
        <v>45931</v>
      </c>
      <c r="D786" t="inlineStr">
        <is>
          <t>GÄVLEBORGS LÄN</t>
        </is>
      </c>
      <c r="E786" t="inlineStr">
        <is>
          <t>BOLLNÄS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35095-2025</t>
        </is>
      </c>
      <c r="B787" s="1" t="n">
        <v>45852.5432175926</v>
      </c>
      <c r="C787" s="1" t="n">
        <v>45931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39881-2025</t>
        </is>
      </c>
      <c r="B788" s="1" t="n">
        <v>45891.61936342593</v>
      </c>
      <c r="C788" s="1" t="n">
        <v>45931</v>
      </c>
      <c r="D788" t="inlineStr">
        <is>
          <t>GÄVLEBORGS LÄN</t>
        </is>
      </c>
      <c r="E788" t="inlineStr">
        <is>
          <t>BOLLNÄS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38934-2024</t>
        </is>
      </c>
      <c r="B789" s="1" t="n">
        <v>45548</v>
      </c>
      <c r="C789" s="1" t="n">
        <v>45931</v>
      </c>
      <c r="D789" t="inlineStr">
        <is>
          <t>GÄVLEBORGS LÄN</t>
        </is>
      </c>
      <c r="E789" t="inlineStr">
        <is>
          <t>BOLLNÄS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44177-2022</t>
        </is>
      </c>
      <c r="B790" s="1" t="n">
        <v>44839</v>
      </c>
      <c r="C790" s="1" t="n">
        <v>45931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40007-2025</t>
        </is>
      </c>
      <c r="B791" s="1" t="n">
        <v>45894.34238425926</v>
      </c>
      <c r="C791" s="1" t="n">
        <v>45931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57781-2024</t>
        </is>
      </c>
      <c r="B792" s="1" t="n">
        <v>45631</v>
      </c>
      <c r="C792" s="1" t="n">
        <v>45931</v>
      </c>
      <c r="D792" t="inlineStr">
        <is>
          <t>GÄVLEBORGS LÄN</t>
        </is>
      </c>
      <c r="E792" t="inlineStr">
        <is>
          <t>BOLLNÄS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35169-2025</t>
        </is>
      </c>
      <c r="B793" s="1" t="n">
        <v>45852</v>
      </c>
      <c r="C793" s="1" t="n">
        <v>45931</v>
      </c>
      <c r="D793" t="inlineStr">
        <is>
          <t>GÄVLEBORGS LÄN</t>
        </is>
      </c>
      <c r="E793" t="inlineStr">
        <is>
          <t>BOLLNÄS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59729-2022</t>
        </is>
      </c>
      <c r="B794" s="1" t="n">
        <v>44908</v>
      </c>
      <c r="C794" s="1" t="n">
        <v>45931</v>
      </c>
      <c r="D794" t="inlineStr">
        <is>
          <t>GÄVLEBORGS LÄN</t>
        </is>
      </c>
      <c r="E794" t="inlineStr">
        <is>
          <t>BOLLNÄS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2802-2025</t>
        </is>
      </c>
      <c r="B795" s="1" t="n">
        <v>45677.58137731482</v>
      </c>
      <c r="C795" s="1" t="n">
        <v>45931</v>
      </c>
      <c r="D795" t="inlineStr">
        <is>
          <t>GÄVLEBORGS LÄN</t>
        </is>
      </c>
      <c r="E795" t="inlineStr">
        <is>
          <t>BOLLNÄS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5135-2022</t>
        </is>
      </c>
      <c r="B796" s="1" t="n">
        <v>44594.32063657408</v>
      </c>
      <c r="C796" s="1" t="n">
        <v>45931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39091-2024</t>
        </is>
      </c>
      <c r="B797" s="1" t="n">
        <v>45548.55346064815</v>
      </c>
      <c r="C797" s="1" t="n">
        <v>45931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40333-2025</t>
        </is>
      </c>
      <c r="B798" s="1" t="n">
        <v>45895.46172453704</v>
      </c>
      <c r="C798" s="1" t="n">
        <v>45931</v>
      </c>
      <c r="D798" t="inlineStr">
        <is>
          <t>GÄVLEBORGS LÄN</t>
        </is>
      </c>
      <c r="E798" t="inlineStr">
        <is>
          <t>BOLLNÄS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35208-2025</t>
        </is>
      </c>
      <c r="B799" s="1" t="n">
        <v>45853</v>
      </c>
      <c r="C799" s="1" t="n">
        <v>45931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28162-2021</t>
        </is>
      </c>
      <c r="B800" s="1" t="n">
        <v>44355.59233796296</v>
      </c>
      <c r="C800" s="1" t="n">
        <v>45931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30561-2024</t>
        </is>
      </c>
      <c r="B801" s="1" t="n">
        <v>45492.92834490741</v>
      </c>
      <c r="C801" s="1" t="n">
        <v>45931</v>
      </c>
      <c r="D801" t="inlineStr">
        <is>
          <t>GÄVLEBORGS LÄN</t>
        </is>
      </c>
      <c r="E801" t="inlineStr">
        <is>
          <t>BOLLNÄS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40653-2023</t>
        </is>
      </c>
      <c r="B802" s="1" t="n">
        <v>45169</v>
      </c>
      <c r="C802" s="1" t="n">
        <v>45931</v>
      </c>
      <c r="D802" t="inlineStr">
        <is>
          <t>GÄVLEBORGS LÄN</t>
        </is>
      </c>
      <c r="E802" t="inlineStr">
        <is>
          <t>BOLLNÄS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49624-2022</t>
        </is>
      </c>
      <c r="B803" s="1" t="n">
        <v>44862</v>
      </c>
      <c r="C803" s="1" t="n">
        <v>45931</v>
      </c>
      <c r="D803" t="inlineStr">
        <is>
          <t>GÄVLEBORGS LÄN</t>
        </is>
      </c>
      <c r="E803" t="inlineStr">
        <is>
          <t>BOLLNÄS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40632-2025</t>
        </is>
      </c>
      <c r="B804" s="1" t="n">
        <v>45896.6021875</v>
      </c>
      <c r="C804" s="1" t="n">
        <v>45931</v>
      </c>
      <c r="D804" t="inlineStr">
        <is>
          <t>GÄVLEBORGS LÄN</t>
        </is>
      </c>
      <c r="E804" t="inlineStr">
        <is>
          <t>BOLLNÄS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65403-2021</t>
        </is>
      </c>
      <c r="B805" s="1" t="n">
        <v>44515</v>
      </c>
      <c r="C805" s="1" t="n">
        <v>45931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53566-2022</t>
        </is>
      </c>
      <c r="B806" s="1" t="n">
        <v>44879</v>
      </c>
      <c r="C806" s="1" t="n">
        <v>45931</v>
      </c>
      <c r="D806" t="inlineStr">
        <is>
          <t>GÄVLEBORGS LÄN</t>
        </is>
      </c>
      <c r="E806" t="inlineStr">
        <is>
          <t>BOLLNÄS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40335-2025</t>
        </is>
      </c>
      <c r="B807" s="1" t="n">
        <v>45895.4652199074</v>
      </c>
      <c r="C807" s="1" t="n">
        <v>45931</v>
      </c>
      <c r="D807" t="inlineStr">
        <is>
          <t>GÄVLEBORGS LÄN</t>
        </is>
      </c>
      <c r="E807" t="inlineStr">
        <is>
          <t>BOLLNÄS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730-2021</t>
        </is>
      </c>
      <c r="B808" s="1" t="n">
        <v>44204</v>
      </c>
      <c r="C808" s="1" t="n">
        <v>45931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40777-2025</t>
        </is>
      </c>
      <c r="B809" s="1" t="n">
        <v>45897.43212962963</v>
      </c>
      <c r="C809" s="1" t="n">
        <v>45931</v>
      </c>
      <c r="D809" t="inlineStr">
        <is>
          <t>GÄVLEBORGS LÄN</t>
        </is>
      </c>
      <c r="E809" t="inlineStr">
        <is>
          <t>BOLLNÄS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35447-2025</t>
        </is>
      </c>
      <c r="B810" s="1" t="n">
        <v>45855.54505787037</v>
      </c>
      <c r="C810" s="1" t="n">
        <v>45931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24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40453-2024</t>
        </is>
      </c>
      <c r="B811" s="1" t="n">
        <v>45555.49383101852</v>
      </c>
      <c r="C811" s="1" t="n">
        <v>45931</v>
      </c>
      <c r="D811" t="inlineStr">
        <is>
          <t>GÄVLEBORGS LÄN</t>
        </is>
      </c>
      <c r="E811" t="inlineStr">
        <is>
          <t>BOLLNÄS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14050-2023</t>
        </is>
      </c>
      <c r="B812" s="1" t="n">
        <v>45008</v>
      </c>
      <c r="C812" s="1" t="n">
        <v>45931</v>
      </c>
      <c r="D812" t="inlineStr">
        <is>
          <t>GÄVLEBORGS LÄN</t>
        </is>
      </c>
      <c r="E812" t="inlineStr">
        <is>
          <t>BOLLNÄS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41072-2025</t>
        </is>
      </c>
      <c r="B813" s="1" t="n">
        <v>45898.42072916667</v>
      </c>
      <c r="C813" s="1" t="n">
        <v>45931</v>
      </c>
      <c r="D813" t="inlineStr">
        <is>
          <t>GÄVLEBORGS LÄN</t>
        </is>
      </c>
      <c r="E813" t="inlineStr">
        <is>
          <t>BOLLNÄS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41088-2025</t>
        </is>
      </c>
      <c r="B814" s="1" t="n">
        <v>45898.43726851852</v>
      </c>
      <c r="C814" s="1" t="n">
        <v>45931</v>
      </c>
      <c r="D814" t="inlineStr">
        <is>
          <t>GÄVLEBORGS LÄN</t>
        </is>
      </c>
      <c r="E814" t="inlineStr">
        <is>
          <t>BOLLNÄS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59638-2024</t>
        </is>
      </c>
      <c r="B815" s="1" t="n">
        <v>45639.28372685185</v>
      </c>
      <c r="C815" s="1" t="n">
        <v>45931</v>
      </c>
      <c r="D815" t="inlineStr">
        <is>
          <t>GÄVLEBORGS LÄN</t>
        </is>
      </c>
      <c r="E815" t="inlineStr">
        <is>
          <t>BOLLNÄS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35380-2025</t>
        </is>
      </c>
      <c r="B816" s="1" t="n">
        <v>45855.3087962963</v>
      </c>
      <c r="C816" s="1" t="n">
        <v>45931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28314-2023</t>
        </is>
      </c>
      <c r="B817" s="1" t="n">
        <v>45099.66478009259</v>
      </c>
      <c r="C817" s="1" t="n">
        <v>45931</v>
      </c>
      <c r="D817" t="inlineStr">
        <is>
          <t>GÄVLEBORGS LÄN</t>
        </is>
      </c>
      <c r="E817" t="inlineStr">
        <is>
          <t>BOLLNÄS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41081-2025</t>
        </is>
      </c>
      <c r="B818" s="1" t="n">
        <v>45898.42881944445</v>
      </c>
      <c r="C818" s="1" t="n">
        <v>45931</v>
      </c>
      <c r="D818" t="inlineStr">
        <is>
          <t>GÄVLEBORGS LÄN</t>
        </is>
      </c>
      <c r="E818" t="inlineStr">
        <is>
          <t>BOLLNÄS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51681-2024</t>
        </is>
      </c>
      <c r="B819" s="1" t="n">
        <v>45607.34104166667</v>
      </c>
      <c r="C819" s="1" t="n">
        <v>45931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41167-2025</t>
        </is>
      </c>
      <c r="B820" s="1" t="n">
        <v>45898.54394675926</v>
      </c>
      <c r="C820" s="1" t="n">
        <v>45931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40780-2025</t>
        </is>
      </c>
      <c r="B821" s="1" t="n">
        <v>45897.43541666667</v>
      </c>
      <c r="C821" s="1" t="n">
        <v>45931</v>
      </c>
      <c r="D821" t="inlineStr">
        <is>
          <t>GÄVLEBORGS LÄN</t>
        </is>
      </c>
      <c r="E821" t="inlineStr">
        <is>
          <t>BOLLNÄS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40927-2025</t>
        </is>
      </c>
      <c r="B822" s="1" t="n">
        <v>45897.643125</v>
      </c>
      <c r="C822" s="1" t="n">
        <v>45931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41504-2025</t>
        </is>
      </c>
      <c r="B823" s="1" t="n">
        <v>45901.52376157408</v>
      </c>
      <c r="C823" s="1" t="n">
        <v>45931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16627-2025</t>
        </is>
      </c>
      <c r="B824" s="1" t="n">
        <v>45754.35082175926</v>
      </c>
      <c r="C824" s="1" t="n">
        <v>45931</v>
      </c>
      <c r="D824" t="inlineStr">
        <is>
          <t>GÄVLEBORGS LÄN</t>
        </is>
      </c>
      <c r="E824" t="inlineStr">
        <is>
          <t>BOLLNÄS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41655-2025</t>
        </is>
      </c>
      <c r="B825" s="1" t="n">
        <v>45902.34259259259</v>
      </c>
      <c r="C825" s="1" t="n">
        <v>45931</v>
      </c>
      <c r="D825" t="inlineStr">
        <is>
          <t>GÄVLEBORGS LÄN</t>
        </is>
      </c>
      <c r="E825" t="inlineStr">
        <is>
          <t>BOLLNÄS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7464-2021</t>
        </is>
      </c>
      <c r="B826" s="1" t="n">
        <v>44239</v>
      </c>
      <c r="C826" s="1" t="n">
        <v>45931</v>
      </c>
      <c r="D826" t="inlineStr">
        <is>
          <t>GÄVLEBORGS LÄN</t>
        </is>
      </c>
      <c r="E826" t="inlineStr">
        <is>
          <t>BOLLNÄS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36877-2022</t>
        </is>
      </c>
      <c r="B827" s="1" t="n">
        <v>44805</v>
      </c>
      <c r="C827" s="1" t="n">
        <v>45931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60729-2020</t>
        </is>
      </c>
      <c r="B828" s="1" t="n">
        <v>44153</v>
      </c>
      <c r="C828" s="1" t="n">
        <v>45931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41740-2023</t>
        </is>
      </c>
      <c r="B829" s="1" t="n">
        <v>45176.41961805556</v>
      </c>
      <c r="C829" s="1" t="n">
        <v>45931</v>
      </c>
      <c r="D829" t="inlineStr">
        <is>
          <t>GÄVLEBORGS LÄN</t>
        </is>
      </c>
      <c r="E829" t="inlineStr">
        <is>
          <t>BOLLNÄS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61592-2022</t>
        </is>
      </c>
      <c r="B830" s="1" t="n">
        <v>44916</v>
      </c>
      <c r="C830" s="1" t="n">
        <v>45931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6879-2023</t>
        </is>
      </c>
      <c r="B831" s="1" t="n">
        <v>44967.4797337963</v>
      </c>
      <c r="C831" s="1" t="n">
        <v>45931</v>
      </c>
      <c r="D831" t="inlineStr">
        <is>
          <t>GÄVLEBORGS LÄN</t>
        </is>
      </c>
      <c r="E831" t="inlineStr">
        <is>
          <t>BOLLNÄS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13465-2025</t>
        </is>
      </c>
      <c r="B832" s="1" t="n">
        <v>45736.39627314815</v>
      </c>
      <c r="C832" s="1" t="n">
        <v>45931</v>
      </c>
      <c r="D832" t="inlineStr">
        <is>
          <t>GÄVLEBORGS LÄN</t>
        </is>
      </c>
      <c r="E832" t="inlineStr">
        <is>
          <t>BOLLNÄS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41408-2025</t>
        </is>
      </c>
      <c r="B833" s="1" t="n">
        <v>45901.34625</v>
      </c>
      <c r="C833" s="1" t="n">
        <v>45931</v>
      </c>
      <c r="D833" t="inlineStr">
        <is>
          <t>GÄVLEBORGS LÄN</t>
        </is>
      </c>
      <c r="E833" t="inlineStr">
        <is>
          <t>BOLLNÄS</t>
        </is>
      </c>
      <c r="F833" t="inlineStr">
        <is>
          <t>Kyrkan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41057-2025</t>
        </is>
      </c>
      <c r="B834" s="1" t="n">
        <v>45898</v>
      </c>
      <c r="C834" s="1" t="n">
        <v>45931</v>
      </c>
      <c r="D834" t="inlineStr">
        <is>
          <t>GÄVLEBORGS LÄN</t>
        </is>
      </c>
      <c r="E834" t="inlineStr">
        <is>
          <t>BOLLNÄS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12087-2025</t>
        </is>
      </c>
      <c r="B835" s="1" t="n">
        <v>45729.27089120371</v>
      </c>
      <c r="C835" s="1" t="n">
        <v>45931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62423-2020</t>
        </is>
      </c>
      <c r="B836" s="1" t="n">
        <v>44160</v>
      </c>
      <c r="C836" s="1" t="n">
        <v>45931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42340-2025</t>
        </is>
      </c>
      <c r="B837" s="1" t="n">
        <v>45904</v>
      </c>
      <c r="C837" s="1" t="n">
        <v>45931</v>
      </c>
      <c r="D837" t="inlineStr">
        <is>
          <t>GÄVLEBORGS LÄN</t>
        </is>
      </c>
      <c r="E837" t="inlineStr">
        <is>
          <t>BOLLNÄS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60759-2024</t>
        </is>
      </c>
      <c r="B838" s="1" t="n">
        <v>45644.57359953703</v>
      </c>
      <c r="C838" s="1" t="n">
        <v>45931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34887-2022</t>
        </is>
      </c>
      <c r="B839" s="1" t="n">
        <v>44796</v>
      </c>
      <c r="C839" s="1" t="n">
        <v>45931</v>
      </c>
      <c r="D839" t="inlineStr">
        <is>
          <t>GÄVLEBORGS LÄN</t>
        </is>
      </c>
      <c r="E839" t="inlineStr">
        <is>
          <t>BOLLNÄS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46958-2024</t>
        </is>
      </c>
      <c r="B840" s="1" t="n">
        <v>45586.29105324074</v>
      </c>
      <c r="C840" s="1" t="n">
        <v>45931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42341-2025</t>
        </is>
      </c>
      <c r="B841" s="1" t="n">
        <v>45904</v>
      </c>
      <c r="C841" s="1" t="n">
        <v>45931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42477-2025</t>
        </is>
      </c>
      <c r="B842" s="1" t="n">
        <v>45905.46831018518</v>
      </c>
      <c r="C842" s="1" t="n">
        <v>45931</v>
      </c>
      <c r="D842" t="inlineStr">
        <is>
          <t>GÄVLEBORGS LÄN</t>
        </is>
      </c>
      <c r="E842" t="inlineStr">
        <is>
          <t>BOLLNÄS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42865-2025</t>
        </is>
      </c>
      <c r="B843" s="1" t="n">
        <v>45908</v>
      </c>
      <c r="C843" s="1" t="n">
        <v>45931</v>
      </c>
      <c r="D843" t="inlineStr">
        <is>
          <t>GÄVLEBORGS LÄN</t>
        </is>
      </c>
      <c r="E843" t="inlineStr">
        <is>
          <t>BOLLNÄS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28795-2024</t>
        </is>
      </c>
      <c r="B844" s="1" t="n">
        <v>45478.61697916667</v>
      </c>
      <c r="C844" s="1" t="n">
        <v>45931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28801-2024</t>
        </is>
      </c>
      <c r="B845" s="1" t="n">
        <v>45478.62592592592</v>
      </c>
      <c r="C845" s="1" t="n">
        <v>45931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42513-2025</t>
        </is>
      </c>
      <c r="B846" s="1" t="n">
        <v>45905.54412037037</v>
      </c>
      <c r="C846" s="1" t="n">
        <v>45931</v>
      </c>
      <c r="D846" t="inlineStr">
        <is>
          <t>GÄVLEBORGS LÄN</t>
        </is>
      </c>
      <c r="E846" t="inlineStr">
        <is>
          <t>BOLLNÄS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42690-2025</t>
        </is>
      </c>
      <c r="B847" s="1" t="n">
        <v>45908.35690972222</v>
      </c>
      <c r="C847" s="1" t="n">
        <v>45931</v>
      </c>
      <c r="D847" t="inlineStr">
        <is>
          <t>GÄVLEBORGS LÄN</t>
        </is>
      </c>
      <c r="E847" t="inlineStr">
        <is>
          <t>BOLLNÄS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27558-2023</t>
        </is>
      </c>
      <c r="B848" s="1" t="n">
        <v>45097</v>
      </c>
      <c r="C848" s="1" t="n">
        <v>45931</v>
      </c>
      <c r="D848" t="inlineStr">
        <is>
          <t>GÄVLEBORGS LÄN</t>
        </is>
      </c>
      <c r="E848" t="inlineStr">
        <is>
          <t>BOLLNÄS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50571-2020</t>
        </is>
      </c>
      <c r="B849" s="1" t="n">
        <v>44110</v>
      </c>
      <c r="C849" s="1" t="n">
        <v>45931</v>
      </c>
      <c r="D849" t="inlineStr">
        <is>
          <t>GÄVLEBORGS LÄN</t>
        </is>
      </c>
      <c r="E849" t="inlineStr">
        <is>
          <t>BOLLNÄS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42516-2025</t>
        </is>
      </c>
      <c r="B850" s="1" t="n">
        <v>45905.54534722222</v>
      </c>
      <c r="C850" s="1" t="n">
        <v>45931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42443-2025</t>
        </is>
      </c>
      <c r="B851" s="1" t="n">
        <v>45905.43700231481</v>
      </c>
      <c r="C851" s="1" t="n">
        <v>45931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42669-2025</t>
        </is>
      </c>
      <c r="B852" s="1" t="n">
        <v>45908.27134259259</v>
      </c>
      <c r="C852" s="1" t="n">
        <v>45931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48301-2023</t>
        </is>
      </c>
      <c r="B853" s="1" t="n">
        <v>45205</v>
      </c>
      <c r="C853" s="1" t="n">
        <v>45931</v>
      </c>
      <c r="D853" t="inlineStr">
        <is>
          <t>GÄVLEBORGS LÄN</t>
        </is>
      </c>
      <c r="E853" t="inlineStr">
        <is>
          <t>BOLLNÄS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15464-2022</t>
        </is>
      </c>
      <c r="B854" s="1" t="n">
        <v>44662</v>
      </c>
      <c r="C854" s="1" t="n">
        <v>45931</v>
      </c>
      <c r="D854" t="inlineStr">
        <is>
          <t>GÄVLEBORGS LÄN</t>
        </is>
      </c>
      <c r="E854" t="inlineStr">
        <is>
          <t>BOLLNÄS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37194-2023</t>
        </is>
      </c>
      <c r="B855" s="1" t="n">
        <v>45155.66672453703</v>
      </c>
      <c r="C855" s="1" t="n">
        <v>45931</v>
      </c>
      <c r="D855" t="inlineStr">
        <is>
          <t>GÄVLEBORGS LÄN</t>
        </is>
      </c>
      <c r="E855" t="inlineStr">
        <is>
          <t>BOLLNÄS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36228-2025</t>
        </is>
      </c>
      <c r="B856" s="1" t="n">
        <v>45867.53563657407</v>
      </c>
      <c r="C856" s="1" t="n">
        <v>45931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34852-2021</t>
        </is>
      </c>
      <c r="B857" s="1" t="n">
        <v>44383</v>
      </c>
      <c r="C857" s="1" t="n">
        <v>45931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36234-2025</t>
        </is>
      </c>
      <c r="B858" s="1" t="n">
        <v>45867.54785879629</v>
      </c>
      <c r="C858" s="1" t="n">
        <v>45931</v>
      </c>
      <c r="D858" t="inlineStr">
        <is>
          <t>GÄVLEBORGS LÄN</t>
        </is>
      </c>
      <c r="E858" t="inlineStr">
        <is>
          <t>BOLLNÄS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36265-2025</t>
        </is>
      </c>
      <c r="B859" s="1" t="n">
        <v>45867.61561342593</v>
      </c>
      <c r="C859" s="1" t="n">
        <v>45931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36231-2025</t>
        </is>
      </c>
      <c r="B860" s="1" t="n">
        <v>45867.5446875</v>
      </c>
      <c r="C860" s="1" t="n">
        <v>45931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71657-2021</t>
        </is>
      </c>
      <c r="B861" s="1" t="n">
        <v>44543.37199074074</v>
      </c>
      <c r="C861" s="1" t="n">
        <v>45931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18151-2024</t>
        </is>
      </c>
      <c r="B862" s="1" t="n">
        <v>45420.60313657407</v>
      </c>
      <c r="C862" s="1" t="n">
        <v>45931</v>
      </c>
      <c r="D862" t="inlineStr">
        <is>
          <t>GÄVLEBORGS LÄN</t>
        </is>
      </c>
      <c r="E862" t="inlineStr">
        <is>
          <t>BOLLNÄS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55048-2022</t>
        </is>
      </c>
      <c r="B863" s="1" t="n">
        <v>44886</v>
      </c>
      <c r="C863" s="1" t="n">
        <v>45931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51259-2023</t>
        </is>
      </c>
      <c r="B864" s="1" t="n">
        <v>45219</v>
      </c>
      <c r="C864" s="1" t="n">
        <v>45931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11799-2025</t>
        </is>
      </c>
      <c r="B865" s="1" t="n">
        <v>45727.8137037037</v>
      </c>
      <c r="C865" s="1" t="n">
        <v>45931</v>
      </c>
      <c r="D865" t="inlineStr">
        <is>
          <t>GÄVLEBORGS LÄN</t>
        </is>
      </c>
      <c r="E865" t="inlineStr">
        <is>
          <t>BOLLNÄS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39886-2025</t>
        </is>
      </c>
      <c r="B866" s="1" t="n">
        <v>45891</v>
      </c>
      <c r="C866" s="1" t="n">
        <v>45931</v>
      </c>
      <c r="D866" t="inlineStr">
        <is>
          <t>GÄVLEBORGS LÄN</t>
        </is>
      </c>
      <c r="E866" t="inlineStr">
        <is>
          <t>BOLLNÄS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39897-2025</t>
        </is>
      </c>
      <c r="B867" s="1" t="n">
        <v>45891</v>
      </c>
      <c r="C867" s="1" t="n">
        <v>45931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36471-2025</t>
        </is>
      </c>
      <c r="B868" s="1" t="n">
        <v>45869.4811574074</v>
      </c>
      <c r="C868" s="1" t="n">
        <v>45931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43808-2025</t>
        </is>
      </c>
      <c r="B869" s="1" t="n">
        <v>45912.57952546296</v>
      </c>
      <c r="C869" s="1" t="n">
        <v>45931</v>
      </c>
      <c r="D869" t="inlineStr">
        <is>
          <t>GÄVLEBORGS LÄN</t>
        </is>
      </c>
      <c r="E869" t="inlineStr">
        <is>
          <t>BOLLNÄS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28080-2024</t>
        </is>
      </c>
      <c r="B870" s="1" t="n">
        <v>45476.58725694445</v>
      </c>
      <c r="C870" s="1" t="n">
        <v>45931</v>
      </c>
      <c r="D870" t="inlineStr">
        <is>
          <t>GÄVLEBORGS LÄN</t>
        </is>
      </c>
      <c r="E870" t="inlineStr">
        <is>
          <t>BOLLNÄS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31848-2021</t>
        </is>
      </c>
      <c r="B871" s="1" t="n">
        <v>44370</v>
      </c>
      <c r="C871" s="1" t="n">
        <v>45931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43843-2025</t>
        </is>
      </c>
      <c r="B872" s="1" t="n">
        <v>45912.63606481482</v>
      </c>
      <c r="C872" s="1" t="n">
        <v>45931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43844-2025</t>
        </is>
      </c>
      <c r="B873" s="1" t="n">
        <v>45912.63609953703</v>
      </c>
      <c r="C873" s="1" t="n">
        <v>45931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36610-2025</t>
        </is>
      </c>
      <c r="B874" s="1" t="n">
        <v>45870.58332175926</v>
      </c>
      <c r="C874" s="1" t="n">
        <v>45931</v>
      </c>
      <c r="D874" t="inlineStr">
        <is>
          <t>GÄVLEBORGS LÄN</t>
        </is>
      </c>
      <c r="E874" t="inlineStr">
        <is>
          <t>BOLLNÄS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39798-2025</t>
        </is>
      </c>
      <c r="B875" s="1" t="n">
        <v>45891</v>
      </c>
      <c r="C875" s="1" t="n">
        <v>45931</v>
      </c>
      <c r="D875" t="inlineStr">
        <is>
          <t>GÄVLEBORGS LÄN</t>
        </is>
      </c>
      <c r="E875" t="inlineStr">
        <is>
          <t>BOLLNÄS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38122-2024</t>
        </is>
      </c>
      <c r="B876" s="1" t="n">
        <v>45545</v>
      </c>
      <c r="C876" s="1" t="n">
        <v>45931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15353-2025</t>
        </is>
      </c>
      <c r="B877" s="1" t="n">
        <v>45747.38574074074</v>
      </c>
      <c r="C877" s="1" t="n">
        <v>45931</v>
      </c>
      <c r="D877" t="inlineStr">
        <is>
          <t>GÄVLEBORGS LÄN</t>
        </is>
      </c>
      <c r="E877" t="inlineStr">
        <is>
          <t>BOLLNÄS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51983-2024</t>
        </is>
      </c>
      <c r="B878" s="1" t="n">
        <v>45607.67049768518</v>
      </c>
      <c r="C878" s="1" t="n">
        <v>45931</v>
      </c>
      <c r="D878" t="inlineStr">
        <is>
          <t>GÄVLEBORGS LÄN</t>
        </is>
      </c>
      <c r="E878" t="inlineStr">
        <is>
          <t>BOLLNÄS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15146-2023</t>
        </is>
      </c>
      <c r="B879" s="1" t="n">
        <v>45016</v>
      </c>
      <c r="C879" s="1" t="n">
        <v>45931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36474-2025</t>
        </is>
      </c>
      <c r="B880" s="1" t="n">
        <v>45869.48569444445</v>
      </c>
      <c r="C880" s="1" t="n">
        <v>45931</v>
      </c>
      <c r="D880" t="inlineStr">
        <is>
          <t>GÄVLEBORGS LÄN</t>
        </is>
      </c>
      <c r="E880" t="inlineStr">
        <is>
          <t>BOLLNÄS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40161-2025</t>
        </is>
      </c>
      <c r="B881" s="1" t="n">
        <v>45894</v>
      </c>
      <c r="C881" s="1" t="n">
        <v>45931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36482-2025</t>
        </is>
      </c>
      <c r="B882" s="1" t="n">
        <v>45869.5053587963</v>
      </c>
      <c r="C882" s="1" t="n">
        <v>45931</v>
      </c>
      <c r="D882" t="inlineStr">
        <is>
          <t>GÄVLEBORGS LÄN</t>
        </is>
      </c>
      <c r="E882" t="inlineStr">
        <is>
          <t>BOLLNÄS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18334-2024</t>
        </is>
      </c>
      <c r="B883" s="1" t="n">
        <v>45422.56760416667</v>
      </c>
      <c r="C883" s="1" t="n">
        <v>45931</v>
      </c>
      <c r="D883" t="inlineStr">
        <is>
          <t>GÄVLEBORGS LÄN</t>
        </is>
      </c>
      <c r="E883" t="inlineStr">
        <is>
          <t>BOLLNÄS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43649-2025</t>
        </is>
      </c>
      <c r="B884" s="1" t="n">
        <v>45912.32010416667</v>
      </c>
      <c r="C884" s="1" t="n">
        <v>45931</v>
      </c>
      <c r="D884" t="inlineStr">
        <is>
          <t>GÄVLEBORGS LÄN</t>
        </is>
      </c>
      <c r="E884" t="inlineStr">
        <is>
          <t>BOLLNÄS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40159-2025</t>
        </is>
      </c>
      <c r="B885" s="1" t="n">
        <v>45894</v>
      </c>
      <c r="C885" s="1" t="n">
        <v>45931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34464-2021</t>
        </is>
      </c>
      <c r="B886" s="1" t="n">
        <v>44381</v>
      </c>
      <c r="C886" s="1" t="n">
        <v>45931</v>
      </c>
      <c r="D886" t="inlineStr">
        <is>
          <t>GÄVLEBORGS LÄN</t>
        </is>
      </c>
      <c r="E886" t="inlineStr">
        <is>
          <t>BOLLNÄS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34562-2021</t>
        </is>
      </c>
      <c r="B887" s="1" t="n">
        <v>44382</v>
      </c>
      <c r="C887" s="1" t="n">
        <v>45931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40440-2025</t>
        </is>
      </c>
      <c r="B888" s="1" t="n">
        <v>45895</v>
      </c>
      <c r="C888" s="1" t="n">
        <v>45931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53298-2023</t>
        </is>
      </c>
      <c r="B889" s="1" t="n">
        <v>45229</v>
      </c>
      <c r="C889" s="1" t="n">
        <v>45931</v>
      </c>
      <c r="D889" t="inlineStr">
        <is>
          <t>GÄVLEBORGS LÄN</t>
        </is>
      </c>
      <c r="E889" t="inlineStr">
        <is>
          <t>BOLLNÄS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53384-2023</t>
        </is>
      </c>
      <c r="B890" s="1" t="n">
        <v>45223</v>
      </c>
      <c r="C890" s="1" t="n">
        <v>45931</v>
      </c>
      <c r="D890" t="inlineStr">
        <is>
          <t>GÄVLEBORGS LÄN</t>
        </is>
      </c>
      <c r="E890" t="inlineStr">
        <is>
          <t>BOLLNÄS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42187-2025</t>
        </is>
      </c>
      <c r="B891" s="1" t="n">
        <v>45904</v>
      </c>
      <c r="C891" s="1" t="n">
        <v>45931</v>
      </c>
      <c r="D891" t="inlineStr">
        <is>
          <t>GÄVLEBORGS LÄN</t>
        </is>
      </c>
      <c r="E891" t="inlineStr">
        <is>
          <t>BOLLNÄS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44110-2025</t>
        </is>
      </c>
      <c r="B892" s="1" t="n">
        <v>45915.57398148148</v>
      </c>
      <c r="C892" s="1" t="n">
        <v>45931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59331-2022</t>
        </is>
      </c>
      <c r="B893" s="1" t="n">
        <v>44904.6508912037</v>
      </c>
      <c r="C893" s="1" t="n">
        <v>45931</v>
      </c>
      <c r="D893" t="inlineStr">
        <is>
          <t>GÄVLEBORGS LÄN</t>
        </is>
      </c>
      <c r="E893" t="inlineStr">
        <is>
          <t>BOLLNÄS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29219-2024</t>
        </is>
      </c>
      <c r="B894" s="1" t="n">
        <v>45482.70034722222</v>
      </c>
      <c r="C894" s="1" t="n">
        <v>45931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14913-2025</t>
        </is>
      </c>
      <c r="B895" s="1" t="n">
        <v>45743.52796296297</v>
      </c>
      <c r="C895" s="1" t="n">
        <v>45931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6219-2025</t>
        </is>
      </c>
      <c r="B896" s="1" t="n">
        <v>45698.53550925926</v>
      </c>
      <c r="C896" s="1" t="n">
        <v>45931</v>
      </c>
      <c r="D896" t="inlineStr">
        <is>
          <t>GÄVLEBORGS LÄN</t>
        </is>
      </c>
      <c r="E896" t="inlineStr">
        <is>
          <t>BOLLNÄS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62123-2024</t>
        </is>
      </c>
      <c r="B897" s="1" t="n">
        <v>45646</v>
      </c>
      <c r="C897" s="1" t="n">
        <v>45931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44021-2025</t>
        </is>
      </c>
      <c r="B898" s="1" t="n">
        <v>45915</v>
      </c>
      <c r="C898" s="1" t="n">
        <v>45931</v>
      </c>
      <c r="D898" t="inlineStr">
        <is>
          <t>GÄVLEBORGS LÄN</t>
        </is>
      </c>
      <c r="E898" t="inlineStr">
        <is>
          <t>BOLLNÄS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226-2025</t>
        </is>
      </c>
      <c r="B899" s="1" t="n">
        <v>45660</v>
      </c>
      <c r="C899" s="1" t="n">
        <v>45931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24551-2024</t>
        </is>
      </c>
      <c r="B900" s="1" t="n">
        <v>45460.40803240741</v>
      </c>
      <c r="C900" s="1" t="n">
        <v>45931</v>
      </c>
      <c r="D900" t="inlineStr">
        <is>
          <t>GÄVLEBORGS LÄN</t>
        </is>
      </c>
      <c r="E900" t="inlineStr">
        <is>
          <t>BOLLNÄS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6833-2023</t>
        </is>
      </c>
      <c r="B901" s="1" t="n">
        <v>44967</v>
      </c>
      <c r="C901" s="1" t="n">
        <v>45931</v>
      </c>
      <c r="D901" t="inlineStr">
        <is>
          <t>GÄVLEBORGS LÄN</t>
        </is>
      </c>
      <c r="E901" t="inlineStr">
        <is>
          <t>BOLLNÄS</t>
        </is>
      </c>
      <c r="G901" t="n">
        <v>11.1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30523-2021</t>
        </is>
      </c>
      <c r="B902" s="1" t="n">
        <v>44364</v>
      </c>
      <c r="C902" s="1" t="n">
        <v>45931</v>
      </c>
      <c r="D902" t="inlineStr">
        <is>
          <t>GÄVLEBORGS LÄN</t>
        </is>
      </c>
      <c r="E902" t="inlineStr">
        <is>
          <t>BOLLNÄS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44136-2025</t>
        </is>
      </c>
      <c r="B903" s="1" t="n">
        <v>45915.58728009259</v>
      </c>
      <c r="C903" s="1" t="n">
        <v>45931</v>
      </c>
      <c r="D903" t="inlineStr">
        <is>
          <t>GÄVLEBORGS LÄN</t>
        </is>
      </c>
      <c r="E903" t="inlineStr">
        <is>
          <t>BOLLNÄS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59085-2021</t>
        </is>
      </c>
      <c r="B904" s="1" t="n">
        <v>44490.41263888889</v>
      </c>
      <c r="C904" s="1" t="n">
        <v>45931</v>
      </c>
      <c r="D904" t="inlineStr">
        <is>
          <t>GÄVLEBORGS LÄN</t>
        </is>
      </c>
      <c r="E904" t="inlineStr">
        <is>
          <t>BOLLNÄS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12181-2025</t>
        </is>
      </c>
      <c r="B905" s="1" t="n">
        <v>45729.45688657407</v>
      </c>
      <c r="C905" s="1" t="n">
        <v>45931</v>
      </c>
      <c r="D905" t="inlineStr">
        <is>
          <t>GÄVLEBORGS LÄN</t>
        </is>
      </c>
      <c r="E905" t="inlineStr">
        <is>
          <t>BOLLNÄS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44024-2025</t>
        </is>
      </c>
      <c r="B906" s="1" t="n">
        <v>45915</v>
      </c>
      <c r="C906" s="1" t="n">
        <v>45931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36957-2025</t>
        </is>
      </c>
      <c r="B907" s="1" t="n">
        <v>45874</v>
      </c>
      <c r="C907" s="1" t="n">
        <v>45931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27590-2023</t>
        </is>
      </c>
      <c r="B908" s="1" t="n">
        <v>45097</v>
      </c>
      <c r="C908" s="1" t="n">
        <v>45931</v>
      </c>
      <c r="D908" t="inlineStr">
        <is>
          <t>GÄVLEBORGS LÄN</t>
        </is>
      </c>
      <c r="E908" t="inlineStr">
        <is>
          <t>BOLLNÄS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43946-2025</t>
        </is>
      </c>
      <c r="B909" s="1" t="n">
        <v>45915.37418981481</v>
      </c>
      <c r="C909" s="1" t="n">
        <v>45931</v>
      </c>
      <c r="D909" t="inlineStr">
        <is>
          <t>GÄVLEBORGS LÄN</t>
        </is>
      </c>
      <c r="E909" t="inlineStr">
        <is>
          <t>BOLLNÄS</t>
        </is>
      </c>
      <c r="F909" t="inlineStr">
        <is>
          <t>Kyrkan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44195-2025</t>
        </is>
      </c>
      <c r="B910" s="1" t="n">
        <v>45915.61612268518</v>
      </c>
      <c r="C910" s="1" t="n">
        <v>45931</v>
      </c>
      <c r="D910" t="inlineStr">
        <is>
          <t>GÄVLEBORGS LÄN</t>
        </is>
      </c>
      <c r="E910" t="inlineStr">
        <is>
          <t>BOLLNÄS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44230-2025</t>
        </is>
      </c>
      <c r="B911" s="1" t="n">
        <v>45915.64261574074</v>
      </c>
      <c r="C911" s="1" t="n">
        <v>45931</v>
      </c>
      <c r="D911" t="inlineStr">
        <is>
          <t>GÄVLEBORGS LÄN</t>
        </is>
      </c>
      <c r="E911" t="inlineStr">
        <is>
          <t>BOLLNÄS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44392-2025</t>
        </is>
      </c>
      <c r="B912" s="1" t="n">
        <v>45916.49335648148</v>
      </c>
      <c r="C912" s="1" t="n">
        <v>45931</v>
      </c>
      <c r="D912" t="inlineStr">
        <is>
          <t>GÄVLEBORGS LÄN</t>
        </is>
      </c>
      <c r="E912" t="inlineStr">
        <is>
          <t>BOLLNÄS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44116-2025</t>
        </is>
      </c>
      <c r="B913" s="1" t="n">
        <v>45915.57671296296</v>
      </c>
      <c r="C913" s="1" t="n">
        <v>45931</v>
      </c>
      <c r="D913" t="inlineStr">
        <is>
          <t>GÄVLEBORGS LÄN</t>
        </is>
      </c>
      <c r="E913" t="inlineStr">
        <is>
          <t>BOLLNÄS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8960-2025</t>
        </is>
      </c>
      <c r="B914" s="1" t="n">
        <v>45713.47555555555</v>
      </c>
      <c r="C914" s="1" t="n">
        <v>45931</v>
      </c>
      <c r="D914" t="inlineStr">
        <is>
          <t>GÄVLEBORGS LÄN</t>
        </is>
      </c>
      <c r="E914" t="inlineStr">
        <is>
          <t>BOLLNÄS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2935-2023</t>
        </is>
      </c>
      <c r="B915" s="1" t="n">
        <v>44944</v>
      </c>
      <c r="C915" s="1" t="n">
        <v>45931</v>
      </c>
      <c r="D915" t="inlineStr">
        <is>
          <t>GÄVLEBORGS LÄN</t>
        </is>
      </c>
      <c r="E915" t="inlineStr">
        <is>
          <t>BOLLNÄS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36734-2025</t>
        </is>
      </c>
      <c r="B916" s="1" t="n">
        <v>45873.52091435185</v>
      </c>
      <c r="C916" s="1" t="n">
        <v>45931</v>
      </c>
      <c r="D916" t="inlineStr">
        <is>
          <t>GÄVLEBORGS LÄN</t>
        </is>
      </c>
      <c r="E916" t="inlineStr">
        <is>
          <t>BOLLNÄS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44200-2025</t>
        </is>
      </c>
      <c r="B917" s="1" t="n">
        <v>45915.62230324074</v>
      </c>
      <c r="C917" s="1" t="n">
        <v>45931</v>
      </c>
      <c r="D917" t="inlineStr">
        <is>
          <t>GÄVLEBORGS LÄN</t>
        </is>
      </c>
      <c r="E917" t="inlineStr">
        <is>
          <t>BOLLNÄS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13137-2025</t>
        </is>
      </c>
      <c r="B918" s="1" t="n">
        <v>45735.2934837963</v>
      </c>
      <c r="C918" s="1" t="n">
        <v>45931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2798-2025</t>
        </is>
      </c>
      <c r="B919" s="1" t="n">
        <v>45677.57865740741</v>
      </c>
      <c r="C919" s="1" t="n">
        <v>45931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44085-2025</t>
        </is>
      </c>
      <c r="B920" s="1" t="n">
        <v>45915.55561342592</v>
      </c>
      <c r="C920" s="1" t="n">
        <v>45931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43979-2025</t>
        </is>
      </c>
      <c r="B921" s="1" t="n">
        <v>45915.42203703704</v>
      </c>
      <c r="C921" s="1" t="n">
        <v>45931</v>
      </c>
      <c r="D921" t="inlineStr">
        <is>
          <t>GÄVLEBORGS LÄN</t>
        </is>
      </c>
      <c r="E921" t="inlineStr">
        <is>
          <t>BOLLNÄS</t>
        </is>
      </c>
      <c r="F921" t="inlineStr">
        <is>
          <t>Kyrkan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49993-2024</t>
        </is>
      </c>
      <c r="B922" s="1" t="n">
        <v>45597.84851851852</v>
      </c>
      <c r="C922" s="1" t="n">
        <v>45931</v>
      </c>
      <c r="D922" t="inlineStr">
        <is>
          <t>GÄVLEBORGS LÄN</t>
        </is>
      </c>
      <c r="E922" t="inlineStr">
        <is>
          <t>BOLLNÄS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44650-2025</t>
        </is>
      </c>
      <c r="B923" s="1" t="n">
        <v>45917</v>
      </c>
      <c r="C923" s="1" t="n">
        <v>45931</v>
      </c>
      <c r="D923" t="inlineStr">
        <is>
          <t>GÄVLEBORGS LÄN</t>
        </is>
      </c>
      <c r="E923" t="inlineStr">
        <is>
          <t>BOLLNÄS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37099-2025</t>
        </is>
      </c>
      <c r="B924" s="1" t="n">
        <v>45875</v>
      </c>
      <c r="C924" s="1" t="n">
        <v>45931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29241-2022</t>
        </is>
      </c>
      <c r="B925" s="1" t="n">
        <v>44750.61899305556</v>
      </c>
      <c r="C925" s="1" t="n">
        <v>45931</v>
      </c>
      <c r="D925" t="inlineStr">
        <is>
          <t>GÄVLEBORGS LÄN</t>
        </is>
      </c>
      <c r="E925" t="inlineStr">
        <is>
          <t>BOLLNÄS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44643-2025</t>
        </is>
      </c>
      <c r="B926" s="1" t="n">
        <v>45917</v>
      </c>
      <c r="C926" s="1" t="n">
        <v>45931</v>
      </c>
      <c r="D926" t="inlineStr">
        <is>
          <t>GÄVLEBORGS LÄN</t>
        </is>
      </c>
      <c r="E926" t="inlineStr">
        <is>
          <t>BOLLNÄS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59237-2024</t>
        </is>
      </c>
      <c r="B927" s="1" t="n">
        <v>45637.58819444444</v>
      </c>
      <c r="C927" s="1" t="n">
        <v>45931</v>
      </c>
      <c r="D927" t="inlineStr">
        <is>
          <t>GÄVLEBORGS LÄN</t>
        </is>
      </c>
      <c r="E927" t="inlineStr">
        <is>
          <t>BOLLNÄS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37094-2025</t>
        </is>
      </c>
      <c r="B928" s="1" t="n">
        <v>45875.46909722222</v>
      </c>
      <c r="C928" s="1" t="n">
        <v>45931</v>
      </c>
      <c r="D928" t="inlineStr">
        <is>
          <t>GÄVLEBORGS LÄN</t>
        </is>
      </c>
      <c r="E928" t="inlineStr">
        <is>
          <t>BOLLNÄS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44625-2023</t>
        </is>
      </c>
      <c r="B929" s="1" t="n">
        <v>45189</v>
      </c>
      <c r="C929" s="1" t="n">
        <v>45931</v>
      </c>
      <c r="D929" t="inlineStr">
        <is>
          <t>GÄVLEBORGS LÄN</t>
        </is>
      </c>
      <c r="E929" t="inlineStr">
        <is>
          <t>BOLLNÄS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43058-2025</t>
        </is>
      </c>
      <c r="B930" s="1" t="n">
        <v>45909</v>
      </c>
      <c r="C930" s="1" t="n">
        <v>45931</v>
      </c>
      <c r="D930" t="inlineStr">
        <is>
          <t>GÄVLEBORGS LÄN</t>
        </is>
      </c>
      <c r="E930" t="inlineStr">
        <is>
          <t>BOLLNÄS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43060-2025</t>
        </is>
      </c>
      <c r="B931" s="1" t="n">
        <v>45909</v>
      </c>
      <c r="C931" s="1" t="n">
        <v>45931</v>
      </c>
      <c r="D931" t="inlineStr">
        <is>
          <t>GÄVLEBORGS LÄN</t>
        </is>
      </c>
      <c r="E931" t="inlineStr">
        <is>
          <t>BOLLNÄS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35174-2023</t>
        </is>
      </c>
      <c r="B932" s="1" t="n">
        <v>45145.58690972222</v>
      </c>
      <c r="C932" s="1" t="n">
        <v>45931</v>
      </c>
      <c r="D932" t="inlineStr">
        <is>
          <t>GÄVLEBORGS LÄN</t>
        </is>
      </c>
      <c r="E932" t="inlineStr">
        <is>
          <t>BOLLNÄS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15147-2023</t>
        </is>
      </c>
      <c r="B933" s="1" t="n">
        <v>45016</v>
      </c>
      <c r="C933" s="1" t="n">
        <v>45931</v>
      </c>
      <c r="D933" t="inlineStr">
        <is>
          <t>GÄVLEBORGS LÄN</t>
        </is>
      </c>
      <c r="E933" t="inlineStr">
        <is>
          <t>BOLLNÄS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15150-2023</t>
        </is>
      </c>
      <c r="B934" s="1" t="n">
        <v>45016</v>
      </c>
      <c r="C934" s="1" t="n">
        <v>45931</v>
      </c>
      <c r="D934" t="inlineStr">
        <is>
          <t>GÄVLEBORGS LÄN</t>
        </is>
      </c>
      <c r="E934" t="inlineStr">
        <is>
          <t>BOLLNÄS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46739-2024</t>
        </is>
      </c>
      <c r="B935" s="1" t="n">
        <v>45583.4724074074</v>
      </c>
      <c r="C935" s="1" t="n">
        <v>45931</v>
      </c>
      <c r="D935" t="inlineStr">
        <is>
          <t>GÄVLEBORGS LÄN</t>
        </is>
      </c>
      <c r="E935" t="inlineStr">
        <is>
          <t>BOLLNÄS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12476-2021</t>
        </is>
      </c>
      <c r="B936" s="1" t="n">
        <v>44267</v>
      </c>
      <c r="C936" s="1" t="n">
        <v>45931</v>
      </c>
      <c r="D936" t="inlineStr">
        <is>
          <t>GÄVLEBORGS LÄN</t>
        </is>
      </c>
      <c r="E936" t="inlineStr">
        <is>
          <t>BOLLNÄS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40486-2024</t>
        </is>
      </c>
      <c r="B937" s="1" t="n">
        <v>45555.5541087963</v>
      </c>
      <c r="C937" s="1" t="n">
        <v>45931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40487-2024</t>
        </is>
      </c>
      <c r="B938" s="1" t="n">
        <v>45555.55648148148</v>
      </c>
      <c r="C938" s="1" t="n">
        <v>45931</v>
      </c>
      <c r="D938" t="inlineStr">
        <is>
          <t>GÄVLEBORGS LÄN</t>
        </is>
      </c>
      <c r="E938" t="inlineStr">
        <is>
          <t>BOLLNÄS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45044-2025</t>
        </is>
      </c>
      <c r="B939" s="1" t="n">
        <v>45919.23412037037</v>
      </c>
      <c r="C939" s="1" t="n">
        <v>45931</v>
      </c>
      <c r="D939" t="inlineStr">
        <is>
          <t>GÄVLEBORGS LÄN</t>
        </is>
      </c>
      <c r="E939" t="inlineStr">
        <is>
          <t>BOLLNÄS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35071-2023</t>
        </is>
      </c>
      <c r="B940" s="1" t="n">
        <v>45145.42189814815</v>
      </c>
      <c r="C940" s="1" t="n">
        <v>45931</v>
      </c>
      <c r="D940" t="inlineStr">
        <is>
          <t>GÄVLEBORGS LÄN</t>
        </is>
      </c>
      <c r="E940" t="inlineStr">
        <is>
          <t>BOLLNÄS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45224-2025</t>
        </is>
      </c>
      <c r="B941" s="1" t="n">
        <v>45919.58016203704</v>
      </c>
      <c r="C941" s="1" t="n">
        <v>45931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37631-2025</t>
        </is>
      </c>
      <c r="B942" s="1" t="n">
        <v>45880.46456018519</v>
      </c>
      <c r="C942" s="1" t="n">
        <v>45931</v>
      </c>
      <c r="D942" t="inlineStr">
        <is>
          <t>GÄVLEBORGS LÄN</t>
        </is>
      </c>
      <c r="E942" t="inlineStr">
        <is>
          <t>BOLLNÄS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45239-2025</t>
        </is>
      </c>
      <c r="B943" s="1" t="n">
        <v>45919.59678240741</v>
      </c>
      <c r="C943" s="1" t="n">
        <v>45931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51306-2023</t>
        </is>
      </c>
      <c r="B944" s="1" t="n">
        <v>45219</v>
      </c>
      <c r="C944" s="1" t="n">
        <v>45931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2311-2024</t>
        </is>
      </c>
      <c r="B945" s="1" t="n">
        <v>45310</v>
      </c>
      <c r="C945" s="1" t="n">
        <v>45931</v>
      </c>
      <c r="D945" t="inlineStr">
        <is>
          <t>GÄVLEBORGS LÄN</t>
        </is>
      </c>
      <c r="E945" t="inlineStr">
        <is>
          <t>BOLLNÄS</t>
        </is>
      </c>
      <c r="F945" t="inlineStr">
        <is>
          <t>Övriga statliga verk och myndigheter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45327-2025</t>
        </is>
      </c>
      <c r="B946" s="1" t="n">
        <v>45922.32622685185</v>
      </c>
      <c r="C946" s="1" t="n">
        <v>45931</v>
      </c>
      <c r="D946" t="inlineStr">
        <is>
          <t>GÄVLEBORGS LÄN</t>
        </is>
      </c>
      <c r="E946" t="inlineStr">
        <is>
          <t>BOLLNÄS</t>
        </is>
      </c>
      <c r="F946" t="inlineStr">
        <is>
          <t>Sveaskog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45334-2025</t>
        </is>
      </c>
      <c r="B947" s="1" t="n">
        <v>45922.34092592593</v>
      </c>
      <c r="C947" s="1" t="n">
        <v>45931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45050-2025</t>
        </is>
      </c>
      <c r="B948" s="1" t="n">
        <v>45919.29921296296</v>
      </c>
      <c r="C948" s="1" t="n">
        <v>45931</v>
      </c>
      <c r="D948" t="inlineStr">
        <is>
          <t>GÄVLEBORGS LÄN</t>
        </is>
      </c>
      <c r="E948" t="inlineStr">
        <is>
          <t>BOLLNÄS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49931-2023</t>
        </is>
      </c>
      <c r="B949" s="1" t="n">
        <v>45215</v>
      </c>
      <c r="C949" s="1" t="n">
        <v>45931</v>
      </c>
      <c r="D949" t="inlineStr">
        <is>
          <t>GÄVLEBORGS LÄN</t>
        </is>
      </c>
      <c r="E949" t="inlineStr">
        <is>
          <t>BOLLNÄS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50544-2023</t>
        </is>
      </c>
      <c r="B950" s="1" t="n">
        <v>45217.35626157407</v>
      </c>
      <c r="C950" s="1" t="n">
        <v>45931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2345-2024</t>
        </is>
      </c>
      <c r="B951" s="1" t="n">
        <v>45310.581875</v>
      </c>
      <c r="C951" s="1" t="n">
        <v>45931</v>
      </c>
      <c r="D951" t="inlineStr">
        <is>
          <t>GÄVLEBORGS LÄN</t>
        </is>
      </c>
      <c r="E951" t="inlineStr">
        <is>
          <t>BOLLNÄS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38074-2025</t>
        </is>
      </c>
      <c r="B952" s="1" t="n">
        <v>45882</v>
      </c>
      <c r="C952" s="1" t="n">
        <v>45931</v>
      </c>
      <c r="D952" t="inlineStr">
        <is>
          <t>GÄVLEBORGS LÄN</t>
        </is>
      </c>
      <c r="E952" t="inlineStr">
        <is>
          <t>BOLLNÄS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37987-2025</t>
        </is>
      </c>
      <c r="B953" s="1" t="n">
        <v>45881.7040162037</v>
      </c>
      <c r="C953" s="1" t="n">
        <v>45931</v>
      </c>
      <c r="D953" t="inlineStr">
        <is>
          <t>GÄVLEBORGS LÄN</t>
        </is>
      </c>
      <c r="E953" t="inlineStr">
        <is>
          <t>BOLLNÄS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37989-2025</t>
        </is>
      </c>
      <c r="B954" s="1" t="n">
        <v>45881.70878472222</v>
      </c>
      <c r="C954" s="1" t="n">
        <v>45931</v>
      </c>
      <c r="D954" t="inlineStr">
        <is>
          <t>GÄVLEBORGS LÄN</t>
        </is>
      </c>
      <c r="E954" t="inlineStr">
        <is>
          <t>BOLLNÄS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45947-2025</t>
        </is>
      </c>
      <c r="B955" s="1" t="n">
        <v>45924.33660879629</v>
      </c>
      <c r="C955" s="1" t="n">
        <v>45931</v>
      </c>
      <c r="D955" t="inlineStr">
        <is>
          <t>GÄVLEBORGS LÄN</t>
        </is>
      </c>
      <c r="E955" t="inlineStr">
        <is>
          <t>BOLLNÄS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46185-2025</t>
        </is>
      </c>
      <c r="B956" s="1" t="n">
        <v>45924.6600462963</v>
      </c>
      <c r="C956" s="1" t="n">
        <v>45931</v>
      </c>
      <c r="D956" t="inlineStr">
        <is>
          <t>GÄVLEBORGS LÄN</t>
        </is>
      </c>
      <c r="E956" t="inlineStr">
        <is>
          <t>BOLLNÄS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41730-2023</t>
        </is>
      </c>
      <c r="B957" s="1" t="n">
        <v>45176</v>
      </c>
      <c r="C957" s="1" t="n">
        <v>45931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45713-2025</t>
        </is>
      </c>
      <c r="B958" s="1" t="n">
        <v>45923.43292824074</v>
      </c>
      <c r="C958" s="1" t="n">
        <v>45931</v>
      </c>
      <c r="D958" t="inlineStr">
        <is>
          <t>GÄVLEBORGS LÄN</t>
        </is>
      </c>
      <c r="E958" t="inlineStr">
        <is>
          <t>BOLLNÄS</t>
        </is>
      </c>
      <c r="F958" t="inlineStr">
        <is>
          <t>Kyrkan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22458-2025</t>
        </is>
      </c>
      <c r="B959" s="1" t="n">
        <v>45786.60678240741</v>
      </c>
      <c r="C959" s="1" t="n">
        <v>45931</v>
      </c>
      <c r="D959" t="inlineStr">
        <is>
          <t>GÄVLEBORGS LÄN</t>
        </is>
      </c>
      <c r="E959" t="inlineStr">
        <is>
          <t>BOLLNÄS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16628-2025</t>
        </is>
      </c>
      <c r="B960" s="1" t="n">
        <v>45754.35976851852</v>
      </c>
      <c r="C960" s="1" t="n">
        <v>45931</v>
      </c>
      <c r="D960" t="inlineStr">
        <is>
          <t>GÄVLEBORGS LÄN</t>
        </is>
      </c>
      <c r="E960" t="inlineStr">
        <is>
          <t>BOLLNÄS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37984-2025</t>
        </is>
      </c>
      <c r="B961" s="1" t="n">
        <v>45881.6999074074</v>
      </c>
      <c r="C961" s="1" t="n">
        <v>45931</v>
      </c>
      <c r="D961" t="inlineStr">
        <is>
          <t>GÄVLEBORGS LÄN</t>
        </is>
      </c>
      <c r="E961" t="inlineStr">
        <is>
          <t>BOLLNÄS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10519-2025</t>
        </is>
      </c>
      <c r="B962" s="1" t="n">
        <v>45721.42768518518</v>
      </c>
      <c r="C962" s="1" t="n">
        <v>45931</v>
      </c>
      <c r="D962" t="inlineStr">
        <is>
          <t>GÄVLEBORGS LÄN</t>
        </is>
      </c>
      <c r="E962" t="inlineStr">
        <is>
          <t>BOLLNÄS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54974-2022</t>
        </is>
      </c>
      <c r="B963" s="1" t="n">
        <v>44886.48644675926</v>
      </c>
      <c r="C963" s="1" t="n">
        <v>45931</v>
      </c>
      <c r="D963" t="inlineStr">
        <is>
          <t>GÄVLEBORGS LÄN</t>
        </is>
      </c>
      <c r="E963" t="inlineStr">
        <is>
          <t>BOLLNÄS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45889-2025</t>
        </is>
      </c>
      <c r="B964" s="1" t="n">
        <v>45923.67244212963</v>
      </c>
      <c r="C964" s="1" t="n">
        <v>45931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45901-2025</t>
        </is>
      </c>
      <c r="B965" s="1" t="n">
        <v>45923.68782407408</v>
      </c>
      <c r="C965" s="1" t="n">
        <v>45931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50053-2022</t>
        </is>
      </c>
      <c r="B966" s="1" t="n">
        <v>44865.47443287037</v>
      </c>
      <c r="C966" s="1" t="n">
        <v>45931</v>
      </c>
      <c r="D966" t="inlineStr">
        <is>
          <t>GÄVLEBORGS LÄN</t>
        </is>
      </c>
      <c r="E966" t="inlineStr">
        <is>
          <t>BOLLNÄS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43734-2023</t>
        </is>
      </c>
      <c r="B967" s="1" t="n">
        <v>45187.45697916667</v>
      </c>
      <c r="C967" s="1" t="n">
        <v>45931</v>
      </c>
      <c r="D967" t="inlineStr">
        <is>
          <t>GÄVLEBORGS LÄN</t>
        </is>
      </c>
      <c r="E967" t="inlineStr">
        <is>
          <t>BOLLNÄS</t>
        </is>
      </c>
      <c r="F967" t="inlineStr">
        <is>
          <t>Kyrkan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45280-2025</t>
        </is>
      </c>
      <c r="B968" s="1" t="n">
        <v>45919</v>
      </c>
      <c r="C968" s="1" t="n">
        <v>45931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45737-2025</t>
        </is>
      </c>
      <c r="B969" s="1" t="n">
        <v>45923.46788194445</v>
      </c>
      <c r="C969" s="1" t="n">
        <v>45931</v>
      </c>
      <c r="D969" t="inlineStr">
        <is>
          <t>GÄVLEBORGS LÄN</t>
        </is>
      </c>
      <c r="E969" t="inlineStr">
        <is>
          <t>BOLLNÄS</t>
        </is>
      </c>
      <c r="F969" t="inlineStr">
        <is>
          <t>Kyrkan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37983-2025</t>
        </is>
      </c>
      <c r="B970" s="1" t="n">
        <v>45881.69613425926</v>
      </c>
      <c r="C970" s="1" t="n">
        <v>45931</v>
      </c>
      <c r="D970" t="inlineStr">
        <is>
          <t>GÄVLEBORGS LÄN</t>
        </is>
      </c>
      <c r="E970" t="inlineStr">
        <is>
          <t>BOLLNÄS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2025-10-01T12:51:35Z</dcterms:created>
  <dcterms:modified xmlns:dcterms="http://purl.org/dc/terms/" xmlns:xsi="http://www.w3.org/2001/XMLSchema-instance" xsi:type="dcterms:W3CDTF">2025-10-01T12:51:36Z</dcterms:modified>
</cp:coreProperties>
</file>